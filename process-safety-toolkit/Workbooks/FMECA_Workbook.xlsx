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ference Docs" sheetId="2" state="visible" r:id="rId2"/>
    <sheet xmlns:r="http://schemas.openxmlformats.org/officeDocument/2006/relationships" name="Systems" sheetId="3" state="visible" r:id="rId3"/>
    <sheet xmlns:r="http://schemas.openxmlformats.org/officeDocument/2006/relationships" name="Equipment Register" sheetId="4" state="visible" r:id="rId4"/>
    <sheet xmlns:r="http://schemas.openxmlformats.org/officeDocument/2006/relationships" name="Lists" sheetId="5" state="visible" r:id="rId5"/>
    <sheet xmlns:r="http://schemas.openxmlformats.org/officeDocument/2006/relationships" name="Rating Scales" sheetId="6" state="visible" r:id="rId6"/>
    <sheet xmlns:r="http://schemas.openxmlformats.org/officeDocument/2006/relationships" name="Summary" sheetId="7" state="visible" r:id="rId7"/>
    <sheet xmlns:r="http://schemas.openxmlformats.org/officeDocument/2006/relationships" name="System 01" sheetId="8" state="visible" r:id="rId8"/>
    <sheet xmlns:r="http://schemas.openxmlformats.org/officeDocument/2006/relationships" name="System 02" sheetId="9" state="visible" r:id="rId9"/>
    <sheet xmlns:r="http://schemas.openxmlformats.org/officeDocument/2006/relationships" name="System 03" sheetId="10" state="visible" r:id="rId10"/>
    <sheet xmlns:r="http://schemas.openxmlformats.org/officeDocument/2006/relationships" name="System 04" sheetId="11" state="visible" r:id="rId11"/>
    <sheet xmlns:r="http://schemas.openxmlformats.org/officeDocument/2006/relationships" name="System 05" sheetId="12" state="visible" r:id="rId12"/>
    <sheet xmlns:r="http://schemas.openxmlformats.org/officeDocument/2006/relationships" name="System 06" sheetId="13" state="visible" r:id="rId13"/>
    <sheet xmlns:r="http://schemas.openxmlformats.org/officeDocument/2006/relationships" name="System 07" sheetId="14" state="visible" r:id="rId14"/>
    <sheet xmlns:r="http://schemas.openxmlformats.org/officeDocument/2006/relationships" name="System 08" sheetId="15" state="visible" r:id="rId15"/>
    <sheet xmlns:r="http://schemas.openxmlformats.org/officeDocument/2006/relationships" name="System 09" sheetId="16" state="visible" r:id="rId16"/>
    <sheet xmlns:r="http://schemas.openxmlformats.org/officeDocument/2006/relationships" name="System 10" sheetId="17" state="visible" r:id="rId17"/>
  </sheets>
  <definedNames>
    <definedName name="SystemList">Systems!$C$5:$C$34</definedName>
    <definedName name="EqSys">'Equipment Register'!$B$5:$B$204</definedName>
    <definedName name="EqTag">'Equipment Register'!$C$5:$C$204</definedName>
    <definedName name="EqTypeCol">'Equipment Register'!$E$5:$E$204</definedName>
    <definedName name="EqTypeList">Lists!$A$5:$A$33</definedName>
    <definedName name="CompType">Lists!$C$5:$C$329</definedName>
    <definedName name="CompStart">Lists!$D$5</definedName>
    <definedName name="FMType">Lists!$F$5:$F$353</definedName>
    <definedName name="FMStart">Lists!$G$5</definedName>
    <definedName name="MechList">Lists!$I$5:$I$62</definedName>
    <definedName name="DetList">Lists!$K$5:$K$25</definedName>
    <definedName name="TaskList">Lists!$M$5:$M$13</definedName>
    <definedName name="DocCategories">Lists!$O$5:$O$11</definedName>
    <definedName name="SevList">'Rating Scales'!$B$5:$B$14</definedName>
    <definedName name="OccList">'Rating Scales'!$B$17:$B$26</definedName>
    <definedName name="DetScaleList">'Rating Scales'!$B$29:$B$38</definedName>
    <definedName name="SThr">'Rating Scales'!$C$41</definedName>
    <definedName name="RPNThr">'Rating Scales'!$C$42</definedName>
    <definedName name="APGrid">'Rating Scales'!$E$50:$H$74</definedName>
    <definedName name="APS">'Rating Scales'!$E$77:$I$77</definedName>
    <definedName name="APO">'Rating Scales'!$E$78:$I$78</definedName>
    <definedName name="APD">'Rating Scales'!$E$79:$H$79</definedName>
    <definedName name="_xlnm._FilterDatabase" localSheetId="1" hidden="1">'Reference Docs'!$A$4:$J$44</definedName>
    <definedName name="_xlnm._FilterDatabase" localSheetId="3" hidden="1">'Equipment Register'!$A$4:$I$204</definedName>
    <definedName name="_xlnm.Print_Titles" localSheetId="7">'System 01'!$12:$13</definedName>
    <definedName name="_xlnm.Print_Area" localSheetId="7">'System 01'!$A$1:$AF$113</definedName>
    <definedName name="_xlnm.Print_Titles" localSheetId="8">'System 02'!$12:$13</definedName>
    <definedName name="_xlnm.Print_Area" localSheetId="8">'System 02'!$A$1:$AF$113</definedName>
    <definedName name="_xlnm.Print_Titles" localSheetId="9">'System 03'!$12:$13</definedName>
    <definedName name="_xlnm.Print_Area" localSheetId="9">'System 03'!$A$1:$AF$113</definedName>
    <definedName name="_xlnm.Print_Titles" localSheetId="10">'System 04'!$12:$13</definedName>
    <definedName name="_xlnm.Print_Area" localSheetId="10">'System 04'!$A$1:$AF$113</definedName>
    <definedName name="_xlnm.Print_Titles" localSheetId="11">'System 05'!$12:$13</definedName>
    <definedName name="_xlnm.Print_Area" localSheetId="11">'System 05'!$A$1:$AF$113</definedName>
    <definedName name="_xlnm.Print_Titles" localSheetId="12">'System 06'!$12:$13</definedName>
    <definedName name="_xlnm.Print_Area" localSheetId="12">'System 06'!$A$1:$AF$113</definedName>
    <definedName name="_xlnm.Print_Titles" localSheetId="13">'System 07'!$12:$13</definedName>
    <definedName name="_xlnm.Print_Area" localSheetId="13">'System 07'!$A$1:$AF$113</definedName>
    <definedName name="_xlnm.Print_Titles" localSheetId="14">'System 08'!$12:$13</definedName>
    <definedName name="_xlnm.Print_Area" localSheetId="14">'System 08'!$A$1:$AF$113</definedName>
    <definedName name="_xlnm.Print_Titles" localSheetId="15">'System 09'!$12:$13</definedName>
    <definedName name="_xlnm.Print_Area" localSheetId="15">'System 09'!$A$1:$AF$113</definedName>
    <definedName name="_xlnm.Print_Titles" localSheetId="16">'System 10'!$12:$13</definedName>
    <definedName name="_xlnm.Print_Area" localSheetId="16">'System 10'!$A$1:$AF$113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13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9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b val="1"/>
      <color rgb="001F3864"/>
      <sz val="12"/>
    </font>
    <font>
      <name val="Arial"/>
      <i val="1"/>
      <color rgb="00808080"/>
      <sz val="9"/>
    </font>
    <font>
      <name val="Arial"/>
      <b val="1"/>
      <color rgb="001F3864"/>
      <sz val="14"/>
    </font>
    <font>
      <name val="Arial"/>
      <b val="1"/>
      <color rgb="001F3864"/>
      <sz val="11"/>
    </font>
    <font>
      <name val="Arial"/>
      <b val="1"/>
      <color rgb="00000000"/>
      <sz val="12"/>
    </font>
    <font>
      <name val="Arial"/>
      <i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1F3864"/>
        <bgColor rgb="001F3864"/>
      </patternFill>
    </fill>
    <fill>
      <patternFill patternType="solid">
        <fgColor rgb="002F5597"/>
        <bgColor rgb="002F5597"/>
      </patternFill>
    </fill>
  </fills>
  <borders count="6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  <border>
      <left/>
      <right/>
      <top style="thin">
        <color rgb="008EA9DB"/>
      </top>
      <bottom/>
      <diagonal/>
    </border>
    <border>
      <left/>
      <right style="thin">
        <color rgb="008EA9DB"/>
      </right>
      <top style="thin">
        <color rgb="008EA9DB"/>
      </top>
      <bottom/>
      <diagonal/>
    </border>
    <border>
      <left/>
      <right/>
      <top style="thin">
        <color rgb="008EA9DB"/>
      </top>
      <bottom style="thin">
        <color rgb="008EA9DB"/>
      </bottom>
      <diagonal/>
    </border>
    <border>
      <left/>
      <right style="thin">
        <color rgb="008EA9DB"/>
      </right>
      <top style="thin">
        <color rgb="008EA9DB"/>
      </top>
      <bottom style="thin">
        <color rgb="008EA9DB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4" fontId="4" fillId="2" borderId="1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0" fontId="4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5" fillId="5" borderId="1" applyAlignment="1" pivotButton="0" quotePrefix="0" xfId="0">
      <alignment vertical="top" wrapText="1"/>
    </xf>
    <xf numFmtId="0" fontId="11" fillId="2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1" pivotButton="0" quotePrefix="0" xfId="0"/>
    <xf numFmtId="0" fontId="5" fillId="6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FF7C80"/>
          <bgColor rgb="00FF7C80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C6EFCE"/>
          <bgColor rgb="00C6EFCE"/>
        </patternFill>
      </fill>
    </dxf>
    <dxf>
      <font>
        <b val="1"/>
      </font>
      <fill>
        <patternFill patternType="solid">
          <fgColor rgb="00FF7C80"/>
          <bgColor rgb="00FF7C80"/>
        </patternFill>
      </fill>
    </dxf>
    <dxf>
      <font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6" customWidth="1" min="3" max="3"/>
    <col width="26" customWidth="1" min="4" max="4"/>
    <col width="18" customWidth="1" min="5" max="5"/>
  </cols>
  <sheetData>
    <row r="1">
      <c r="A1" s="1" t="inlineStr">
        <is>
          <t>FMECA WORKBOOK</t>
        </is>
      </c>
    </row>
    <row r="2">
      <c r="A2" s="2" t="inlineStr">
        <is>
          <t>Failure Modes, Effects and Criticality Analysis – companion to the HAZOP Study Workbook (IEC 60812 approach)</t>
        </is>
      </c>
    </row>
    <row r="4">
      <c r="A4" s="3" t="inlineStr">
        <is>
          <t>Legend:</t>
        </is>
      </c>
      <c r="B4" s="4" t="inlineStr">
        <is>
          <t>Yellow = enter / select data</t>
        </is>
      </c>
      <c r="C4" s="5" t="inlineStr">
        <is>
          <t>Grey = formula (do not overwrite)</t>
        </is>
      </c>
      <c r="D4" s="6" t="inlineStr">
        <is>
          <t>Blue = returned from another sheet</t>
        </is>
      </c>
    </row>
    <row r="6">
      <c r="A6" s="7" t="inlineStr">
        <is>
          <t>STUDY DETAILS</t>
        </is>
      </c>
      <c r="B6" s="8" t="n"/>
      <c r="C6" s="8" t="n"/>
      <c r="D6" s="8" t="n"/>
      <c r="E6" s="9" t="n"/>
    </row>
    <row r="7">
      <c r="A7" s="10" t="inlineStr">
        <is>
          <t>Study title</t>
        </is>
      </c>
      <c r="B7" s="4" t="inlineStr">
        <is>
          <t>FMECA – [Plant / Unit name]</t>
        </is>
      </c>
    </row>
    <row r="8">
      <c r="A8" s="10" t="inlineStr">
        <is>
          <t>Company / site</t>
        </is>
      </c>
      <c r="B8" s="4" t="inlineStr"/>
    </row>
    <row r="9">
      <c r="A9" s="10" t="inlineStr">
        <is>
          <t>Plant / unit / area</t>
        </is>
      </c>
      <c r="B9" s="4" t="inlineStr"/>
    </row>
    <row r="10">
      <c r="A10" s="10" t="inlineStr">
        <is>
          <t>Related HAZOP study (document no.)</t>
        </is>
      </c>
      <c r="B10" s="4" t="inlineStr"/>
    </row>
    <row r="11">
      <c r="A11" s="10" t="inlineStr">
        <is>
          <t>Study type</t>
        </is>
      </c>
      <c r="B11" s="4" t="inlineStr">
        <is>
          <t>FMECA – existing plant</t>
        </is>
      </c>
    </row>
    <row r="12">
      <c r="A12" s="10" t="inlineStr">
        <is>
          <t>Document number</t>
        </is>
      </c>
      <c r="B12" s="4" t="inlineStr"/>
    </row>
    <row r="13">
      <c r="A13" s="10" t="inlineStr">
        <is>
          <t>Revision</t>
        </is>
      </c>
      <c r="B13" s="4" t="inlineStr">
        <is>
          <t>0</t>
        </is>
      </c>
    </row>
    <row r="14">
      <c r="A14" s="10" t="inlineStr">
        <is>
          <t>Study start date</t>
        </is>
      </c>
      <c r="B14" s="4" t="inlineStr"/>
    </row>
    <row r="15">
      <c r="A15" s="10" t="inlineStr">
        <is>
          <t>Study end date</t>
        </is>
      </c>
      <c r="B15" s="4" t="inlineStr"/>
    </row>
    <row r="16" ht="45" customHeight="1">
      <c r="A16" s="10" t="inlineStr">
        <is>
          <t>Scope – systems included</t>
        </is>
      </c>
      <c r="B16" s="4" t="inlineStr"/>
    </row>
    <row r="17" ht="45" customHeight="1">
      <c r="A17" s="10" t="inlineStr">
        <is>
          <t>Exclusions</t>
        </is>
      </c>
      <c r="B17" s="4" t="inlineStr"/>
    </row>
    <row r="18">
      <c r="A18" s="10" t="inlineStr">
        <is>
          <t>Level of analysis</t>
        </is>
      </c>
      <c r="B18" s="4" t="inlineStr">
        <is>
          <t>Equipment / maintainable item</t>
        </is>
      </c>
    </row>
    <row r="19" ht="45" customHeight="1">
      <c r="A19" s="10" t="inlineStr">
        <is>
          <t>Operating context</t>
        </is>
      </c>
      <c r="B19" s="4" t="inlineStr"/>
    </row>
    <row r="20">
      <c r="A20" s="10" t="inlineStr">
        <is>
          <t>Facilitator</t>
        </is>
      </c>
      <c r="B20" s="4" t="inlineStr"/>
    </row>
    <row r="21">
      <c r="A21" s="10" t="inlineStr">
        <is>
          <t>Scribe</t>
        </is>
      </c>
      <c r="B21" s="4" t="inlineStr"/>
    </row>
    <row r="22">
      <c r="A22" s="10" t="inlineStr">
        <is>
          <t>Rating method</t>
        </is>
      </c>
      <c r="B22" s="4" t="inlineStr">
        <is>
          <t>Severity, Occurrence, Detection 1–10; RPN = S x O x D; AIAG-VDA Action Priority (see 'Rating Scales')</t>
        </is>
      </c>
    </row>
    <row r="23">
      <c r="A23" s="10" t="inlineStr">
        <is>
          <t>Number of systems</t>
        </is>
      </c>
      <c r="B23" s="5">
        <f>COUNTA(Systems!B5:B34)</f>
        <v/>
      </c>
    </row>
    <row r="24">
      <c r="A24" s="10" t="inlineStr">
        <is>
          <t>Number of equipment items</t>
        </is>
      </c>
      <c r="B24" s="5">
        <f>COUNTA('Equipment Register'!C5:C204)</f>
        <v/>
      </c>
    </row>
    <row r="26">
      <c r="A26" s="7" t="inlineStr">
        <is>
          <t>STUDY TEAM</t>
        </is>
      </c>
      <c r="B26" s="8" t="n"/>
      <c r="C26" s="8" t="n"/>
      <c r="D26" s="8" t="n"/>
      <c r="E26" s="9" t="n"/>
    </row>
    <row r="27">
      <c r="A27" s="7" t="inlineStr">
        <is>
          <t>Name</t>
        </is>
      </c>
      <c r="B27" s="7" t="inlineStr">
        <is>
          <t>Company</t>
        </is>
      </c>
      <c r="C27" s="7" t="inlineStr">
        <is>
          <t>Discipline / role</t>
        </is>
      </c>
      <c r="D27" s="7" t="inlineStr">
        <is>
          <t>Sessions / days attended</t>
        </is>
      </c>
      <c r="E27" s="7" t="inlineStr">
        <is>
          <t>Signature</t>
        </is>
      </c>
    </row>
    <row r="28">
      <c r="A28" s="4" t="n"/>
      <c r="B28" s="4" t="n"/>
      <c r="C28" s="4" t="n"/>
      <c r="D28" s="4" t="n"/>
      <c r="E28" s="4" t="n"/>
    </row>
    <row r="29">
      <c r="A29" s="4" t="n"/>
      <c r="B29" s="4" t="n"/>
      <c r="C29" s="4" t="n"/>
      <c r="D29" s="4" t="n"/>
      <c r="E29" s="4" t="n"/>
    </row>
    <row r="30">
      <c r="A30" s="4" t="n"/>
      <c r="B30" s="4" t="n"/>
      <c r="C30" s="4" t="n"/>
      <c r="D30" s="4" t="n"/>
      <c r="E30" s="4" t="n"/>
    </row>
    <row r="31">
      <c r="A31" s="4" t="n"/>
      <c r="B31" s="4" t="n"/>
      <c r="C31" s="4" t="n"/>
      <c r="D31" s="4" t="n"/>
      <c r="E31" s="4" t="n"/>
    </row>
    <row r="32">
      <c r="A32" s="4" t="n"/>
      <c r="B32" s="4" t="n"/>
      <c r="C32" s="4" t="n"/>
      <c r="D32" s="4" t="n"/>
      <c r="E32" s="4" t="n"/>
    </row>
    <row r="33">
      <c r="A33" s="4" t="n"/>
      <c r="B33" s="4" t="n"/>
      <c r="C33" s="4" t="n"/>
      <c r="D33" s="4" t="n"/>
      <c r="E33" s="4" t="n"/>
    </row>
    <row r="34">
      <c r="A34" s="4" t="n"/>
      <c r="B34" s="4" t="n"/>
      <c r="C34" s="4" t="n"/>
      <c r="D34" s="4" t="n"/>
      <c r="E34" s="4" t="n"/>
    </row>
    <row r="35">
      <c r="A35" s="4" t="n"/>
      <c r="B35" s="4" t="n"/>
      <c r="C35" s="4" t="n"/>
      <c r="D35" s="4" t="n"/>
      <c r="E35" s="4" t="n"/>
    </row>
    <row r="36">
      <c r="A36" s="4" t="n"/>
      <c r="B36" s="4" t="n"/>
      <c r="C36" s="4" t="n"/>
      <c r="D36" s="4" t="n"/>
      <c r="E36" s="4" t="n"/>
    </row>
    <row r="37">
      <c r="A37" s="4" t="n"/>
      <c r="B37" s="4" t="n"/>
      <c r="C37" s="4" t="n"/>
      <c r="D37" s="4" t="n"/>
      <c r="E37" s="4" t="n"/>
    </row>
    <row r="38">
      <c r="A38" s="4" t="n"/>
      <c r="B38" s="4" t="n"/>
      <c r="C38" s="4" t="n"/>
      <c r="D38" s="4" t="n"/>
      <c r="E38" s="4" t="n"/>
    </row>
    <row r="39">
      <c r="A39" s="4" t="n"/>
      <c r="B39" s="4" t="n"/>
      <c r="C39" s="4" t="n"/>
      <c r="D39" s="4" t="n"/>
      <c r="E39" s="4" t="n"/>
    </row>
    <row r="41">
      <c r="A41" s="7" t="inlineStr">
        <is>
          <t>APPROVAL</t>
        </is>
      </c>
      <c r="B41" s="8" t="n"/>
      <c r="C41" s="8" t="n"/>
      <c r="D41" s="8" t="n"/>
      <c r="E41" s="9" t="n"/>
    </row>
    <row r="42">
      <c r="A42" s="7" t="inlineStr"/>
      <c r="B42" s="7" t="inlineStr">
        <is>
          <t>Name</t>
        </is>
      </c>
      <c r="C42" s="7" t="inlineStr">
        <is>
          <t>Position</t>
        </is>
      </c>
      <c r="D42" s="7" t="inlineStr">
        <is>
          <t>Signature</t>
        </is>
      </c>
      <c r="E42" s="7" t="inlineStr">
        <is>
          <t>Date</t>
        </is>
      </c>
    </row>
    <row r="43">
      <c r="A43" s="10" t="inlineStr">
        <is>
          <t>Prepared by</t>
        </is>
      </c>
      <c r="B43" s="4" t="n"/>
      <c r="C43" s="4" t="n"/>
      <c r="D43" s="4" t="n"/>
      <c r="E43" s="4" t="n"/>
    </row>
    <row r="44">
      <c r="A44" s="10" t="inlineStr">
        <is>
          <t>Reviewed by</t>
        </is>
      </c>
      <c r="B44" s="4" t="n"/>
      <c r="C44" s="4" t="n"/>
      <c r="D44" s="4" t="n"/>
      <c r="E44" s="4" t="n"/>
    </row>
    <row r="45">
      <c r="A45" s="10" t="inlineStr">
        <is>
          <t>Approved by</t>
        </is>
      </c>
      <c r="B45" s="4" t="n"/>
      <c r="C45" s="4" t="n"/>
      <c r="D45" s="4" t="n"/>
      <c r="E45" s="4" t="n"/>
    </row>
    <row r="47">
      <c r="A47" s="7" t="inlineStr">
        <is>
          <t>WORKBOOK CONTENTS</t>
        </is>
      </c>
      <c r="B47" s="8" t="n"/>
      <c r="C47" s="8" t="n"/>
      <c r="D47" s="8" t="n"/>
      <c r="E47" s="9" t="n"/>
    </row>
    <row r="48">
      <c r="A48" s="11" t="inlineStr">
        <is>
          <t>Cover</t>
        </is>
      </c>
      <c r="B48" s="12" t="inlineStr">
        <is>
          <t>Study details, team, approval</t>
        </is>
      </c>
    </row>
    <row r="49">
      <c r="A49" s="11" t="inlineStr">
        <is>
          <t>Reference Docs</t>
        </is>
      </c>
      <c r="B49" s="12" t="inlineStr">
        <is>
          <t>Drawings, equipment data, maintenance history and reliability data used in the study</t>
        </is>
      </c>
    </row>
    <row r="50">
      <c r="A50" s="11" t="inlineStr">
        <is>
          <t>Systems</t>
        </is>
      </c>
      <c r="B50" s="12" t="inlineStr">
        <is>
          <t>System list: function, operating context, boundaries, drawings, related HAZOP nodes</t>
        </is>
      </c>
    </row>
    <row r="51">
      <c r="A51" s="11" t="inlineStr">
        <is>
          <t>Equipment Register</t>
        </is>
      </c>
      <c r="B51" s="12" t="inlineStr">
        <is>
          <t>Equipment tags per system with equipment type (drives the drop-downs on the system sheets)</t>
        </is>
      </c>
    </row>
    <row r="52">
      <c r="A52" s="11" t="inlineStr">
        <is>
          <t>Lists</t>
        </is>
      </c>
      <c r="B52" s="12" t="inlineStr">
        <is>
          <t>Drop-down sources: equipment types, components, failure modes, causes / mechanisms, detection methods (editable)</t>
        </is>
      </c>
    </row>
    <row r="53">
      <c r="A53" s="11" t="inlineStr">
        <is>
          <t>Rating Scales</t>
        </is>
      </c>
      <c r="B53" s="12" t="inlineStr">
        <is>
          <t>Severity, Occurrence, Detection 1–10 scales, RPN / severity thresholds and Action Priority table (editable)</t>
        </is>
      </c>
    </row>
    <row r="54">
      <c r="A54" s="11" t="inlineStr">
        <is>
          <t>Summary</t>
        </is>
      </c>
      <c r="B54" s="12" t="inlineStr">
        <is>
          <t>Failure modes, Action Priority counts, highest RPN and open actions per system</t>
        </is>
      </c>
    </row>
    <row r="55">
      <c r="A55" s="11" t="inlineStr">
        <is>
          <t>System 01 … System 10</t>
        </is>
      </c>
      <c r="B55" s="12" t="inlineStr">
        <is>
          <t>One FMECA worksheet per system – one row per failure mode</t>
        </is>
      </c>
    </row>
  </sheetData>
  <mergeCells count="30">
    <mergeCell ref="B9:E9"/>
    <mergeCell ref="B49:E49"/>
    <mergeCell ref="B15:E15"/>
    <mergeCell ref="B55:E55"/>
    <mergeCell ref="B24:E24"/>
    <mergeCell ref="B51:E51"/>
    <mergeCell ref="B20:E20"/>
    <mergeCell ref="A6:E6"/>
    <mergeCell ref="B50:E50"/>
    <mergeCell ref="A41:E41"/>
    <mergeCell ref="B16:E16"/>
    <mergeCell ref="B54:E54"/>
    <mergeCell ref="B7:E7"/>
    <mergeCell ref="B22:E22"/>
    <mergeCell ref="B18:E18"/>
    <mergeCell ref="A26:E26"/>
    <mergeCell ref="B12:E12"/>
    <mergeCell ref="B52:E52"/>
    <mergeCell ref="B21:E21"/>
    <mergeCell ref="B48:E48"/>
    <mergeCell ref="A47:E47"/>
    <mergeCell ref="B11:E11"/>
    <mergeCell ref="B14:E14"/>
    <mergeCell ref="B17:E17"/>
    <mergeCell ref="B23:E23"/>
    <mergeCell ref="B8:E8"/>
    <mergeCell ref="B53:E53"/>
    <mergeCell ref="B13:E13"/>
    <mergeCell ref="B19:E19"/>
    <mergeCell ref="B10:E10"/>
  </mergeCells>
  <dataValidations count="3">
    <dataValidation sqref="B11" showDropDown="0" showInputMessage="0" showErrorMessage="1" allowBlank="1" errorTitle="Not in list" error="Entry is not in the list – it will be accepted as free text." type="list" errorStyle="information">
      <formula1>"FMECA – new design,FMECA – existing plant,FMECA – modification / MOC,FMECA – RCM input"</formula1>
    </dataValidation>
    <dataValidation sqref="B18" showDropDown="0" showInputMessage="0" showErrorMessage="1" allowBlank="1" errorTitle="Not in list" error="Entry is not in the list – it will be accepted as free text." type="list" errorStyle="information">
      <formula1>"System / functional,Equipment / maintainable item,Component / part"</formula1>
    </dataValidation>
    <dataValidation sqref="C28:C39" showDropDown="0" showInputMessage="0" showErrorMessage="1" allowBlank="1" errorTitle="Not in list" error="Entry is not in the list – it will be accepted as free text." type="list" errorStyle="information">
      <formula1>"Facilitator,Scribe,Reliability engineer,Maintenance engineer / planner,Mechanical technician,Electrical / instrument technician,Operations representative,Process engineer,Inspection / integrity engineer,HSE / process safety,Vendor specialist,Other"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50" customWidth="1" min="4" max="4"/>
    <col width="9" customWidth="1" min="5" max="5"/>
    <col width="12" customWidth="1" min="6" max="6"/>
    <col width="18" customWidth="1" min="7" max="7"/>
    <col width="14" customWidth="1" min="8" max="8"/>
    <col width="18" customWidth="1" min="9" max="9"/>
    <col width="34" customWidth="1" min="10" max="10"/>
  </cols>
  <sheetData>
    <row r="1">
      <c r="A1" s="1" t="inlineStr">
        <is>
          <t>REFERENCE DOCUMENT REGISTER</t>
        </is>
      </c>
    </row>
    <row r="2">
      <c r="A2" s="2" t="inlineStr">
        <is>
          <t>Pre-filled with a typical FMECA checklist – delete or add rows as required.</t>
        </is>
      </c>
    </row>
    <row r="4">
      <c r="A4" s="7" t="inlineStr">
        <is>
          <t>Ref</t>
        </is>
      </c>
      <c r="B4" s="7" t="inlineStr">
        <is>
          <t>Category</t>
        </is>
      </c>
      <c r="C4" s="7" t="inlineStr">
        <is>
          <t>Document number</t>
        </is>
      </c>
      <c r="D4" s="7" t="inlineStr">
        <is>
          <t>Title / description</t>
        </is>
      </c>
      <c r="E4" s="7" t="inlineStr">
        <is>
          <t>Revision</t>
        </is>
      </c>
      <c r="F4" s="7" t="inlineStr">
        <is>
          <t>Date</t>
        </is>
      </c>
      <c r="G4" s="7" t="inlineStr">
        <is>
          <t>Owner / custodian</t>
        </is>
      </c>
      <c r="H4" s="7" t="inlineStr">
        <is>
          <t>Status</t>
        </is>
      </c>
      <c r="I4" s="7" t="inlineStr">
        <is>
          <t>Applicable systems</t>
        </is>
      </c>
      <c r="J4" s="7" t="inlineStr">
        <is>
          <t>Comments</t>
        </is>
      </c>
    </row>
    <row r="5">
      <c r="A5" s="12" t="inlineStr">
        <is>
          <t>REF-01</t>
        </is>
      </c>
      <c r="B5" s="4" t="inlineStr">
        <is>
          <t>Drawings</t>
        </is>
      </c>
      <c r="C5" s="4" t="inlineStr"/>
      <c r="D5" s="4" t="inlineStr">
        <is>
          <t>P&amp;IDs for all systems in scope</t>
        </is>
      </c>
      <c r="E5" s="4" t="inlineStr"/>
      <c r="F5" s="13" t="inlineStr"/>
      <c r="G5" s="4" t="inlineStr"/>
      <c r="H5" s="4" t="inlineStr"/>
      <c r="I5" s="4" t="inlineStr"/>
      <c r="J5" s="4" t="inlineStr"/>
    </row>
    <row r="6">
      <c r="A6" s="12" t="inlineStr">
        <is>
          <t>REF-02</t>
        </is>
      </c>
      <c r="B6" s="4" t="inlineStr">
        <is>
          <t>Drawings</t>
        </is>
      </c>
      <c r="C6" s="4" t="inlineStr"/>
      <c r="D6" s="4" t="inlineStr">
        <is>
          <t>PFDs / system block diagrams</t>
        </is>
      </c>
      <c r="E6" s="4" t="inlineStr"/>
      <c r="F6" s="13" t="inlineStr"/>
      <c r="G6" s="4" t="inlineStr"/>
      <c r="H6" s="4" t="inlineStr"/>
      <c r="I6" s="4" t="inlineStr"/>
      <c r="J6" s="4" t="inlineStr"/>
    </row>
    <row r="7">
      <c r="A7" s="12" t="inlineStr">
        <is>
          <t>REF-03</t>
        </is>
      </c>
      <c r="B7" s="4" t="inlineStr">
        <is>
          <t>Drawings</t>
        </is>
      </c>
      <c r="C7" s="4" t="inlineStr"/>
      <c r="D7" s="4" t="inlineStr">
        <is>
          <t>Electrical single-line diagrams</t>
        </is>
      </c>
      <c r="E7" s="4" t="inlineStr"/>
      <c r="F7" s="13" t="inlineStr"/>
      <c r="G7" s="4" t="inlineStr"/>
      <c r="H7" s="4" t="inlineStr"/>
      <c r="I7" s="4" t="inlineStr"/>
      <c r="J7" s="4" t="inlineStr"/>
    </row>
    <row r="8">
      <c r="A8" s="12" t="inlineStr">
        <is>
          <t>REF-04</t>
        </is>
      </c>
      <c r="B8" s="4" t="inlineStr">
        <is>
          <t>Drawings</t>
        </is>
      </c>
      <c r="C8" s="4" t="inlineStr"/>
      <c r="D8" s="4" t="inlineStr">
        <is>
          <t>General arrangement / layout drawings</t>
        </is>
      </c>
      <c r="E8" s="4" t="inlineStr"/>
      <c r="F8" s="13" t="inlineStr"/>
      <c r="G8" s="4" t="inlineStr"/>
      <c r="H8" s="4" t="inlineStr"/>
      <c r="I8" s="4" t="inlineStr"/>
      <c r="J8" s="4" t="inlineStr"/>
    </row>
    <row r="9">
      <c r="A9" s="12" t="inlineStr">
        <is>
          <t>REF-05</t>
        </is>
      </c>
      <c r="B9" s="4" t="inlineStr">
        <is>
          <t>Equipment data</t>
        </is>
      </c>
      <c r="C9" s="4" t="inlineStr"/>
      <c r="D9" s="4" t="inlineStr">
        <is>
          <t>Equipment data sheets</t>
        </is>
      </c>
      <c r="E9" s="4" t="inlineStr"/>
      <c r="F9" s="13" t="inlineStr"/>
      <c r="G9" s="4" t="inlineStr"/>
      <c r="H9" s="4" t="inlineStr"/>
      <c r="I9" s="4" t="inlineStr"/>
      <c r="J9" s="4" t="inlineStr"/>
    </row>
    <row r="10">
      <c r="A10" s="12" t="inlineStr">
        <is>
          <t>REF-06</t>
        </is>
      </c>
      <c r="B10" s="4" t="inlineStr">
        <is>
          <t>Equipment data</t>
        </is>
      </c>
      <c r="C10" s="4" t="inlineStr"/>
      <c r="D10" s="4" t="inlineStr">
        <is>
          <t>OEM manuals and recommended maintenance</t>
        </is>
      </c>
      <c r="E10" s="4" t="inlineStr"/>
      <c r="F10" s="13" t="inlineStr"/>
      <c r="G10" s="4" t="inlineStr"/>
      <c r="H10" s="4" t="inlineStr"/>
      <c r="I10" s="4" t="inlineStr"/>
      <c r="J10" s="4" t="inlineStr"/>
    </row>
    <row r="11">
      <c r="A11" s="12" t="inlineStr">
        <is>
          <t>REF-07</t>
        </is>
      </c>
      <c r="B11" s="4" t="inlineStr">
        <is>
          <t>Equipment data</t>
        </is>
      </c>
      <c r="C11" s="4" t="inlineStr"/>
      <c r="D11" s="4" t="inlineStr">
        <is>
          <t>Equipment register / asset hierarchy (CMMS)</t>
        </is>
      </c>
      <c r="E11" s="4" t="inlineStr"/>
      <c r="F11" s="13" t="inlineStr"/>
      <c r="G11" s="4" t="inlineStr"/>
      <c r="H11" s="4" t="inlineStr"/>
      <c r="I11" s="4" t="inlineStr"/>
      <c r="J11" s="4" t="inlineStr"/>
    </row>
    <row r="12">
      <c r="A12" s="12" t="inlineStr">
        <is>
          <t>REF-08</t>
        </is>
      </c>
      <c r="B12" s="4" t="inlineStr">
        <is>
          <t>Equipment data</t>
        </is>
      </c>
      <c r="C12" s="4" t="inlineStr"/>
      <c r="D12" s="4" t="inlineStr">
        <is>
          <t>Materials of construction / piping specifications</t>
        </is>
      </c>
      <c r="E12" s="4" t="inlineStr"/>
      <c r="F12" s="13" t="inlineStr"/>
      <c r="G12" s="4" t="inlineStr"/>
      <c r="H12" s="4" t="inlineStr"/>
      <c r="I12" s="4" t="inlineStr"/>
      <c r="J12" s="4" t="inlineStr"/>
    </row>
    <row r="13">
      <c r="A13" s="12" t="inlineStr">
        <is>
          <t>REF-09</t>
        </is>
      </c>
      <c r="B13" s="4" t="inlineStr">
        <is>
          <t>Equipment data</t>
        </is>
      </c>
      <c r="C13" s="4" t="inlineStr"/>
      <c r="D13" s="4" t="inlineStr">
        <is>
          <t>Cause &amp; effect diagrams and trip settings</t>
        </is>
      </c>
      <c r="E13" s="4" t="inlineStr"/>
      <c r="F13" s="13" t="inlineStr"/>
      <c r="G13" s="4" t="inlineStr"/>
      <c r="H13" s="4" t="inlineStr"/>
      <c r="I13" s="4" t="inlineStr"/>
      <c r="J13" s="4" t="inlineStr"/>
    </row>
    <row r="14">
      <c r="A14" s="12" t="inlineStr">
        <is>
          <t>REF-10</t>
        </is>
      </c>
      <c r="B14" s="4" t="inlineStr">
        <is>
          <t>Equipment data</t>
        </is>
      </c>
      <c r="C14" s="4" t="inlineStr"/>
      <c r="D14" s="4" t="inlineStr">
        <is>
          <t>SIL / SRS documentation for safety functions</t>
        </is>
      </c>
      <c r="E14" s="4" t="inlineStr"/>
      <c r="F14" s="13" t="inlineStr"/>
      <c r="G14" s="4" t="inlineStr"/>
      <c r="H14" s="4" t="inlineStr"/>
      <c r="I14" s="4" t="inlineStr"/>
      <c r="J14" s="4" t="inlineStr"/>
    </row>
    <row r="15">
      <c r="A15" s="12" t="inlineStr">
        <is>
          <t>REF-11</t>
        </is>
      </c>
      <c r="B15" s="4" t="inlineStr">
        <is>
          <t>Maintenance history</t>
        </is>
      </c>
      <c r="C15" s="4" t="inlineStr"/>
      <c r="D15" s="4" t="inlineStr">
        <is>
          <t>CMMS work-order and failure history (last 3–5 years)</t>
        </is>
      </c>
      <c r="E15" s="4" t="inlineStr"/>
      <c r="F15" s="13" t="inlineStr"/>
      <c r="G15" s="4" t="inlineStr"/>
      <c r="H15" s="4" t="inlineStr"/>
      <c r="I15" s="4" t="inlineStr"/>
      <c r="J15" s="4" t="inlineStr"/>
    </row>
    <row r="16">
      <c r="A16" s="12" t="inlineStr">
        <is>
          <t>REF-12</t>
        </is>
      </c>
      <c r="B16" s="4" t="inlineStr">
        <is>
          <t>Maintenance history</t>
        </is>
      </c>
      <c r="C16" s="4" t="inlineStr"/>
      <c r="D16" s="4" t="inlineStr">
        <is>
          <t>Condition monitoring reports</t>
        </is>
      </c>
      <c r="E16" s="4" t="inlineStr"/>
      <c r="F16" s="13" t="inlineStr"/>
      <c r="G16" s="4" t="inlineStr"/>
      <c r="H16" s="4" t="inlineStr"/>
      <c r="I16" s="4" t="inlineStr"/>
      <c r="J16" s="4" t="inlineStr"/>
    </row>
    <row r="17">
      <c r="A17" s="12" t="inlineStr">
        <is>
          <t>REF-13</t>
        </is>
      </c>
      <c r="B17" s="4" t="inlineStr">
        <is>
          <t>Maintenance history</t>
        </is>
      </c>
      <c r="C17" s="4" t="inlineStr"/>
      <c r="D17" s="4" t="inlineStr">
        <is>
          <t>Inspection reports (incl. refractory, water-cooled elements, cranes)</t>
        </is>
      </c>
      <c r="E17" s="4" t="inlineStr"/>
      <c r="F17" s="13" t="inlineStr"/>
      <c r="G17" s="4" t="inlineStr"/>
      <c r="H17" s="4" t="inlineStr"/>
      <c r="I17" s="4" t="inlineStr"/>
      <c r="J17" s="4" t="inlineStr"/>
    </row>
    <row r="18">
      <c r="A18" s="12" t="inlineStr">
        <is>
          <t>REF-14</t>
        </is>
      </c>
      <c r="B18" s="4" t="inlineStr">
        <is>
          <t>Reliability data</t>
        </is>
      </c>
      <c r="C18" s="4" t="inlineStr"/>
      <c r="D18" s="4" t="inlineStr">
        <is>
          <t>Generic failure-rate data (e.g. OREDA, CCPS process equipment reliability data)</t>
        </is>
      </c>
      <c r="E18" s="4" t="inlineStr"/>
      <c r="F18" s="13" t="inlineStr"/>
      <c r="G18" s="4" t="inlineStr"/>
      <c r="H18" s="4" t="inlineStr"/>
      <c r="I18" s="4" t="inlineStr"/>
      <c r="J18" s="4" t="inlineStr"/>
    </row>
    <row r="19">
      <c r="A19" s="12" t="inlineStr">
        <is>
          <t>REF-15</t>
        </is>
      </c>
      <c r="B19" s="4" t="inlineStr">
        <is>
          <t>Reliability data</t>
        </is>
      </c>
      <c r="C19" s="4" t="inlineStr"/>
      <c r="D19" s="4" t="inlineStr">
        <is>
          <t>Site bad-actor list / downtime analysis</t>
        </is>
      </c>
      <c r="E19" s="4" t="inlineStr"/>
      <c r="F19" s="13" t="inlineStr"/>
      <c r="G19" s="4" t="inlineStr"/>
      <c r="H19" s="4" t="inlineStr"/>
      <c r="I19" s="4" t="inlineStr"/>
      <c r="J19" s="4" t="inlineStr"/>
    </row>
    <row r="20">
      <c r="A20" s="12" t="inlineStr">
        <is>
          <t>REF-16</t>
        </is>
      </c>
      <c r="B20" s="4" t="inlineStr">
        <is>
          <t>Procedures</t>
        </is>
      </c>
      <c r="C20" s="4" t="inlineStr"/>
      <c r="D20" s="4" t="inlineStr">
        <is>
          <t>Operating procedures</t>
        </is>
      </c>
      <c r="E20" s="4" t="inlineStr"/>
      <c r="F20" s="13" t="inlineStr"/>
      <c r="G20" s="4" t="inlineStr"/>
      <c r="H20" s="4" t="inlineStr"/>
      <c r="I20" s="4" t="inlineStr"/>
      <c r="J20" s="4" t="inlineStr"/>
    </row>
    <row r="21">
      <c r="A21" s="12" t="inlineStr">
        <is>
          <t>REF-17</t>
        </is>
      </c>
      <c r="B21" s="4" t="inlineStr">
        <is>
          <t>Procedures</t>
        </is>
      </c>
      <c r="C21" s="4" t="inlineStr"/>
      <c r="D21" s="4" t="inlineStr">
        <is>
          <t>Maintenance procedures and PM task lists</t>
        </is>
      </c>
      <c r="E21" s="4" t="inlineStr"/>
      <c r="F21" s="13" t="inlineStr"/>
      <c r="G21" s="4" t="inlineStr"/>
      <c r="H21" s="4" t="inlineStr"/>
      <c r="I21" s="4" t="inlineStr"/>
      <c r="J21" s="4" t="inlineStr"/>
    </row>
    <row r="22">
      <c r="A22" s="12" t="inlineStr">
        <is>
          <t>REF-18</t>
        </is>
      </c>
      <c r="B22" s="4" t="inlineStr">
        <is>
          <t>Previous studies</t>
        </is>
      </c>
      <c r="C22" s="4" t="inlineStr"/>
      <c r="D22" s="4" t="inlineStr">
        <is>
          <t>HAZOP report for the same systems (see HAZOP Study Workbook)</t>
        </is>
      </c>
      <c r="E22" s="4" t="inlineStr"/>
      <c r="F22" s="13" t="inlineStr"/>
      <c r="G22" s="4" t="inlineStr"/>
      <c r="H22" s="4" t="inlineStr"/>
      <c r="I22" s="4" t="inlineStr"/>
      <c r="J22" s="4" t="inlineStr"/>
    </row>
    <row r="23">
      <c r="A23" s="12" t="inlineStr">
        <is>
          <t>REF-19</t>
        </is>
      </c>
      <c r="B23" s="4" t="inlineStr">
        <is>
          <t>Previous studies</t>
        </is>
      </c>
      <c r="C23" s="4" t="inlineStr"/>
      <c r="D23" s="4" t="inlineStr">
        <is>
          <t>Previous FMECA / RCM studies</t>
        </is>
      </c>
      <c r="E23" s="4" t="inlineStr"/>
      <c r="F23" s="13" t="inlineStr"/>
      <c r="G23" s="4" t="inlineStr"/>
      <c r="H23" s="4" t="inlineStr"/>
      <c r="I23" s="4" t="inlineStr"/>
      <c r="J23" s="4" t="inlineStr"/>
    </row>
    <row r="24">
      <c r="A24" s="12" t="inlineStr">
        <is>
          <t>REF-20</t>
        </is>
      </c>
      <c r="B24" s="4" t="inlineStr">
        <is>
          <t>Previous studies</t>
        </is>
      </c>
      <c r="C24" s="4" t="inlineStr"/>
      <c r="D24" s="4" t="inlineStr">
        <is>
          <t>Root cause analyses of significant failures</t>
        </is>
      </c>
      <c r="E24" s="4" t="inlineStr"/>
      <c r="F24" s="13" t="inlineStr"/>
      <c r="G24" s="4" t="inlineStr"/>
      <c r="H24" s="4" t="inlineStr"/>
      <c r="I24" s="4" t="inlineStr"/>
      <c r="J24" s="4" t="inlineStr"/>
    </row>
    <row r="25">
      <c r="A25" s="12" t="inlineStr">
        <is>
          <t>REF-21</t>
        </is>
      </c>
      <c r="B25" s="4" t="n"/>
      <c r="C25" s="4" t="n"/>
      <c r="D25" s="4" t="n"/>
      <c r="E25" s="4" t="n"/>
      <c r="F25" s="13" t="n"/>
      <c r="G25" s="4" t="n"/>
      <c r="H25" s="4" t="n"/>
      <c r="I25" s="4" t="n"/>
      <c r="J25" s="4" t="n"/>
    </row>
    <row r="26">
      <c r="A26" s="12" t="inlineStr">
        <is>
          <t>REF-22</t>
        </is>
      </c>
      <c r="B26" s="4" t="n"/>
      <c r="C26" s="4" t="n"/>
      <c r="D26" s="4" t="n"/>
      <c r="E26" s="4" t="n"/>
      <c r="F26" s="13" t="n"/>
      <c r="G26" s="4" t="n"/>
      <c r="H26" s="4" t="n"/>
      <c r="I26" s="4" t="n"/>
      <c r="J26" s="4" t="n"/>
    </row>
    <row r="27">
      <c r="A27" s="12" t="inlineStr">
        <is>
          <t>REF-23</t>
        </is>
      </c>
      <c r="B27" s="4" t="n"/>
      <c r="C27" s="4" t="n"/>
      <c r="D27" s="4" t="n"/>
      <c r="E27" s="4" t="n"/>
      <c r="F27" s="13" t="n"/>
      <c r="G27" s="4" t="n"/>
      <c r="H27" s="4" t="n"/>
      <c r="I27" s="4" t="n"/>
      <c r="J27" s="4" t="n"/>
    </row>
    <row r="28">
      <c r="A28" s="12" t="inlineStr">
        <is>
          <t>REF-24</t>
        </is>
      </c>
      <c r="B28" s="4" t="n"/>
      <c r="C28" s="4" t="n"/>
      <c r="D28" s="4" t="n"/>
      <c r="E28" s="4" t="n"/>
      <c r="F28" s="13" t="n"/>
      <c r="G28" s="4" t="n"/>
      <c r="H28" s="4" t="n"/>
      <c r="I28" s="4" t="n"/>
      <c r="J28" s="4" t="n"/>
    </row>
    <row r="29">
      <c r="A29" s="12" t="inlineStr">
        <is>
          <t>REF-25</t>
        </is>
      </c>
      <c r="B29" s="4" t="n"/>
      <c r="C29" s="4" t="n"/>
      <c r="D29" s="4" t="n"/>
      <c r="E29" s="4" t="n"/>
      <c r="F29" s="13" t="n"/>
      <c r="G29" s="4" t="n"/>
      <c r="H29" s="4" t="n"/>
      <c r="I29" s="4" t="n"/>
      <c r="J29" s="4" t="n"/>
    </row>
    <row r="30">
      <c r="A30" s="12" t="inlineStr">
        <is>
          <t>REF-26</t>
        </is>
      </c>
      <c r="B30" s="4" t="n"/>
      <c r="C30" s="4" t="n"/>
      <c r="D30" s="4" t="n"/>
      <c r="E30" s="4" t="n"/>
      <c r="F30" s="13" t="n"/>
      <c r="G30" s="4" t="n"/>
      <c r="H30" s="4" t="n"/>
      <c r="I30" s="4" t="n"/>
      <c r="J30" s="4" t="n"/>
    </row>
    <row r="31">
      <c r="A31" s="12" t="inlineStr">
        <is>
          <t>REF-27</t>
        </is>
      </c>
      <c r="B31" s="4" t="n"/>
      <c r="C31" s="4" t="n"/>
      <c r="D31" s="4" t="n"/>
      <c r="E31" s="4" t="n"/>
      <c r="F31" s="13" t="n"/>
      <c r="G31" s="4" t="n"/>
      <c r="H31" s="4" t="n"/>
      <c r="I31" s="4" t="n"/>
      <c r="J31" s="4" t="n"/>
    </row>
    <row r="32">
      <c r="A32" s="12" t="inlineStr">
        <is>
          <t>REF-28</t>
        </is>
      </c>
      <c r="B32" s="4" t="n"/>
      <c r="C32" s="4" t="n"/>
      <c r="D32" s="4" t="n"/>
      <c r="E32" s="4" t="n"/>
      <c r="F32" s="13" t="n"/>
      <c r="G32" s="4" t="n"/>
      <c r="H32" s="4" t="n"/>
      <c r="I32" s="4" t="n"/>
      <c r="J32" s="4" t="n"/>
    </row>
    <row r="33">
      <c r="A33" s="12" t="inlineStr">
        <is>
          <t>REF-29</t>
        </is>
      </c>
      <c r="B33" s="4" t="n"/>
      <c r="C33" s="4" t="n"/>
      <c r="D33" s="4" t="n"/>
      <c r="E33" s="4" t="n"/>
      <c r="F33" s="13" t="n"/>
      <c r="G33" s="4" t="n"/>
      <c r="H33" s="4" t="n"/>
      <c r="I33" s="4" t="n"/>
      <c r="J33" s="4" t="n"/>
    </row>
    <row r="34">
      <c r="A34" s="12" t="inlineStr">
        <is>
          <t>REF-30</t>
        </is>
      </c>
      <c r="B34" s="4" t="n"/>
      <c r="C34" s="4" t="n"/>
      <c r="D34" s="4" t="n"/>
      <c r="E34" s="4" t="n"/>
      <c r="F34" s="13" t="n"/>
      <c r="G34" s="4" t="n"/>
      <c r="H34" s="4" t="n"/>
      <c r="I34" s="4" t="n"/>
      <c r="J34" s="4" t="n"/>
    </row>
    <row r="35">
      <c r="A35" s="12" t="inlineStr">
        <is>
          <t>REF-31</t>
        </is>
      </c>
      <c r="B35" s="4" t="n"/>
      <c r="C35" s="4" t="n"/>
      <c r="D35" s="4" t="n"/>
      <c r="E35" s="4" t="n"/>
      <c r="F35" s="13" t="n"/>
      <c r="G35" s="4" t="n"/>
      <c r="H35" s="4" t="n"/>
      <c r="I35" s="4" t="n"/>
      <c r="J35" s="4" t="n"/>
    </row>
    <row r="36">
      <c r="A36" s="12" t="inlineStr">
        <is>
          <t>REF-32</t>
        </is>
      </c>
      <c r="B36" s="4" t="n"/>
      <c r="C36" s="4" t="n"/>
      <c r="D36" s="4" t="n"/>
      <c r="E36" s="4" t="n"/>
      <c r="F36" s="13" t="n"/>
      <c r="G36" s="4" t="n"/>
      <c r="H36" s="4" t="n"/>
      <c r="I36" s="4" t="n"/>
      <c r="J36" s="4" t="n"/>
    </row>
    <row r="37">
      <c r="A37" s="12" t="inlineStr">
        <is>
          <t>REF-33</t>
        </is>
      </c>
      <c r="B37" s="4" t="n"/>
      <c r="C37" s="4" t="n"/>
      <c r="D37" s="4" t="n"/>
      <c r="E37" s="4" t="n"/>
      <c r="F37" s="13" t="n"/>
      <c r="G37" s="4" t="n"/>
      <c r="H37" s="4" t="n"/>
      <c r="I37" s="4" t="n"/>
      <c r="J37" s="4" t="n"/>
    </row>
    <row r="38">
      <c r="A38" s="12" t="inlineStr">
        <is>
          <t>REF-34</t>
        </is>
      </c>
      <c r="B38" s="4" t="n"/>
      <c r="C38" s="4" t="n"/>
      <c r="D38" s="4" t="n"/>
      <c r="E38" s="4" t="n"/>
      <c r="F38" s="13" t="n"/>
      <c r="G38" s="4" t="n"/>
      <c r="H38" s="4" t="n"/>
      <c r="I38" s="4" t="n"/>
      <c r="J38" s="4" t="n"/>
    </row>
    <row r="39">
      <c r="A39" s="12" t="inlineStr">
        <is>
          <t>REF-35</t>
        </is>
      </c>
      <c r="B39" s="4" t="n"/>
      <c r="C39" s="4" t="n"/>
      <c r="D39" s="4" t="n"/>
      <c r="E39" s="4" t="n"/>
      <c r="F39" s="13" t="n"/>
      <c r="G39" s="4" t="n"/>
      <c r="H39" s="4" t="n"/>
      <c r="I39" s="4" t="n"/>
      <c r="J39" s="4" t="n"/>
    </row>
    <row r="40">
      <c r="A40" s="12" t="inlineStr">
        <is>
          <t>REF-36</t>
        </is>
      </c>
      <c r="B40" s="4" t="n"/>
      <c r="C40" s="4" t="n"/>
      <c r="D40" s="4" t="n"/>
      <c r="E40" s="4" t="n"/>
      <c r="F40" s="13" t="n"/>
      <c r="G40" s="4" t="n"/>
      <c r="H40" s="4" t="n"/>
      <c r="I40" s="4" t="n"/>
      <c r="J40" s="4" t="n"/>
    </row>
    <row r="41">
      <c r="A41" s="12" t="inlineStr">
        <is>
          <t>REF-37</t>
        </is>
      </c>
      <c r="B41" s="4" t="n"/>
      <c r="C41" s="4" t="n"/>
      <c r="D41" s="4" t="n"/>
      <c r="E41" s="4" t="n"/>
      <c r="F41" s="13" t="n"/>
      <c r="G41" s="4" t="n"/>
      <c r="H41" s="4" t="n"/>
      <c r="I41" s="4" t="n"/>
      <c r="J41" s="4" t="n"/>
    </row>
    <row r="42">
      <c r="A42" s="12" t="inlineStr">
        <is>
          <t>REF-38</t>
        </is>
      </c>
      <c r="B42" s="4" t="n"/>
      <c r="C42" s="4" t="n"/>
      <c r="D42" s="4" t="n"/>
      <c r="E42" s="4" t="n"/>
      <c r="F42" s="13" t="n"/>
      <c r="G42" s="4" t="n"/>
      <c r="H42" s="4" t="n"/>
      <c r="I42" s="4" t="n"/>
      <c r="J42" s="4" t="n"/>
    </row>
    <row r="43">
      <c r="A43" s="12" t="inlineStr">
        <is>
          <t>REF-39</t>
        </is>
      </c>
      <c r="B43" s="4" t="n"/>
      <c r="C43" s="4" t="n"/>
      <c r="D43" s="4" t="n"/>
      <c r="E43" s="4" t="n"/>
      <c r="F43" s="13" t="n"/>
      <c r="G43" s="4" t="n"/>
      <c r="H43" s="4" t="n"/>
      <c r="I43" s="4" t="n"/>
      <c r="J43" s="4" t="n"/>
    </row>
    <row r="44">
      <c r="A44" s="12" t="inlineStr">
        <is>
          <t>REF-40</t>
        </is>
      </c>
      <c r="B44" s="4" t="n"/>
      <c r="C44" s="4" t="n"/>
      <c r="D44" s="4" t="n"/>
      <c r="E44" s="4" t="n"/>
      <c r="F44" s="13" t="n"/>
      <c r="G44" s="4" t="n"/>
      <c r="H44" s="4" t="n"/>
      <c r="I44" s="4" t="n"/>
      <c r="J44" s="4" t="n"/>
    </row>
  </sheetData>
  <autoFilter ref="A4:J44"/>
  <dataValidations count="2">
    <dataValidation sqref="B5:B44" showDropDown="0" showInputMessage="0" showErrorMessage="1" allowBlank="1" errorTitle="Not in list" error="Entry is not in the list – it will be accepted as free text." type="list" errorStyle="information">
      <formula1>=DocCategories</formula1>
    </dataValidation>
    <dataValidation sqref="H5:H44" showDropDown="0" showInputMessage="0" showErrorMessage="1" allowBlank="1" type="list">
      <formula1>"Available,Outstanding,Superseded,Not applicable"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36" customWidth="1" min="3" max="3"/>
    <col width="44" customWidth="1" min="4" max="4"/>
    <col width="40" customWidth="1" min="5" max="5"/>
    <col width="36" customWidth="1" min="6" max="6"/>
    <col width="20" customWidth="1" min="7" max="7"/>
    <col width="18" customWidth="1" min="8" max="8"/>
    <col width="24" customWidth="1" min="9" max="9"/>
  </cols>
  <sheetData>
    <row r="1">
      <c r="A1" s="1" t="inlineStr">
        <is>
          <t>SYSTEM LIST</t>
        </is>
      </c>
    </row>
    <row r="2">
      <c r="A2" s="2" t="inlineStr">
        <is>
          <t>One row per system. System title (column C) feeds the drop-down at the top of each FMECA worksheet and the Equipment Register.</t>
        </is>
      </c>
    </row>
    <row r="4">
      <c r="A4" s="7" t="inlineStr">
        <is>
          <t>System No.</t>
        </is>
      </c>
      <c r="B4" s="7" t="inlineStr">
        <is>
          <t>System name</t>
        </is>
      </c>
      <c r="C4" s="7" t="inlineStr">
        <is>
          <t>System title (auto)</t>
        </is>
      </c>
      <c r="D4" s="7" t="inlineStr">
        <is>
          <t>Function / performance standard</t>
        </is>
      </c>
      <c r="E4" s="7" t="inlineStr">
        <is>
          <t>Operating context (duty, redundancy, environment)</t>
        </is>
      </c>
      <c r="F4" s="7" t="inlineStr">
        <is>
          <t>System boundaries</t>
        </is>
      </c>
      <c r="G4" s="7" t="inlineStr">
        <is>
          <t>P&amp;IDs / drawings</t>
        </is>
      </c>
      <c r="H4" s="7" t="inlineStr">
        <is>
          <t>Related HAZOP node(s)</t>
        </is>
      </c>
      <c r="I4" s="7" t="inlineStr">
        <is>
          <t>Comments</t>
        </is>
      </c>
    </row>
    <row r="5" ht="45" customHeight="1">
      <c r="A5" s="11" t="inlineStr">
        <is>
          <t>S01</t>
        </is>
      </c>
      <c r="B5" s="4" t="inlineStr">
        <is>
          <t>Hot DRI transfer conveyor</t>
        </is>
      </c>
      <c r="C5" s="5">
        <f>IF(B5="","",A5&amp;" – "&amp;B5)</f>
        <v/>
      </c>
      <c r="D5" s="4" t="inlineStr">
        <is>
          <t>Transfer hot DRI from the reduction shaft discharge to the EAF charging bin at design rate, without stoppage under load, spillage or belt damage</t>
        </is>
      </c>
      <c r="E5" s="4" t="inlineStr">
        <is>
          <t>Continuous duty; single conveyor (no standby); enclosed hood and gallery; hot, dusty environment; about 6 trips under load per year</t>
        </is>
      </c>
      <c r="F5" s="4" t="inlineStr">
        <is>
          <t>From the shaft hot DRI discharge chute to the EAF charging bin inlet: belt, drive, idlers, hood, dust extraction, emergency discharge chute, speed / load / temperature instruments</t>
        </is>
      </c>
      <c r="G5" s="4" t="inlineStr">
        <is>
          <t>P&amp;ID-DRI-301, 302</t>
        </is>
      </c>
      <c r="H5" s="4" t="inlineStr">
        <is>
          <t>HAZOP N01</t>
        </is>
      </c>
      <c r="I5" s="14" t="inlineStr">
        <is>
          <t>Example rows – overwrite with your systems.</t>
        </is>
      </c>
    </row>
    <row r="6" ht="45" customHeight="1">
      <c r="A6" s="11" t="inlineStr">
        <is>
          <t>S02</t>
        </is>
      </c>
      <c r="B6" s="4" t="inlineStr">
        <is>
          <t>N2 fire detection, inerting &amp; extinguishing system</t>
        </is>
      </c>
      <c r="C6" s="5">
        <f>IF(B6="","",A6&amp;" – "&amp;B6)</f>
        <v/>
      </c>
      <c r="D6" s="4" t="inlineStr">
        <is>
          <t>Detect a stoppage under load or a fire and flood the conveyor enclosure with N2 within the design time (PFDavg target per fault tree / LOPA)</t>
        </is>
      </c>
      <c r="E6" s="4" t="inlineStr">
        <is>
          <t>Standby protection system on demand; 1oo2 release valves; buffer vessel from plant N2; six-monthly function and blow-through test</t>
        </is>
      </c>
      <c r="F6" s="4" t="inlineStr">
        <is>
          <t>From the plant N2 isolation valve via buffer vessel V-212, PCV-211, XV-210A/B to nozzles in the hood; detectors and control panel UCP-210</t>
        </is>
      </c>
      <c r="G6" s="4" t="inlineStr">
        <is>
          <t>P&amp;ID-N2-305</t>
        </is>
      </c>
      <c r="H6" s="4" t="inlineStr">
        <is>
          <t>HAZOP N02</t>
        </is>
      </c>
      <c r="I6" s="4" t="n"/>
    </row>
    <row r="7" ht="45" customHeight="1">
      <c r="A7" s="11" t="inlineStr">
        <is>
          <t>S03</t>
        </is>
      </c>
      <c r="B7" s="4" t="inlineStr"/>
      <c r="C7" s="5">
        <f>IF(B7="","",A7&amp;" – "&amp;B7)</f>
        <v/>
      </c>
      <c r="D7" s="4" t="inlineStr"/>
      <c r="E7" s="4" t="inlineStr"/>
      <c r="F7" s="4" t="inlineStr"/>
      <c r="G7" s="4" t="inlineStr"/>
      <c r="H7" s="4" t="inlineStr"/>
      <c r="I7" s="4" t="n"/>
    </row>
    <row r="8" ht="45" customHeight="1">
      <c r="A8" s="11" t="inlineStr">
        <is>
          <t>S04</t>
        </is>
      </c>
      <c r="B8" s="4" t="inlineStr"/>
      <c r="C8" s="5">
        <f>IF(B8="","",A8&amp;" – "&amp;B8)</f>
        <v/>
      </c>
      <c r="D8" s="4" t="inlineStr"/>
      <c r="E8" s="4" t="inlineStr"/>
      <c r="F8" s="4" t="inlineStr"/>
      <c r="G8" s="4" t="inlineStr"/>
      <c r="H8" s="4" t="inlineStr"/>
      <c r="I8" s="4" t="n"/>
    </row>
    <row r="9" ht="45" customHeight="1">
      <c r="A9" s="11" t="inlineStr">
        <is>
          <t>S05</t>
        </is>
      </c>
      <c r="B9" s="4" t="inlineStr"/>
      <c r="C9" s="5">
        <f>IF(B9="","",A9&amp;" – "&amp;B9)</f>
        <v/>
      </c>
      <c r="D9" s="4" t="inlineStr"/>
      <c r="E9" s="4" t="inlineStr"/>
      <c r="F9" s="4" t="inlineStr"/>
      <c r="G9" s="4" t="inlineStr"/>
      <c r="H9" s="4" t="inlineStr"/>
      <c r="I9" s="4" t="n"/>
    </row>
    <row r="10" ht="45" customHeight="1">
      <c r="A10" s="11" t="inlineStr">
        <is>
          <t>S06</t>
        </is>
      </c>
      <c r="B10" s="4" t="inlineStr"/>
      <c r="C10" s="5">
        <f>IF(B10="","",A10&amp;" – "&amp;B10)</f>
        <v/>
      </c>
      <c r="D10" s="4" t="inlineStr"/>
      <c r="E10" s="4" t="inlineStr"/>
      <c r="F10" s="4" t="inlineStr"/>
      <c r="G10" s="4" t="inlineStr"/>
      <c r="H10" s="4" t="inlineStr"/>
      <c r="I10" s="4" t="n"/>
    </row>
    <row r="11" ht="45" customHeight="1">
      <c r="A11" s="11" t="inlineStr">
        <is>
          <t>S07</t>
        </is>
      </c>
      <c r="B11" s="4" t="inlineStr"/>
      <c r="C11" s="5">
        <f>IF(B11="","",A11&amp;" – "&amp;B11)</f>
        <v/>
      </c>
      <c r="D11" s="4" t="inlineStr"/>
      <c r="E11" s="4" t="inlineStr"/>
      <c r="F11" s="4" t="inlineStr"/>
      <c r="G11" s="4" t="inlineStr"/>
      <c r="H11" s="4" t="inlineStr"/>
      <c r="I11" s="4" t="n"/>
    </row>
    <row r="12" ht="45" customHeight="1">
      <c r="A12" s="11" t="inlineStr">
        <is>
          <t>S08</t>
        </is>
      </c>
      <c r="B12" s="4" t="inlineStr"/>
      <c r="C12" s="5">
        <f>IF(B12="","",A12&amp;" – "&amp;B12)</f>
        <v/>
      </c>
      <c r="D12" s="4" t="inlineStr"/>
      <c r="E12" s="4" t="inlineStr"/>
      <c r="F12" s="4" t="inlineStr"/>
      <c r="G12" s="4" t="inlineStr"/>
      <c r="H12" s="4" t="inlineStr"/>
      <c r="I12" s="4" t="n"/>
    </row>
    <row r="13" ht="45" customHeight="1">
      <c r="A13" s="11" t="inlineStr">
        <is>
          <t>S09</t>
        </is>
      </c>
      <c r="B13" s="4" t="inlineStr"/>
      <c r="C13" s="5">
        <f>IF(B13="","",A13&amp;" – "&amp;B13)</f>
        <v/>
      </c>
      <c r="D13" s="4" t="inlineStr"/>
      <c r="E13" s="4" t="inlineStr"/>
      <c r="F13" s="4" t="inlineStr"/>
      <c r="G13" s="4" t="inlineStr"/>
      <c r="H13" s="4" t="inlineStr"/>
      <c r="I13" s="4" t="n"/>
    </row>
    <row r="14" ht="45" customHeight="1">
      <c r="A14" s="11" t="inlineStr">
        <is>
          <t>S10</t>
        </is>
      </c>
      <c r="B14" s="4" t="inlineStr"/>
      <c r="C14" s="5">
        <f>IF(B14="","",A14&amp;" – "&amp;B14)</f>
        <v/>
      </c>
      <c r="D14" s="4" t="inlineStr"/>
      <c r="E14" s="4" t="inlineStr"/>
      <c r="F14" s="4" t="inlineStr"/>
      <c r="G14" s="4" t="inlineStr"/>
      <c r="H14" s="4" t="inlineStr"/>
      <c r="I14" s="4" t="n"/>
    </row>
    <row r="15" ht="45" customHeight="1">
      <c r="A15" s="11" t="inlineStr">
        <is>
          <t>S11</t>
        </is>
      </c>
      <c r="B15" s="4" t="inlineStr"/>
      <c r="C15" s="5">
        <f>IF(B15="","",A15&amp;" – "&amp;B15)</f>
        <v/>
      </c>
      <c r="D15" s="4" t="inlineStr"/>
      <c r="E15" s="4" t="inlineStr"/>
      <c r="F15" s="4" t="inlineStr"/>
      <c r="G15" s="4" t="inlineStr"/>
      <c r="H15" s="4" t="inlineStr"/>
      <c r="I15" s="4" t="n"/>
    </row>
    <row r="16" ht="45" customHeight="1">
      <c r="A16" s="11" t="inlineStr">
        <is>
          <t>S12</t>
        </is>
      </c>
      <c r="B16" s="4" t="inlineStr"/>
      <c r="C16" s="5">
        <f>IF(B16="","",A16&amp;" – "&amp;B16)</f>
        <v/>
      </c>
      <c r="D16" s="4" t="inlineStr"/>
      <c r="E16" s="4" t="inlineStr"/>
      <c r="F16" s="4" t="inlineStr"/>
      <c r="G16" s="4" t="inlineStr"/>
      <c r="H16" s="4" t="inlineStr"/>
      <c r="I16" s="4" t="n"/>
    </row>
    <row r="17" ht="45" customHeight="1">
      <c r="A17" s="11" t="inlineStr">
        <is>
          <t>S13</t>
        </is>
      </c>
      <c r="B17" s="4" t="inlineStr"/>
      <c r="C17" s="5">
        <f>IF(B17="","",A17&amp;" – "&amp;B17)</f>
        <v/>
      </c>
      <c r="D17" s="4" t="inlineStr"/>
      <c r="E17" s="4" t="inlineStr"/>
      <c r="F17" s="4" t="inlineStr"/>
      <c r="G17" s="4" t="inlineStr"/>
      <c r="H17" s="4" t="inlineStr"/>
      <c r="I17" s="4" t="n"/>
    </row>
    <row r="18" ht="45" customHeight="1">
      <c r="A18" s="11" t="inlineStr">
        <is>
          <t>S14</t>
        </is>
      </c>
      <c r="B18" s="4" t="inlineStr"/>
      <c r="C18" s="5">
        <f>IF(B18="","",A18&amp;" – "&amp;B18)</f>
        <v/>
      </c>
      <c r="D18" s="4" t="inlineStr"/>
      <c r="E18" s="4" t="inlineStr"/>
      <c r="F18" s="4" t="inlineStr"/>
      <c r="G18" s="4" t="inlineStr"/>
      <c r="H18" s="4" t="inlineStr"/>
      <c r="I18" s="4" t="n"/>
    </row>
    <row r="19" ht="45" customHeight="1">
      <c r="A19" s="11" t="inlineStr">
        <is>
          <t>S15</t>
        </is>
      </c>
      <c r="B19" s="4" t="inlineStr"/>
      <c r="C19" s="5">
        <f>IF(B19="","",A19&amp;" – "&amp;B19)</f>
        <v/>
      </c>
      <c r="D19" s="4" t="inlineStr"/>
      <c r="E19" s="4" t="inlineStr"/>
      <c r="F19" s="4" t="inlineStr"/>
      <c r="G19" s="4" t="inlineStr"/>
      <c r="H19" s="4" t="inlineStr"/>
      <c r="I19" s="4" t="n"/>
    </row>
    <row r="20" ht="45" customHeight="1">
      <c r="A20" s="11" t="inlineStr">
        <is>
          <t>S16</t>
        </is>
      </c>
      <c r="B20" s="4" t="inlineStr"/>
      <c r="C20" s="5">
        <f>IF(B20="","",A20&amp;" – "&amp;B20)</f>
        <v/>
      </c>
      <c r="D20" s="4" t="inlineStr"/>
      <c r="E20" s="4" t="inlineStr"/>
      <c r="F20" s="4" t="inlineStr"/>
      <c r="G20" s="4" t="inlineStr"/>
      <c r="H20" s="4" t="inlineStr"/>
      <c r="I20" s="4" t="n"/>
    </row>
    <row r="21" ht="45" customHeight="1">
      <c r="A21" s="11" t="inlineStr">
        <is>
          <t>S17</t>
        </is>
      </c>
      <c r="B21" s="4" t="inlineStr"/>
      <c r="C21" s="5">
        <f>IF(B21="","",A21&amp;" – "&amp;B21)</f>
        <v/>
      </c>
      <c r="D21" s="4" t="inlineStr"/>
      <c r="E21" s="4" t="inlineStr"/>
      <c r="F21" s="4" t="inlineStr"/>
      <c r="G21" s="4" t="inlineStr"/>
      <c r="H21" s="4" t="inlineStr"/>
      <c r="I21" s="4" t="n"/>
    </row>
    <row r="22" ht="45" customHeight="1">
      <c r="A22" s="11" t="inlineStr">
        <is>
          <t>S18</t>
        </is>
      </c>
      <c r="B22" s="4" t="inlineStr"/>
      <c r="C22" s="5">
        <f>IF(B22="","",A22&amp;" – "&amp;B22)</f>
        <v/>
      </c>
      <c r="D22" s="4" t="inlineStr"/>
      <c r="E22" s="4" t="inlineStr"/>
      <c r="F22" s="4" t="inlineStr"/>
      <c r="G22" s="4" t="inlineStr"/>
      <c r="H22" s="4" t="inlineStr"/>
      <c r="I22" s="4" t="n"/>
    </row>
    <row r="23" ht="45" customHeight="1">
      <c r="A23" s="11" t="inlineStr">
        <is>
          <t>S19</t>
        </is>
      </c>
      <c r="B23" s="4" t="inlineStr"/>
      <c r="C23" s="5">
        <f>IF(B23="","",A23&amp;" – "&amp;B23)</f>
        <v/>
      </c>
      <c r="D23" s="4" t="inlineStr"/>
      <c r="E23" s="4" t="inlineStr"/>
      <c r="F23" s="4" t="inlineStr"/>
      <c r="G23" s="4" t="inlineStr"/>
      <c r="H23" s="4" t="inlineStr"/>
      <c r="I23" s="4" t="n"/>
    </row>
    <row r="24" ht="45" customHeight="1">
      <c r="A24" s="11" t="inlineStr">
        <is>
          <t>S20</t>
        </is>
      </c>
      <c r="B24" s="4" t="inlineStr"/>
      <c r="C24" s="5">
        <f>IF(B24="","",A24&amp;" – "&amp;B24)</f>
        <v/>
      </c>
      <c r="D24" s="4" t="inlineStr"/>
      <c r="E24" s="4" t="inlineStr"/>
      <c r="F24" s="4" t="inlineStr"/>
      <c r="G24" s="4" t="inlineStr"/>
      <c r="H24" s="4" t="inlineStr"/>
      <c r="I24" s="4" t="n"/>
    </row>
    <row r="25" ht="45" customHeight="1">
      <c r="A25" s="11" t="inlineStr">
        <is>
          <t>S21</t>
        </is>
      </c>
      <c r="B25" s="4" t="inlineStr"/>
      <c r="C25" s="5">
        <f>IF(B25="","",A25&amp;" – "&amp;B25)</f>
        <v/>
      </c>
      <c r="D25" s="4" t="inlineStr"/>
      <c r="E25" s="4" t="inlineStr"/>
      <c r="F25" s="4" t="inlineStr"/>
      <c r="G25" s="4" t="inlineStr"/>
      <c r="H25" s="4" t="inlineStr"/>
      <c r="I25" s="4" t="n"/>
    </row>
    <row r="26" ht="45" customHeight="1">
      <c r="A26" s="11" t="inlineStr">
        <is>
          <t>S22</t>
        </is>
      </c>
      <c r="B26" s="4" t="inlineStr"/>
      <c r="C26" s="5">
        <f>IF(B26="","",A26&amp;" – "&amp;B26)</f>
        <v/>
      </c>
      <c r="D26" s="4" t="inlineStr"/>
      <c r="E26" s="4" t="inlineStr"/>
      <c r="F26" s="4" t="inlineStr"/>
      <c r="G26" s="4" t="inlineStr"/>
      <c r="H26" s="4" t="inlineStr"/>
      <c r="I26" s="4" t="n"/>
    </row>
    <row r="27" ht="45" customHeight="1">
      <c r="A27" s="11" t="inlineStr">
        <is>
          <t>S23</t>
        </is>
      </c>
      <c r="B27" s="4" t="inlineStr"/>
      <c r="C27" s="5">
        <f>IF(B27="","",A27&amp;" – "&amp;B27)</f>
        <v/>
      </c>
      <c r="D27" s="4" t="inlineStr"/>
      <c r="E27" s="4" t="inlineStr"/>
      <c r="F27" s="4" t="inlineStr"/>
      <c r="G27" s="4" t="inlineStr"/>
      <c r="H27" s="4" t="inlineStr"/>
      <c r="I27" s="4" t="n"/>
    </row>
    <row r="28" ht="45" customHeight="1">
      <c r="A28" s="11" t="inlineStr">
        <is>
          <t>S24</t>
        </is>
      </c>
      <c r="B28" s="4" t="inlineStr"/>
      <c r="C28" s="5">
        <f>IF(B28="","",A28&amp;" – "&amp;B28)</f>
        <v/>
      </c>
      <c r="D28" s="4" t="inlineStr"/>
      <c r="E28" s="4" t="inlineStr"/>
      <c r="F28" s="4" t="inlineStr"/>
      <c r="G28" s="4" t="inlineStr"/>
      <c r="H28" s="4" t="inlineStr"/>
      <c r="I28" s="4" t="n"/>
    </row>
    <row r="29" ht="45" customHeight="1">
      <c r="A29" s="11" t="inlineStr">
        <is>
          <t>S25</t>
        </is>
      </c>
      <c r="B29" s="4" t="inlineStr"/>
      <c r="C29" s="5">
        <f>IF(B29="","",A29&amp;" – "&amp;B29)</f>
        <v/>
      </c>
      <c r="D29" s="4" t="inlineStr"/>
      <c r="E29" s="4" t="inlineStr"/>
      <c r="F29" s="4" t="inlineStr"/>
      <c r="G29" s="4" t="inlineStr"/>
      <c r="H29" s="4" t="inlineStr"/>
      <c r="I29" s="4" t="n"/>
    </row>
    <row r="30" ht="45" customHeight="1">
      <c r="A30" s="11" t="inlineStr">
        <is>
          <t>S26</t>
        </is>
      </c>
      <c r="B30" s="4" t="inlineStr"/>
      <c r="C30" s="5">
        <f>IF(B30="","",A30&amp;" – "&amp;B30)</f>
        <v/>
      </c>
      <c r="D30" s="4" t="inlineStr"/>
      <c r="E30" s="4" t="inlineStr"/>
      <c r="F30" s="4" t="inlineStr"/>
      <c r="G30" s="4" t="inlineStr"/>
      <c r="H30" s="4" t="inlineStr"/>
      <c r="I30" s="4" t="n"/>
    </row>
    <row r="31" ht="45" customHeight="1">
      <c r="A31" s="11" t="inlineStr">
        <is>
          <t>S27</t>
        </is>
      </c>
      <c r="B31" s="4" t="inlineStr"/>
      <c r="C31" s="5">
        <f>IF(B31="","",A31&amp;" – "&amp;B31)</f>
        <v/>
      </c>
      <c r="D31" s="4" t="inlineStr"/>
      <c r="E31" s="4" t="inlineStr"/>
      <c r="F31" s="4" t="inlineStr"/>
      <c r="G31" s="4" t="inlineStr"/>
      <c r="H31" s="4" t="inlineStr"/>
      <c r="I31" s="4" t="n"/>
    </row>
    <row r="32" ht="45" customHeight="1">
      <c r="A32" s="11" t="inlineStr">
        <is>
          <t>S28</t>
        </is>
      </c>
      <c r="B32" s="4" t="inlineStr"/>
      <c r="C32" s="5">
        <f>IF(B32="","",A32&amp;" – "&amp;B32)</f>
        <v/>
      </c>
      <c r="D32" s="4" t="inlineStr"/>
      <c r="E32" s="4" t="inlineStr"/>
      <c r="F32" s="4" t="inlineStr"/>
      <c r="G32" s="4" t="inlineStr"/>
      <c r="H32" s="4" t="inlineStr"/>
      <c r="I32" s="4" t="n"/>
    </row>
    <row r="33" ht="45" customHeight="1">
      <c r="A33" s="11" t="inlineStr">
        <is>
          <t>S29</t>
        </is>
      </c>
      <c r="B33" s="4" t="inlineStr"/>
      <c r="C33" s="5">
        <f>IF(B33="","",A33&amp;" – "&amp;B33)</f>
        <v/>
      </c>
      <c r="D33" s="4" t="inlineStr"/>
      <c r="E33" s="4" t="inlineStr"/>
      <c r="F33" s="4" t="inlineStr"/>
      <c r="G33" s="4" t="inlineStr"/>
      <c r="H33" s="4" t="inlineStr"/>
      <c r="I33" s="4" t="n"/>
    </row>
    <row r="34" ht="45" customHeight="1">
      <c r="A34" s="11" t="inlineStr">
        <is>
          <t>S30</t>
        </is>
      </c>
      <c r="B34" s="4" t="inlineStr"/>
      <c r="C34" s="5">
        <f>IF(B34="","",A34&amp;" – "&amp;B34)</f>
        <v/>
      </c>
      <c r="D34" s="4" t="inlineStr"/>
      <c r="E34" s="4" t="inlineStr"/>
      <c r="F34" s="4" t="inlineStr"/>
      <c r="G34" s="4" t="inlineStr"/>
      <c r="H34" s="4" t="inlineStr"/>
      <c r="I34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6" customWidth="1" min="2" max="2"/>
    <col width="16" customWidth="1" min="3" max="3"/>
    <col width="36" customWidth="1" min="4" max="4"/>
    <col width="38" customWidth="1" min="5" max="5"/>
    <col width="22" customWidth="1" min="6" max="6"/>
    <col width="14" customWidth="1" min="7" max="7"/>
    <col width="40" customWidth="1" min="8" max="8"/>
    <col width="24" customWidth="1" min="9" max="9"/>
  </cols>
  <sheetData>
    <row r="1">
      <c r="A1" s="1" t="inlineStr">
        <is>
          <t>EQUIPMENT REGISTER</t>
        </is>
      </c>
    </row>
    <row r="2">
      <c r="A2" s="2" t="inlineStr">
        <is>
          <t>List every equipment item in scope against its system. Equipment type selects the component and failure-mode lists on the FMECA sheets.</t>
        </is>
      </c>
    </row>
    <row r="4">
      <c r="A4" s="7" t="inlineStr">
        <is>
          <t>Item</t>
        </is>
      </c>
      <c r="B4" s="7" t="inlineStr">
        <is>
          <t>System</t>
        </is>
      </c>
      <c r="C4" s="7" t="inlineStr">
        <is>
          <t>Equipment tag</t>
        </is>
      </c>
      <c r="D4" s="7" t="inlineStr">
        <is>
          <t>Equipment description</t>
        </is>
      </c>
      <c r="E4" s="7" t="inlineStr">
        <is>
          <t>Equipment type</t>
        </is>
      </c>
      <c r="F4" s="7" t="inlineStr">
        <is>
          <t>Manufacturer / model</t>
        </is>
      </c>
      <c r="G4" s="7" t="inlineStr">
        <is>
          <t>Configuration</t>
        </is>
      </c>
      <c r="H4" s="7" t="inlineStr">
        <is>
          <t>Function</t>
        </is>
      </c>
      <c r="I4" s="7" t="inlineStr">
        <is>
          <t>Comments</t>
        </is>
      </c>
    </row>
    <row r="5">
      <c r="A5" s="12" t="n">
        <v>1</v>
      </c>
      <c r="B5" s="4" t="inlineStr">
        <is>
          <t>S01 – Hot DRI transfer conveyor</t>
        </is>
      </c>
      <c r="C5" s="4" t="inlineStr">
        <is>
          <t>CV-201</t>
        </is>
      </c>
      <c r="D5" s="4" t="inlineStr">
        <is>
          <t>Hot DRI transfer belt conveyor</t>
        </is>
      </c>
      <c r="E5" s="4" t="inlineStr">
        <is>
          <t>Belt conveyor</t>
        </is>
      </c>
      <c r="F5" s="4" t="inlineStr"/>
      <c r="G5" s="4" t="inlineStr">
        <is>
          <t>Single</t>
        </is>
      </c>
      <c r="H5" s="4" t="inlineStr">
        <is>
          <t>Carry hot DRI in the enclosed hood to the EAF charging bin</t>
        </is>
      </c>
      <c r="I5" s="14" t="inlineStr">
        <is>
          <t>Example rows – overwrite.</t>
        </is>
      </c>
    </row>
    <row r="6">
      <c r="A6" s="12" t="n">
        <v>2</v>
      </c>
      <c r="B6" s="4" t="inlineStr">
        <is>
          <t>S01 – Hot DRI transfer conveyor</t>
        </is>
      </c>
      <c r="C6" s="4" t="inlineStr">
        <is>
          <t>M-201</t>
        </is>
      </c>
      <c r="D6" s="4" t="inlineStr">
        <is>
          <t>Conveyor drive motor</t>
        </is>
      </c>
      <c r="E6" s="4" t="inlineStr">
        <is>
          <t>Electric motor</t>
        </is>
      </c>
      <c r="F6" s="4" t="inlineStr"/>
      <c r="G6" s="4" t="inlineStr">
        <is>
          <t>Single</t>
        </is>
      </c>
      <c r="H6" s="4" t="inlineStr">
        <is>
          <t>Drive CV-201</t>
        </is>
      </c>
      <c r="I6" s="4" t="n"/>
    </row>
    <row r="7">
      <c r="A7" s="12" t="n">
        <v>3</v>
      </c>
      <c r="B7" s="4" t="inlineStr">
        <is>
          <t>S01 – Hot DRI transfer conveyor</t>
        </is>
      </c>
      <c r="C7" s="4" t="inlineStr">
        <is>
          <t>GB-201</t>
        </is>
      </c>
      <c r="D7" s="4" t="inlineStr">
        <is>
          <t>Conveyor drive gearbox</t>
        </is>
      </c>
      <c r="E7" s="4" t="inlineStr">
        <is>
          <t>Gearbox</t>
        </is>
      </c>
      <c r="F7" s="4" t="inlineStr"/>
      <c r="G7" s="4" t="inlineStr">
        <is>
          <t>Single</t>
        </is>
      </c>
      <c r="H7" s="4" t="inlineStr">
        <is>
          <t>Speed reduction for CV-201</t>
        </is>
      </c>
      <c r="I7" s="4" t="n"/>
    </row>
    <row r="8">
      <c r="A8" s="12" t="n">
        <v>4</v>
      </c>
      <c r="B8" s="4" t="inlineStr">
        <is>
          <t>S01 – Hot DRI transfer conveyor</t>
        </is>
      </c>
      <c r="C8" s="4" t="inlineStr">
        <is>
          <t>SS-201</t>
        </is>
      </c>
      <c r="D8" s="4" t="inlineStr">
        <is>
          <t>Zero-speed switch on tail pulley</t>
        </is>
      </c>
      <c r="E8" s="4" t="inlineStr">
        <is>
          <t>Instrument – transmitter / switch</t>
        </is>
      </c>
      <c r="F8" s="4" t="inlineStr"/>
      <c r="G8" s="4" t="inlineStr">
        <is>
          <t>Single</t>
        </is>
      </c>
      <c r="H8" s="4" t="inlineStr">
        <is>
          <t>Detect belt stop – stoppage-under-load logic</t>
        </is>
      </c>
      <c r="I8" s="4" t="n"/>
    </row>
    <row r="9">
      <c r="A9" s="12" t="n">
        <v>5</v>
      </c>
      <c r="B9" s="4" t="inlineStr">
        <is>
          <t>S01 – Hot DRI transfer conveyor</t>
        </is>
      </c>
      <c r="C9" s="4" t="inlineStr">
        <is>
          <t>WT-201</t>
        </is>
      </c>
      <c r="D9" s="4" t="inlineStr">
        <is>
          <t>Belt weigher</t>
        </is>
      </c>
      <c r="E9" s="4" t="inlineStr">
        <is>
          <t>Instrument – transmitter / switch</t>
        </is>
      </c>
      <c r="F9" s="4" t="inlineStr"/>
      <c r="G9" s="4" t="inlineStr">
        <is>
          <t>Single</t>
        </is>
      </c>
      <c r="H9" s="4" t="inlineStr">
        <is>
          <t>Detect load on belt – stoppage-under-load logic</t>
        </is>
      </c>
      <c r="I9" s="4" t="n"/>
    </row>
    <row r="10">
      <c r="A10" s="12" t="n">
        <v>6</v>
      </c>
      <c r="B10" s="4" t="inlineStr">
        <is>
          <t>S01 – Hot DRI transfer conveyor</t>
        </is>
      </c>
      <c r="C10" s="4" t="inlineStr">
        <is>
          <t>TSHH-202</t>
        </is>
      </c>
      <c r="D10" s="4" t="inlineStr">
        <is>
          <t>DRI discharge temperature transmitter / trip</t>
        </is>
      </c>
      <c r="E10" s="4" t="inlineStr">
        <is>
          <t>Instrument – transmitter / switch</t>
        </is>
      </c>
      <c r="F10" s="4" t="inlineStr"/>
      <c r="G10" s="4" t="inlineStr">
        <is>
          <t>Single</t>
        </is>
      </c>
      <c r="H10" s="4" t="inlineStr">
        <is>
          <t>Stop feed on high-high DRI temperature</t>
        </is>
      </c>
      <c r="I10" s="4" t="n"/>
    </row>
    <row r="11">
      <c r="A11" s="12" t="n">
        <v>7</v>
      </c>
      <c r="B11" s="4" t="inlineStr">
        <is>
          <t>S01 – Hot DRI transfer conveyor</t>
        </is>
      </c>
      <c r="C11" s="4" t="inlineStr">
        <is>
          <t>DC-203</t>
        </is>
      </c>
      <c r="D11" s="4" t="inlineStr">
        <is>
          <t>Conveyor hood dust collector</t>
        </is>
      </c>
      <c r="E11" s="4" t="inlineStr">
        <is>
          <t>Bag filter / dust collector</t>
        </is>
      </c>
      <c r="F11" s="4" t="inlineStr"/>
      <c r="G11" s="4" t="inlineStr">
        <is>
          <t>Single</t>
        </is>
      </c>
      <c r="H11" s="4" t="inlineStr">
        <is>
          <t>Extract dust and fines from the hood</t>
        </is>
      </c>
      <c r="I11" s="4" t="n"/>
    </row>
    <row r="12">
      <c r="A12" s="12" t="n">
        <v>8</v>
      </c>
      <c r="B12" s="4" t="inlineStr">
        <is>
          <t>S02 – N2 fire detection, inerting &amp; extinguishing system</t>
        </is>
      </c>
      <c r="C12" s="4" t="inlineStr">
        <is>
          <t>V-212</t>
        </is>
      </c>
      <c r="D12" s="4" t="inlineStr">
        <is>
          <t>N2 buffer vessel</t>
        </is>
      </c>
      <c r="E12" s="4" t="inlineStr">
        <is>
          <t>Pressure vessel / separator / column</t>
        </is>
      </c>
      <c r="F12" s="4" t="inlineStr"/>
      <c r="G12" s="4" t="inlineStr">
        <is>
          <t>Single</t>
        </is>
      </c>
      <c r="H12" s="4" t="inlineStr">
        <is>
          <t>Hold N2 inventory for one release</t>
        </is>
      </c>
      <c r="I12" s="4" t="n"/>
    </row>
    <row r="13">
      <c r="A13" s="12" t="n">
        <v>9</v>
      </c>
      <c r="B13" s="4" t="inlineStr">
        <is>
          <t>S02 – N2 fire detection, inerting &amp; extinguishing system</t>
        </is>
      </c>
      <c r="C13" s="4" t="inlineStr">
        <is>
          <t>PCV-211</t>
        </is>
      </c>
      <c r="D13" s="4" t="inlineStr">
        <is>
          <t>N2 pressure regulator</t>
        </is>
      </c>
      <c r="E13" s="4" t="inlineStr">
        <is>
          <t>Control valve</t>
        </is>
      </c>
      <c r="F13" s="4" t="inlineStr"/>
      <c r="G13" s="4" t="inlineStr">
        <is>
          <t>Single</t>
        </is>
      </c>
      <c r="H13" s="4" t="inlineStr">
        <is>
          <t>Regulate N2 delivery pressure to the hood</t>
        </is>
      </c>
      <c r="I13" s="4" t="n"/>
    </row>
    <row r="14">
      <c r="A14" s="12" t="n">
        <v>10</v>
      </c>
      <c r="B14" s="4" t="inlineStr">
        <is>
          <t>S02 – N2 fire detection, inerting &amp; extinguishing system</t>
        </is>
      </c>
      <c r="C14" s="4" t="inlineStr">
        <is>
          <t>XV-210A</t>
        </is>
      </c>
      <c r="D14" s="4" t="inlineStr">
        <is>
          <t>N2 release valve A</t>
        </is>
      </c>
      <c r="E14" s="4" t="inlineStr">
        <is>
          <t>Isolation / ESD valve</t>
        </is>
      </c>
      <c r="F14" s="4" t="inlineStr"/>
      <c r="G14" s="4" t="inlineStr">
        <is>
          <t>Duty</t>
        </is>
      </c>
      <c r="H14" s="4" t="inlineStr">
        <is>
          <t>Open on release demand (1oo2 with XV-210B)</t>
        </is>
      </c>
      <c r="I14" s="4" t="n"/>
    </row>
    <row r="15">
      <c r="A15" s="12" t="n">
        <v>11</v>
      </c>
      <c r="B15" s="4" t="inlineStr">
        <is>
          <t>S02 – N2 fire detection, inerting &amp; extinguishing system</t>
        </is>
      </c>
      <c r="C15" s="4" t="inlineStr">
        <is>
          <t>XV-210B</t>
        </is>
      </c>
      <c r="D15" s="4" t="inlineStr">
        <is>
          <t>N2 release valve B</t>
        </is>
      </c>
      <c r="E15" s="4" t="inlineStr">
        <is>
          <t>Isolation / ESD valve</t>
        </is>
      </c>
      <c r="F15" s="4" t="inlineStr"/>
      <c r="G15" s="4" t="inlineStr">
        <is>
          <t>Duty</t>
        </is>
      </c>
      <c r="H15" s="4" t="inlineStr">
        <is>
          <t>Open on release demand (1oo2 with XV-210A)</t>
        </is>
      </c>
      <c r="I15" s="4" t="n"/>
    </row>
    <row r="16">
      <c r="A16" s="12" t="n">
        <v>12</v>
      </c>
      <c r="B16" s="4" t="inlineStr">
        <is>
          <t>S02 – N2 fire detection, inerting &amp; extinguishing system</t>
        </is>
      </c>
      <c r="C16" s="4" t="inlineStr">
        <is>
          <t>GD-201A</t>
        </is>
      </c>
      <c r="D16" s="4" t="inlineStr">
        <is>
          <t>CO detector in hood A</t>
        </is>
      </c>
      <c r="E16" s="4" t="inlineStr">
        <is>
          <t>Analyser / gas detector</t>
        </is>
      </c>
      <c r="F16" s="4" t="inlineStr"/>
      <c r="G16" s="4" t="inlineStr">
        <is>
          <t>Duty</t>
        </is>
      </c>
      <c r="H16" s="4" t="inlineStr">
        <is>
          <t>Fire detection (1oo2)</t>
        </is>
      </c>
      <c r="I16" s="4" t="n"/>
    </row>
    <row r="17">
      <c r="A17" s="12" t="n">
        <v>13</v>
      </c>
      <c r="B17" s="4" t="inlineStr">
        <is>
          <t>S02 – N2 fire detection, inerting &amp; extinguishing system</t>
        </is>
      </c>
      <c r="C17" s="4" t="inlineStr">
        <is>
          <t>GD-201B</t>
        </is>
      </c>
      <c r="D17" s="4" t="inlineStr">
        <is>
          <t>CO detector in hood B</t>
        </is>
      </c>
      <c r="E17" s="4" t="inlineStr">
        <is>
          <t>Analyser / gas detector</t>
        </is>
      </c>
      <c r="F17" s="4" t="inlineStr"/>
      <c r="G17" s="4" t="inlineStr">
        <is>
          <t>Duty</t>
        </is>
      </c>
      <c r="H17" s="4" t="inlineStr">
        <is>
          <t>Fire detection (1oo2)</t>
        </is>
      </c>
      <c r="I17" s="4" t="n"/>
    </row>
    <row r="18">
      <c r="A18" s="12" t="n">
        <v>14</v>
      </c>
      <c r="B18" s="4" t="inlineStr">
        <is>
          <t>S02 – N2 fire detection, inerting &amp; extinguishing system</t>
        </is>
      </c>
      <c r="C18" s="4" t="inlineStr">
        <is>
          <t>PSL-205</t>
        </is>
      </c>
      <c r="D18" s="4" t="inlineStr">
        <is>
          <t>Low N2 buffer pressure switch</t>
        </is>
      </c>
      <c r="E18" s="4" t="inlineStr">
        <is>
          <t>Instrument – transmitter / switch</t>
        </is>
      </c>
      <c r="F18" s="4" t="inlineStr"/>
      <c r="G18" s="4" t="inlineStr">
        <is>
          <t>Single</t>
        </is>
      </c>
      <c r="H18" s="4" t="inlineStr">
        <is>
          <t>Alarm on low N2 inventory</t>
        </is>
      </c>
      <c r="I18" s="4" t="n"/>
    </row>
    <row r="19">
      <c r="A19" s="12" t="n">
        <v>15</v>
      </c>
      <c r="B19" s="4" t="inlineStr">
        <is>
          <t>S02 – N2 fire detection, inerting &amp; extinguishing system</t>
        </is>
      </c>
      <c r="C19" s="4" t="inlineStr">
        <is>
          <t>UCP-210</t>
        </is>
      </c>
      <c r="D19" s="4" t="inlineStr">
        <is>
          <t>Extinguishing control panel</t>
        </is>
      </c>
      <c r="E19" s="4" t="inlineStr">
        <is>
          <t>Control system / SIS logic solver</t>
        </is>
      </c>
      <c r="F19" s="4" t="inlineStr"/>
      <c r="G19" s="4" t="inlineStr">
        <is>
          <t>Single</t>
        </is>
      </c>
      <c r="H19" s="4" t="inlineStr">
        <is>
          <t>Initiate release from stoppage-under-load or fire detection</t>
        </is>
      </c>
      <c r="I19" s="4" t="n"/>
    </row>
    <row r="20">
      <c r="A20" s="12" t="n">
        <v>16</v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n"/>
    </row>
    <row r="21">
      <c r="A21" s="12" t="n">
        <v>17</v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n"/>
    </row>
    <row r="22">
      <c r="A22" s="12" t="n">
        <v>18</v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n"/>
    </row>
    <row r="23">
      <c r="A23" s="12" t="n">
        <v>19</v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n"/>
    </row>
    <row r="24">
      <c r="A24" s="12" t="n">
        <v>20</v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n"/>
    </row>
    <row r="25">
      <c r="A25" s="12" t="n">
        <v>21</v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n"/>
    </row>
    <row r="26">
      <c r="A26" s="12" t="n">
        <v>22</v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n"/>
    </row>
    <row r="27">
      <c r="A27" s="12" t="n">
        <v>23</v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n"/>
    </row>
    <row r="28">
      <c r="A28" s="12" t="n">
        <v>24</v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n"/>
    </row>
    <row r="29">
      <c r="A29" s="12" t="n">
        <v>25</v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n"/>
    </row>
    <row r="30">
      <c r="A30" s="12" t="n">
        <v>26</v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n"/>
    </row>
    <row r="31">
      <c r="A31" s="12" t="n">
        <v>27</v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n"/>
    </row>
    <row r="32">
      <c r="A32" s="12" t="n">
        <v>28</v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n"/>
    </row>
    <row r="33">
      <c r="A33" s="12" t="n">
        <v>29</v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n"/>
    </row>
    <row r="34">
      <c r="A34" s="12" t="n">
        <v>30</v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n"/>
    </row>
    <row r="35">
      <c r="A35" s="12" t="n">
        <v>31</v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n"/>
    </row>
    <row r="36">
      <c r="A36" s="12" t="n">
        <v>32</v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n"/>
    </row>
    <row r="37">
      <c r="A37" s="12" t="n">
        <v>33</v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n"/>
    </row>
    <row r="38">
      <c r="A38" s="12" t="n">
        <v>34</v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n"/>
    </row>
    <row r="39">
      <c r="A39" s="12" t="n">
        <v>35</v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n"/>
    </row>
    <row r="40">
      <c r="A40" s="12" t="n">
        <v>36</v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n"/>
    </row>
    <row r="41">
      <c r="A41" s="12" t="n">
        <v>37</v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n"/>
    </row>
    <row r="42">
      <c r="A42" s="12" t="n">
        <v>38</v>
      </c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n"/>
    </row>
    <row r="43">
      <c r="A43" s="12" t="n">
        <v>39</v>
      </c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n"/>
    </row>
    <row r="44">
      <c r="A44" s="12" t="n">
        <v>40</v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n"/>
    </row>
    <row r="45">
      <c r="A45" s="12" t="n">
        <v>41</v>
      </c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n"/>
    </row>
    <row r="46">
      <c r="A46" s="12" t="n">
        <v>42</v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n"/>
    </row>
    <row r="47">
      <c r="A47" s="12" t="n">
        <v>43</v>
      </c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n"/>
    </row>
    <row r="48">
      <c r="A48" s="12" t="n">
        <v>44</v>
      </c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n"/>
    </row>
    <row r="49">
      <c r="A49" s="12" t="n">
        <v>45</v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n"/>
    </row>
    <row r="50">
      <c r="A50" s="12" t="n">
        <v>46</v>
      </c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n"/>
    </row>
    <row r="51">
      <c r="A51" s="12" t="n">
        <v>47</v>
      </c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n"/>
    </row>
    <row r="52">
      <c r="A52" s="12" t="n">
        <v>48</v>
      </c>
      <c r="B52" s="4" t="inlineStr"/>
      <c r="C52" s="4" t="inlineStr"/>
      <c r="D52" s="4" t="inlineStr"/>
      <c r="E52" s="4" t="inlineStr"/>
      <c r="F52" s="4" t="inlineStr"/>
      <c r="G52" s="4" t="inlineStr"/>
      <c r="H52" s="4" t="inlineStr"/>
      <c r="I52" s="4" t="n"/>
    </row>
    <row r="53">
      <c r="A53" s="12" t="n">
        <v>49</v>
      </c>
      <c r="B53" s="4" t="inlineStr"/>
      <c r="C53" s="4" t="inlineStr"/>
      <c r="D53" s="4" t="inlineStr"/>
      <c r="E53" s="4" t="inlineStr"/>
      <c r="F53" s="4" t="inlineStr"/>
      <c r="G53" s="4" t="inlineStr"/>
      <c r="H53" s="4" t="inlineStr"/>
      <c r="I53" s="4" t="n"/>
    </row>
    <row r="54">
      <c r="A54" s="12" t="n">
        <v>50</v>
      </c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n"/>
    </row>
    <row r="55">
      <c r="A55" s="12" t="n">
        <v>51</v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n"/>
    </row>
    <row r="56">
      <c r="A56" s="12" t="n">
        <v>52</v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n"/>
    </row>
    <row r="57">
      <c r="A57" s="12" t="n">
        <v>53</v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n"/>
    </row>
    <row r="58">
      <c r="A58" s="12" t="n">
        <v>54</v>
      </c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n"/>
    </row>
    <row r="59">
      <c r="A59" s="12" t="n">
        <v>55</v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n"/>
    </row>
    <row r="60">
      <c r="A60" s="12" t="n">
        <v>56</v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n"/>
    </row>
    <row r="61">
      <c r="A61" s="12" t="n">
        <v>57</v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n"/>
    </row>
    <row r="62">
      <c r="A62" s="12" t="n">
        <v>58</v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n"/>
    </row>
    <row r="63">
      <c r="A63" s="12" t="n">
        <v>59</v>
      </c>
      <c r="B63" s="4" t="inlineStr"/>
      <c r="C63" s="4" t="inlineStr"/>
      <c r="D63" s="4" t="inlineStr"/>
      <c r="E63" s="4" t="inlineStr"/>
      <c r="F63" s="4" t="inlineStr"/>
      <c r="G63" s="4" t="inlineStr"/>
      <c r="H63" s="4" t="inlineStr"/>
      <c r="I63" s="4" t="n"/>
    </row>
    <row r="64">
      <c r="A64" s="12" t="n">
        <v>60</v>
      </c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 t="n"/>
    </row>
    <row r="65">
      <c r="A65" s="12" t="n">
        <v>61</v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n"/>
    </row>
    <row r="66">
      <c r="A66" s="12" t="n">
        <v>62</v>
      </c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n"/>
    </row>
    <row r="67">
      <c r="A67" s="12" t="n">
        <v>63</v>
      </c>
      <c r="B67" s="4" t="inlineStr"/>
      <c r="C67" s="4" t="inlineStr"/>
      <c r="D67" s="4" t="inlineStr"/>
      <c r="E67" s="4" t="inlineStr"/>
      <c r="F67" s="4" t="inlineStr"/>
      <c r="G67" s="4" t="inlineStr"/>
      <c r="H67" s="4" t="inlineStr"/>
      <c r="I67" s="4" t="n"/>
    </row>
    <row r="68">
      <c r="A68" s="12" t="n">
        <v>64</v>
      </c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n"/>
    </row>
    <row r="69">
      <c r="A69" s="12" t="n">
        <v>65</v>
      </c>
      <c r="B69" s="4" t="inlineStr"/>
      <c r="C69" s="4" t="inlineStr"/>
      <c r="D69" s="4" t="inlineStr"/>
      <c r="E69" s="4" t="inlineStr"/>
      <c r="F69" s="4" t="inlineStr"/>
      <c r="G69" s="4" t="inlineStr"/>
      <c r="H69" s="4" t="inlineStr"/>
      <c r="I69" s="4" t="n"/>
    </row>
    <row r="70">
      <c r="A70" s="12" t="n">
        <v>66</v>
      </c>
      <c r="B70" s="4" t="inlineStr"/>
      <c r="C70" s="4" t="inlineStr"/>
      <c r="D70" s="4" t="inlineStr"/>
      <c r="E70" s="4" t="inlineStr"/>
      <c r="F70" s="4" t="inlineStr"/>
      <c r="G70" s="4" t="inlineStr"/>
      <c r="H70" s="4" t="inlineStr"/>
      <c r="I70" s="4" t="n"/>
    </row>
    <row r="71">
      <c r="A71" s="12" t="n">
        <v>67</v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n"/>
    </row>
    <row r="72">
      <c r="A72" s="12" t="n">
        <v>68</v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n"/>
    </row>
    <row r="73">
      <c r="A73" s="12" t="n">
        <v>69</v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n"/>
    </row>
    <row r="74">
      <c r="A74" s="12" t="n">
        <v>70</v>
      </c>
      <c r="B74" s="4" t="inlineStr"/>
      <c r="C74" s="4" t="inlineStr"/>
      <c r="D74" s="4" t="inlineStr"/>
      <c r="E74" s="4" t="inlineStr"/>
      <c r="F74" s="4" t="inlineStr"/>
      <c r="G74" s="4" t="inlineStr"/>
      <c r="H74" s="4" t="inlineStr"/>
      <c r="I74" s="4" t="n"/>
    </row>
    <row r="75">
      <c r="A75" s="12" t="n">
        <v>71</v>
      </c>
      <c r="B75" s="4" t="inlineStr"/>
      <c r="C75" s="4" t="inlineStr"/>
      <c r="D75" s="4" t="inlineStr"/>
      <c r="E75" s="4" t="inlineStr"/>
      <c r="F75" s="4" t="inlineStr"/>
      <c r="G75" s="4" t="inlineStr"/>
      <c r="H75" s="4" t="inlineStr"/>
      <c r="I75" s="4" t="n"/>
    </row>
    <row r="76">
      <c r="A76" s="12" t="n">
        <v>72</v>
      </c>
      <c r="B76" s="4" t="inlineStr"/>
      <c r="C76" s="4" t="inlineStr"/>
      <c r="D76" s="4" t="inlineStr"/>
      <c r="E76" s="4" t="inlineStr"/>
      <c r="F76" s="4" t="inlineStr"/>
      <c r="G76" s="4" t="inlineStr"/>
      <c r="H76" s="4" t="inlineStr"/>
      <c r="I76" s="4" t="n"/>
    </row>
    <row r="77">
      <c r="A77" s="12" t="n">
        <v>73</v>
      </c>
      <c r="B77" s="4" t="inlineStr"/>
      <c r="C77" s="4" t="inlineStr"/>
      <c r="D77" s="4" t="inlineStr"/>
      <c r="E77" s="4" t="inlineStr"/>
      <c r="F77" s="4" t="inlineStr"/>
      <c r="G77" s="4" t="inlineStr"/>
      <c r="H77" s="4" t="inlineStr"/>
      <c r="I77" s="4" t="n"/>
    </row>
    <row r="78">
      <c r="A78" s="12" t="n">
        <v>74</v>
      </c>
      <c r="B78" s="4" t="inlineStr"/>
      <c r="C78" s="4" t="inlineStr"/>
      <c r="D78" s="4" t="inlineStr"/>
      <c r="E78" s="4" t="inlineStr"/>
      <c r="F78" s="4" t="inlineStr"/>
      <c r="G78" s="4" t="inlineStr"/>
      <c r="H78" s="4" t="inlineStr"/>
      <c r="I78" s="4" t="n"/>
    </row>
    <row r="79">
      <c r="A79" s="12" t="n">
        <v>75</v>
      </c>
      <c r="B79" s="4" t="inlineStr"/>
      <c r="C79" s="4" t="inlineStr"/>
      <c r="D79" s="4" t="inlineStr"/>
      <c r="E79" s="4" t="inlineStr"/>
      <c r="F79" s="4" t="inlineStr"/>
      <c r="G79" s="4" t="inlineStr"/>
      <c r="H79" s="4" t="inlineStr"/>
      <c r="I79" s="4" t="n"/>
    </row>
    <row r="80">
      <c r="A80" s="12" t="n">
        <v>76</v>
      </c>
      <c r="B80" s="4" t="inlineStr"/>
      <c r="C80" s="4" t="inlineStr"/>
      <c r="D80" s="4" t="inlineStr"/>
      <c r="E80" s="4" t="inlineStr"/>
      <c r="F80" s="4" t="inlineStr"/>
      <c r="G80" s="4" t="inlineStr"/>
      <c r="H80" s="4" t="inlineStr"/>
      <c r="I80" s="4" t="n"/>
    </row>
    <row r="81">
      <c r="A81" s="12" t="n">
        <v>77</v>
      </c>
      <c r="B81" s="4" t="inlineStr"/>
      <c r="C81" s="4" t="inlineStr"/>
      <c r="D81" s="4" t="inlineStr"/>
      <c r="E81" s="4" t="inlineStr"/>
      <c r="F81" s="4" t="inlineStr"/>
      <c r="G81" s="4" t="inlineStr"/>
      <c r="H81" s="4" t="inlineStr"/>
      <c r="I81" s="4" t="n"/>
    </row>
    <row r="82">
      <c r="A82" s="12" t="n">
        <v>78</v>
      </c>
      <c r="B82" s="4" t="inlineStr"/>
      <c r="C82" s="4" t="inlineStr"/>
      <c r="D82" s="4" t="inlineStr"/>
      <c r="E82" s="4" t="inlineStr"/>
      <c r="F82" s="4" t="inlineStr"/>
      <c r="G82" s="4" t="inlineStr"/>
      <c r="H82" s="4" t="inlineStr"/>
      <c r="I82" s="4" t="n"/>
    </row>
    <row r="83">
      <c r="A83" s="12" t="n">
        <v>79</v>
      </c>
      <c r="B83" s="4" t="inlineStr"/>
      <c r="C83" s="4" t="inlineStr"/>
      <c r="D83" s="4" t="inlineStr"/>
      <c r="E83" s="4" t="inlineStr"/>
      <c r="F83" s="4" t="inlineStr"/>
      <c r="G83" s="4" t="inlineStr"/>
      <c r="H83" s="4" t="inlineStr"/>
      <c r="I83" s="4" t="n"/>
    </row>
    <row r="84">
      <c r="A84" s="12" t="n">
        <v>80</v>
      </c>
      <c r="B84" s="4" t="inlineStr"/>
      <c r="C84" s="4" t="inlineStr"/>
      <c r="D84" s="4" t="inlineStr"/>
      <c r="E84" s="4" t="inlineStr"/>
      <c r="F84" s="4" t="inlineStr"/>
      <c r="G84" s="4" t="inlineStr"/>
      <c r="H84" s="4" t="inlineStr"/>
      <c r="I84" s="4" t="n"/>
    </row>
    <row r="85">
      <c r="A85" s="12" t="n">
        <v>81</v>
      </c>
      <c r="B85" s="4" t="inlineStr"/>
      <c r="C85" s="4" t="inlineStr"/>
      <c r="D85" s="4" t="inlineStr"/>
      <c r="E85" s="4" t="inlineStr"/>
      <c r="F85" s="4" t="inlineStr"/>
      <c r="G85" s="4" t="inlineStr"/>
      <c r="H85" s="4" t="inlineStr"/>
      <c r="I85" s="4" t="n"/>
    </row>
    <row r="86">
      <c r="A86" s="12" t="n">
        <v>82</v>
      </c>
      <c r="B86" s="4" t="inlineStr"/>
      <c r="C86" s="4" t="inlineStr"/>
      <c r="D86" s="4" t="inlineStr"/>
      <c r="E86" s="4" t="inlineStr"/>
      <c r="F86" s="4" t="inlineStr"/>
      <c r="G86" s="4" t="inlineStr"/>
      <c r="H86" s="4" t="inlineStr"/>
      <c r="I86" s="4" t="n"/>
    </row>
    <row r="87">
      <c r="A87" s="12" t="n">
        <v>83</v>
      </c>
      <c r="B87" s="4" t="inlineStr"/>
      <c r="C87" s="4" t="inlineStr"/>
      <c r="D87" s="4" t="inlineStr"/>
      <c r="E87" s="4" t="inlineStr"/>
      <c r="F87" s="4" t="inlineStr"/>
      <c r="G87" s="4" t="inlineStr"/>
      <c r="H87" s="4" t="inlineStr"/>
      <c r="I87" s="4" t="n"/>
    </row>
    <row r="88">
      <c r="A88" s="12" t="n">
        <v>84</v>
      </c>
      <c r="B88" s="4" t="inlineStr"/>
      <c r="C88" s="4" t="inlineStr"/>
      <c r="D88" s="4" t="inlineStr"/>
      <c r="E88" s="4" t="inlineStr"/>
      <c r="F88" s="4" t="inlineStr"/>
      <c r="G88" s="4" t="inlineStr"/>
      <c r="H88" s="4" t="inlineStr"/>
      <c r="I88" s="4" t="n"/>
    </row>
    <row r="89">
      <c r="A89" s="12" t="n">
        <v>85</v>
      </c>
      <c r="B89" s="4" t="inlineStr"/>
      <c r="C89" s="4" t="inlineStr"/>
      <c r="D89" s="4" t="inlineStr"/>
      <c r="E89" s="4" t="inlineStr"/>
      <c r="F89" s="4" t="inlineStr"/>
      <c r="G89" s="4" t="inlineStr"/>
      <c r="H89" s="4" t="inlineStr"/>
      <c r="I89" s="4" t="n"/>
    </row>
    <row r="90">
      <c r="A90" s="12" t="n">
        <v>86</v>
      </c>
      <c r="B90" s="4" t="inlineStr"/>
      <c r="C90" s="4" t="inlineStr"/>
      <c r="D90" s="4" t="inlineStr"/>
      <c r="E90" s="4" t="inlineStr"/>
      <c r="F90" s="4" t="inlineStr"/>
      <c r="G90" s="4" t="inlineStr"/>
      <c r="H90" s="4" t="inlineStr"/>
      <c r="I90" s="4" t="n"/>
    </row>
    <row r="91">
      <c r="A91" s="12" t="n">
        <v>87</v>
      </c>
      <c r="B91" s="4" t="inlineStr"/>
      <c r="C91" s="4" t="inlineStr"/>
      <c r="D91" s="4" t="inlineStr"/>
      <c r="E91" s="4" t="inlineStr"/>
      <c r="F91" s="4" t="inlineStr"/>
      <c r="G91" s="4" t="inlineStr"/>
      <c r="H91" s="4" t="inlineStr"/>
      <c r="I91" s="4" t="n"/>
    </row>
    <row r="92">
      <c r="A92" s="12" t="n">
        <v>88</v>
      </c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n"/>
    </row>
    <row r="93">
      <c r="A93" s="12" t="n">
        <v>89</v>
      </c>
      <c r="B93" s="4" t="inlineStr"/>
      <c r="C93" s="4" t="inlineStr"/>
      <c r="D93" s="4" t="inlineStr"/>
      <c r="E93" s="4" t="inlineStr"/>
      <c r="F93" s="4" t="inlineStr"/>
      <c r="G93" s="4" t="inlineStr"/>
      <c r="H93" s="4" t="inlineStr"/>
      <c r="I93" s="4" t="n"/>
    </row>
    <row r="94">
      <c r="A94" s="12" t="n">
        <v>90</v>
      </c>
      <c r="B94" s="4" t="inlineStr"/>
      <c r="C94" s="4" t="inlineStr"/>
      <c r="D94" s="4" t="inlineStr"/>
      <c r="E94" s="4" t="inlineStr"/>
      <c r="F94" s="4" t="inlineStr"/>
      <c r="G94" s="4" t="inlineStr"/>
      <c r="H94" s="4" t="inlineStr"/>
      <c r="I94" s="4" t="n"/>
    </row>
    <row r="95">
      <c r="A95" s="12" t="n">
        <v>91</v>
      </c>
      <c r="B95" s="4" t="inlineStr"/>
      <c r="C95" s="4" t="inlineStr"/>
      <c r="D95" s="4" t="inlineStr"/>
      <c r="E95" s="4" t="inlineStr"/>
      <c r="F95" s="4" t="inlineStr"/>
      <c r="G95" s="4" t="inlineStr"/>
      <c r="H95" s="4" t="inlineStr"/>
      <c r="I95" s="4" t="n"/>
    </row>
    <row r="96">
      <c r="A96" s="12" t="n">
        <v>92</v>
      </c>
      <c r="B96" s="4" t="inlineStr"/>
      <c r="C96" s="4" t="inlineStr"/>
      <c r="D96" s="4" t="inlineStr"/>
      <c r="E96" s="4" t="inlineStr"/>
      <c r="F96" s="4" t="inlineStr"/>
      <c r="G96" s="4" t="inlineStr"/>
      <c r="H96" s="4" t="inlineStr"/>
      <c r="I96" s="4" t="n"/>
    </row>
    <row r="97">
      <c r="A97" s="12" t="n">
        <v>93</v>
      </c>
      <c r="B97" s="4" t="inlineStr"/>
      <c r="C97" s="4" t="inlineStr"/>
      <c r="D97" s="4" t="inlineStr"/>
      <c r="E97" s="4" t="inlineStr"/>
      <c r="F97" s="4" t="inlineStr"/>
      <c r="G97" s="4" t="inlineStr"/>
      <c r="H97" s="4" t="inlineStr"/>
      <c r="I97" s="4" t="n"/>
    </row>
    <row r="98">
      <c r="A98" s="12" t="n">
        <v>94</v>
      </c>
      <c r="B98" s="4" t="inlineStr"/>
      <c r="C98" s="4" t="inlineStr"/>
      <c r="D98" s="4" t="inlineStr"/>
      <c r="E98" s="4" t="inlineStr"/>
      <c r="F98" s="4" t="inlineStr"/>
      <c r="G98" s="4" t="inlineStr"/>
      <c r="H98" s="4" t="inlineStr"/>
      <c r="I98" s="4" t="n"/>
    </row>
    <row r="99">
      <c r="A99" s="12" t="n">
        <v>95</v>
      </c>
      <c r="B99" s="4" t="inlineStr"/>
      <c r="C99" s="4" t="inlineStr"/>
      <c r="D99" s="4" t="inlineStr"/>
      <c r="E99" s="4" t="inlineStr"/>
      <c r="F99" s="4" t="inlineStr"/>
      <c r="G99" s="4" t="inlineStr"/>
      <c r="H99" s="4" t="inlineStr"/>
      <c r="I99" s="4" t="n"/>
    </row>
    <row r="100">
      <c r="A100" s="12" t="n">
        <v>96</v>
      </c>
      <c r="B100" s="4" t="inlineStr"/>
      <c r="C100" s="4" t="inlineStr"/>
      <c r="D100" s="4" t="inlineStr"/>
      <c r="E100" s="4" t="inlineStr"/>
      <c r="F100" s="4" t="inlineStr"/>
      <c r="G100" s="4" t="inlineStr"/>
      <c r="H100" s="4" t="inlineStr"/>
      <c r="I100" s="4" t="n"/>
    </row>
    <row r="101">
      <c r="A101" s="12" t="n">
        <v>97</v>
      </c>
      <c r="B101" s="4" t="inlineStr"/>
      <c r="C101" s="4" t="inlineStr"/>
      <c r="D101" s="4" t="inlineStr"/>
      <c r="E101" s="4" t="inlineStr"/>
      <c r="F101" s="4" t="inlineStr"/>
      <c r="G101" s="4" t="inlineStr"/>
      <c r="H101" s="4" t="inlineStr"/>
      <c r="I101" s="4" t="n"/>
    </row>
    <row r="102">
      <c r="A102" s="12" t="n">
        <v>98</v>
      </c>
      <c r="B102" s="4" t="inlineStr"/>
      <c r="C102" s="4" t="inlineStr"/>
      <c r="D102" s="4" t="inlineStr"/>
      <c r="E102" s="4" t="inlineStr"/>
      <c r="F102" s="4" t="inlineStr"/>
      <c r="G102" s="4" t="inlineStr"/>
      <c r="H102" s="4" t="inlineStr"/>
      <c r="I102" s="4" t="n"/>
    </row>
    <row r="103">
      <c r="A103" s="12" t="n">
        <v>99</v>
      </c>
      <c r="B103" s="4" t="inlineStr"/>
      <c r="C103" s="4" t="inlineStr"/>
      <c r="D103" s="4" t="inlineStr"/>
      <c r="E103" s="4" t="inlineStr"/>
      <c r="F103" s="4" t="inlineStr"/>
      <c r="G103" s="4" t="inlineStr"/>
      <c r="H103" s="4" t="inlineStr"/>
      <c r="I103" s="4" t="n"/>
    </row>
    <row r="104">
      <c r="A104" s="12" t="n">
        <v>100</v>
      </c>
      <c r="B104" s="4" t="inlineStr"/>
      <c r="C104" s="4" t="inlineStr"/>
      <c r="D104" s="4" t="inlineStr"/>
      <c r="E104" s="4" t="inlineStr"/>
      <c r="F104" s="4" t="inlineStr"/>
      <c r="G104" s="4" t="inlineStr"/>
      <c r="H104" s="4" t="inlineStr"/>
      <c r="I104" s="4" t="n"/>
    </row>
    <row r="105">
      <c r="A105" s="12" t="n">
        <v>101</v>
      </c>
      <c r="B105" s="4" t="inlineStr"/>
      <c r="C105" s="4" t="inlineStr"/>
      <c r="D105" s="4" t="inlineStr"/>
      <c r="E105" s="4" t="inlineStr"/>
      <c r="F105" s="4" t="inlineStr"/>
      <c r="G105" s="4" t="inlineStr"/>
      <c r="H105" s="4" t="inlineStr"/>
      <c r="I105" s="4" t="n"/>
    </row>
    <row r="106">
      <c r="A106" s="12" t="n">
        <v>102</v>
      </c>
      <c r="B106" s="4" t="inlineStr"/>
      <c r="C106" s="4" t="inlineStr"/>
      <c r="D106" s="4" t="inlineStr"/>
      <c r="E106" s="4" t="inlineStr"/>
      <c r="F106" s="4" t="inlineStr"/>
      <c r="G106" s="4" t="inlineStr"/>
      <c r="H106" s="4" t="inlineStr"/>
      <c r="I106" s="4" t="n"/>
    </row>
    <row r="107">
      <c r="A107" s="12" t="n">
        <v>103</v>
      </c>
      <c r="B107" s="4" t="inlineStr"/>
      <c r="C107" s="4" t="inlineStr"/>
      <c r="D107" s="4" t="inlineStr"/>
      <c r="E107" s="4" t="inlineStr"/>
      <c r="F107" s="4" t="inlineStr"/>
      <c r="G107" s="4" t="inlineStr"/>
      <c r="H107" s="4" t="inlineStr"/>
      <c r="I107" s="4" t="n"/>
    </row>
    <row r="108">
      <c r="A108" s="12" t="n">
        <v>104</v>
      </c>
      <c r="B108" s="4" t="inlineStr"/>
      <c r="C108" s="4" t="inlineStr"/>
      <c r="D108" s="4" t="inlineStr"/>
      <c r="E108" s="4" t="inlineStr"/>
      <c r="F108" s="4" t="inlineStr"/>
      <c r="G108" s="4" t="inlineStr"/>
      <c r="H108" s="4" t="inlineStr"/>
      <c r="I108" s="4" t="n"/>
    </row>
    <row r="109">
      <c r="A109" s="12" t="n">
        <v>105</v>
      </c>
      <c r="B109" s="4" t="inlineStr"/>
      <c r="C109" s="4" t="inlineStr"/>
      <c r="D109" s="4" t="inlineStr"/>
      <c r="E109" s="4" t="inlineStr"/>
      <c r="F109" s="4" t="inlineStr"/>
      <c r="G109" s="4" t="inlineStr"/>
      <c r="H109" s="4" t="inlineStr"/>
      <c r="I109" s="4" t="n"/>
    </row>
    <row r="110">
      <c r="A110" s="12" t="n">
        <v>106</v>
      </c>
      <c r="B110" s="4" t="inlineStr"/>
      <c r="C110" s="4" t="inlineStr"/>
      <c r="D110" s="4" t="inlineStr"/>
      <c r="E110" s="4" t="inlineStr"/>
      <c r="F110" s="4" t="inlineStr"/>
      <c r="G110" s="4" t="inlineStr"/>
      <c r="H110" s="4" t="inlineStr"/>
      <c r="I110" s="4" t="n"/>
    </row>
    <row r="111">
      <c r="A111" s="12" t="n">
        <v>107</v>
      </c>
      <c r="B111" s="4" t="inlineStr"/>
      <c r="C111" s="4" t="inlineStr"/>
      <c r="D111" s="4" t="inlineStr"/>
      <c r="E111" s="4" t="inlineStr"/>
      <c r="F111" s="4" t="inlineStr"/>
      <c r="G111" s="4" t="inlineStr"/>
      <c r="H111" s="4" t="inlineStr"/>
      <c r="I111" s="4" t="n"/>
    </row>
    <row r="112">
      <c r="A112" s="12" t="n">
        <v>108</v>
      </c>
      <c r="B112" s="4" t="inlineStr"/>
      <c r="C112" s="4" t="inlineStr"/>
      <c r="D112" s="4" t="inlineStr"/>
      <c r="E112" s="4" t="inlineStr"/>
      <c r="F112" s="4" t="inlineStr"/>
      <c r="G112" s="4" t="inlineStr"/>
      <c r="H112" s="4" t="inlineStr"/>
      <c r="I112" s="4" t="n"/>
    </row>
    <row r="113">
      <c r="A113" s="12" t="n">
        <v>109</v>
      </c>
      <c r="B113" s="4" t="inlineStr"/>
      <c r="C113" s="4" t="inlineStr"/>
      <c r="D113" s="4" t="inlineStr"/>
      <c r="E113" s="4" t="inlineStr"/>
      <c r="F113" s="4" t="inlineStr"/>
      <c r="G113" s="4" t="inlineStr"/>
      <c r="H113" s="4" t="inlineStr"/>
      <c r="I113" s="4" t="n"/>
    </row>
    <row r="114">
      <c r="A114" s="12" t="n">
        <v>110</v>
      </c>
      <c r="B114" s="4" t="inlineStr"/>
      <c r="C114" s="4" t="inlineStr"/>
      <c r="D114" s="4" t="inlineStr"/>
      <c r="E114" s="4" t="inlineStr"/>
      <c r="F114" s="4" t="inlineStr"/>
      <c r="G114" s="4" t="inlineStr"/>
      <c r="H114" s="4" t="inlineStr"/>
      <c r="I114" s="4" t="n"/>
    </row>
    <row r="115">
      <c r="A115" s="12" t="n">
        <v>111</v>
      </c>
      <c r="B115" s="4" t="inlineStr"/>
      <c r="C115" s="4" t="inlineStr"/>
      <c r="D115" s="4" t="inlineStr"/>
      <c r="E115" s="4" t="inlineStr"/>
      <c r="F115" s="4" t="inlineStr"/>
      <c r="G115" s="4" t="inlineStr"/>
      <c r="H115" s="4" t="inlineStr"/>
      <c r="I115" s="4" t="n"/>
    </row>
    <row r="116">
      <c r="A116" s="12" t="n">
        <v>112</v>
      </c>
      <c r="B116" s="4" t="inlineStr"/>
      <c r="C116" s="4" t="inlineStr"/>
      <c r="D116" s="4" t="inlineStr"/>
      <c r="E116" s="4" t="inlineStr"/>
      <c r="F116" s="4" t="inlineStr"/>
      <c r="G116" s="4" t="inlineStr"/>
      <c r="H116" s="4" t="inlineStr"/>
      <c r="I116" s="4" t="n"/>
    </row>
    <row r="117">
      <c r="A117" s="12" t="n">
        <v>113</v>
      </c>
      <c r="B117" s="4" t="inlineStr"/>
      <c r="C117" s="4" t="inlineStr"/>
      <c r="D117" s="4" t="inlineStr"/>
      <c r="E117" s="4" t="inlineStr"/>
      <c r="F117" s="4" t="inlineStr"/>
      <c r="G117" s="4" t="inlineStr"/>
      <c r="H117" s="4" t="inlineStr"/>
      <c r="I117" s="4" t="n"/>
    </row>
    <row r="118">
      <c r="A118" s="12" t="n">
        <v>114</v>
      </c>
      <c r="B118" s="4" t="inlineStr"/>
      <c r="C118" s="4" t="inlineStr"/>
      <c r="D118" s="4" t="inlineStr"/>
      <c r="E118" s="4" t="inlineStr"/>
      <c r="F118" s="4" t="inlineStr"/>
      <c r="G118" s="4" t="inlineStr"/>
      <c r="H118" s="4" t="inlineStr"/>
      <c r="I118" s="4" t="n"/>
    </row>
    <row r="119">
      <c r="A119" s="12" t="n">
        <v>115</v>
      </c>
      <c r="B119" s="4" t="inlineStr"/>
      <c r="C119" s="4" t="inlineStr"/>
      <c r="D119" s="4" t="inlineStr"/>
      <c r="E119" s="4" t="inlineStr"/>
      <c r="F119" s="4" t="inlineStr"/>
      <c r="G119" s="4" t="inlineStr"/>
      <c r="H119" s="4" t="inlineStr"/>
      <c r="I119" s="4" t="n"/>
    </row>
    <row r="120">
      <c r="A120" s="12" t="n">
        <v>116</v>
      </c>
      <c r="B120" s="4" t="inlineStr"/>
      <c r="C120" s="4" t="inlineStr"/>
      <c r="D120" s="4" t="inlineStr"/>
      <c r="E120" s="4" t="inlineStr"/>
      <c r="F120" s="4" t="inlineStr"/>
      <c r="G120" s="4" t="inlineStr"/>
      <c r="H120" s="4" t="inlineStr"/>
      <c r="I120" s="4" t="n"/>
    </row>
    <row r="121">
      <c r="A121" s="12" t="n">
        <v>117</v>
      </c>
      <c r="B121" s="4" t="inlineStr"/>
      <c r="C121" s="4" t="inlineStr"/>
      <c r="D121" s="4" t="inlineStr"/>
      <c r="E121" s="4" t="inlineStr"/>
      <c r="F121" s="4" t="inlineStr"/>
      <c r="G121" s="4" t="inlineStr"/>
      <c r="H121" s="4" t="inlineStr"/>
      <c r="I121" s="4" t="n"/>
    </row>
    <row r="122">
      <c r="A122" s="12" t="n">
        <v>118</v>
      </c>
      <c r="B122" s="4" t="inlineStr"/>
      <c r="C122" s="4" t="inlineStr"/>
      <c r="D122" s="4" t="inlineStr"/>
      <c r="E122" s="4" t="inlineStr"/>
      <c r="F122" s="4" t="inlineStr"/>
      <c r="G122" s="4" t="inlineStr"/>
      <c r="H122" s="4" t="inlineStr"/>
      <c r="I122" s="4" t="n"/>
    </row>
    <row r="123">
      <c r="A123" s="12" t="n">
        <v>119</v>
      </c>
      <c r="B123" s="4" t="inlineStr"/>
      <c r="C123" s="4" t="inlineStr"/>
      <c r="D123" s="4" t="inlineStr"/>
      <c r="E123" s="4" t="inlineStr"/>
      <c r="F123" s="4" t="inlineStr"/>
      <c r="G123" s="4" t="inlineStr"/>
      <c r="H123" s="4" t="inlineStr"/>
      <c r="I123" s="4" t="n"/>
    </row>
    <row r="124">
      <c r="A124" s="12" t="n">
        <v>120</v>
      </c>
      <c r="B124" s="4" t="inlineStr"/>
      <c r="C124" s="4" t="inlineStr"/>
      <c r="D124" s="4" t="inlineStr"/>
      <c r="E124" s="4" t="inlineStr"/>
      <c r="F124" s="4" t="inlineStr"/>
      <c r="G124" s="4" t="inlineStr"/>
      <c r="H124" s="4" t="inlineStr"/>
      <c r="I124" s="4" t="n"/>
    </row>
    <row r="125">
      <c r="A125" s="12" t="n">
        <v>121</v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n"/>
    </row>
    <row r="126">
      <c r="A126" s="12" t="n">
        <v>122</v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n"/>
    </row>
    <row r="127">
      <c r="A127" s="12" t="n">
        <v>123</v>
      </c>
      <c r="B127" s="4" t="inlineStr"/>
      <c r="C127" s="4" t="inlineStr"/>
      <c r="D127" s="4" t="inlineStr"/>
      <c r="E127" s="4" t="inlineStr"/>
      <c r="F127" s="4" t="inlineStr"/>
      <c r="G127" s="4" t="inlineStr"/>
      <c r="H127" s="4" t="inlineStr"/>
      <c r="I127" s="4" t="n"/>
    </row>
    <row r="128">
      <c r="A128" s="12" t="n">
        <v>124</v>
      </c>
      <c r="B128" s="4" t="inlineStr"/>
      <c r="C128" s="4" t="inlineStr"/>
      <c r="D128" s="4" t="inlineStr"/>
      <c r="E128" s="4" t="inlineStr"/>
      <c r="F128" s="4" t="inlineStr"/>
      <c r="G128" s="4" t="inlineStr"/>
      <c r="H128" s="4" t="inlineStr"/>
      <c r="I128" s="4" t="n"/>
    </row>
    <row r="129">
      <c r="A129" s="12" t="n">
        <v>125</v>
      </c>
      <c r="B129" s="4" t="inlineStr"/>
      <c r="C129" s="4" t="inlineStr"/>
      <c r="D129" s="4" t="inlineStr"/>
      <c r="E129" s="4" t="inlineStr"/>
      <c r="F129" s="4" t="inlineStr"/>
      <c r="G129" s="4" t="inlineStr"/>
      <c r="H129" s="4" t="inlineStr"/>
      <c r="I129" s="4" t="n"/>
    </row>
    <row r="130">
      <c r="A130" s="12" t="n">
        <v>126</v>
      </c>
      <c r="B130" s="4" t="inlineStr"/>
      <c r="C130" s="4" t="inlineStr"/>
      <c r="D130" s="4" t="inlineStr"/>
      <c r="E130" s="4" t="inlineStr"/>
      <c r="F130" s="4" t="inlineStr"/>
      <c r="G130" s="4" t="inlineStr"/>
      <c r="H130" s="4" t="inlineStr"/>
      <c r="I130" s="4" t="n"/>
    </row>
    <row r="131">
      <c r="A131" s="12" t="n">
        <v>127</v>
      </c>
      <c r="B131" s="4" t="inlineStr"/>
      <c r="C131" s="4" t="inlineStr"/>
      <c r="D131" s="4" t="inlineStr"/>
      <c r="E131" s="4" t="inlineStr"/>
      <c r="F131" s="4" t="inlineStr"/>
      <c r="G131" s="4" t="inlineStr"/>
      <c r="H131" s="4" t="inlineStr"/>
      <c r="I131" s="4" t="n"/>
    </row>
    <row r="132">
      <c r="A132" s="12" t="n">
        <v>128</v>
      </c>
      <c r="B132" s="4" t="inlineStr"/>
      <c r="C132" s="4" t="inlineStr"/>
      <c r="D132" s="4" t="inlineStr"/>
      <c r="E132" s="4" t="inlineStr"/>
      <c r="F132" s="4" t="inlineStr"/>
      <c r="G132" s="4" t="inlineStr"/>
      <c r="H132" s="4" t="inlineStr"/>
      <c r="I132" s="4" t="n"/>
    </row>
    <row r="133">
      <c r="A133" s="12" t="n">
        <v>129</v>
      </c>
      <c r="B133" s="4" t="inlineStr"/>
      <c r="C133" s="4" t="inlineStr"/>
      <c r="D133" s="4" t="inlineStr"/>
      <c r="E133" s="4" t="inlineStr"/>
      <c r="F133" s="4" t="inlineStr"/>
      <c r="G133" s="4" t="inlineStr"/>
      <c r="H133" s="4" t="inlineStr"/>
      <c r="I133" s="4" t="n"/>
    </row>
    <row r="134">
      <c r="A134" s="12" t="n">
        <v>130</v>
      </c>
      <c r="B134" s="4" t="inlineStr"/>
      <c r="C134" s="4" t="inlineStr"/>
      <c r="D134" s="4" t="inlineStr"/>
      <c r="E134" s="4" t="inlineStr"/>
      <c r="F134" s="4" t="inlineStr"/>
      <c r="G134" s="4" t="inlineStr"/>
      <c r="H134" s="4" t="inlineStr"/>
      <c r="I134" s="4" t="n"/>
    </row>
    <row r="135">
      <c r="A135" s="12" t="n">
        <v>131</v>
      </c>
      <c r="B135" s="4" t="inlineStr"/>
      <c r="C135" s="4" t="inlineStr"/>
      <c r="D135" s="4" t="inlineStr"/>
      <c r="E135" s="4" t="inlineStr"/>
      <c r="F135" s="4" t="inlineStr"/>
      <c r="G135" s="4" t="inlineStr"/>
      <c r="H135" s="4" t="inlineStr"/>
      <c r="I135" s="4" t="n"/>
    </row>
    <row r="136">
      <c r="A136" s="12" t="n">
        <v>132</v>
      </c>
      <c r="B136" s="4" t="inlineStr"/>
      <c r="C136" s="4" t="inlineStr"/>
      <c r="D136" s="4" t="inlineStr"/>
      <c r="E136" s="4" t="inlineStr"/>
      <c r="F136" s="4" t="inlineStr"/>
      <c r="G136" s="4" t="inlineStr"/>
      <c r="H136" s="4" t="inlineStr"/>
      <c r="I136" s="4" t="n"/>
    </row>
    <row r="137">
      <c r="A137" s="12" t="n">
        <v>133</v>
      </c>
      <c r="B137" s="4" t="inlineStr"/>
      <c r="C137" s="4" t="inlineStr"/>
      <c r="D137" s="4" t="inlineStr"/>
      <c r="E137" s="4" t="inlineStr"/>
      <c r="F137" s="4" t="inlineStr"/>
      <c r="G137" s="4" t="inlineStr"/>
      <c r="H137" s="4" t="inlineStr"/>
      <c r="I137" s="4" t="n"/>
    </row>
    <row r="138">
      <c r="A138" s="12" t="n">
        <v>134</v>
      </c>
      <c r="B138" s="4" t="inlineStr"/>
      <c r="C138" s="4" t="inlineStr"/>
      <c r="D138" s="4" t="inlineStr"/>
      <c r="E138" s="4" t="inlineStr"/>
      <c r="F138" s="4" t="inlineStr"/>
      <c r="G138" s="4" t="inlineStr"/>
      <c r="H138" s="4" t="inlineStr"/>
      <c r="I138" s="4" t="n"/>
    </row>
    <row r="139">
      <c r="A139" s="12" t="n">
        <v>135</v>
      </c>
      <c r="B139" s="4" t="inlineStr"/>
      <c r="C139" s="4" t="inlineStr"/>
      <c r="D139" s="4" t="inlineStr"/>
      <c r="E139" s="4" t="inlineStr"/>
      <c r="F139" s="4" t="inlineStr"/>
      <c r="G139" s="4" t="inlineStr"/>
      <c r="H139" s="4" t="inlineStr"/>
      <c r="I139" s="4" t="n"/>
    </row>
    <row r="140">
      <c r="A140" s="12" t="n">
        <v>136</v>
      </c>
      <c r="B140" s="4" t="inlineStr"/>
      <c r="C140" s="4" t="inlineStr"/>
      <c r="D140" s="4" t="inlineStr"/>
      <c r="E140" s="4" t="inlineStr"/>
      <c r="F140" s="4" t="inlineStr"/>
      <c r="G140" s="4" t="inlineStr"/>
      <c r="H140" s="4" t="inlineStr"/>
      <c r="I140" s="4" t="n"/>
    </row>
    <row r="141">
      <c r="A141" s="12" t="n">
        <v>137</v>
      </c>
      <c r="B141" s="4" t="inlineStr"/>
      <c r="C141" s="4" t="inlineStr"/>
      <c r="D141" s="4" t="inlineStr"/>
      <c r="E141" s="4" t="inlineStr"/>
      <c r="F141" s="4" t="inlineStr"/>
      <c r="G141" s="4" t="inlineStr"/>
      <c r="H141" s="4" t="inlineStr"/>
      <c r="I141" s="4" t="n"/>
    </row>
    <row r="142">
      <c r="A142" s="12" t="n">
        <v>138</v>
      </c>
      <c r="B142" s="4" t="inlineStr"/>
      <c r="C142" s="4" t="inlineStr"/>
      <c r="D142" s="4" t="inlineStr"/>
      <c r="E142" s="4" t="inlineStr"/>
      <c r="F142" s="4" t="inlineStr"/>
      <c r="G142" s="4" t="inlineStr"/>
      <c r="H142" s="4" t="inlineStr"/>
      <c r="I142" s="4" t="n"/>
    </row>
    <row r="143">
      <c r="A143" s="12" t="n">
        <v>139</v>
      </c>
      <c r="B143" s="4" t="inlineStr"/>
      <c r="C143" s="4" t="inlineStr"/>
      <c r="D143" s="4" t="inlineStr"/>
      <c r="E143" s="4" t="inlineStr"/>
      <c r="F143" s="4" t="inlineStr"/>
      <c r="G143" s="4" t="inlineStr"/>
      <c r="H143" s="4" t="inlineStr"/>
      <c r="I143" s="4" t="n"/>
    </row>
    <row r="144">
      <c r="A144" s="12" t="n">
        <v>140</v>
      </c>
      <c r="B144" s="4" t="inlineStr"/>
      <c r="C144" s="4" t="inlineStr"/>
      <c r="D144" s="4" t="inlineStr"/>
      <c r="E144" s="4" t="inlineStr"/>
      <c r="F144" s="4" t="inlineStr"/>
      <c r="G144" s="4" t="inlineStr"/>
      <c r="H144" s="4" t="inlineStr"/>
      <c r="I144" s="4" t="n"/>
    </row>
    <row r="145">
      <c r="A145" s="12" t="n">
        <v>141</v>
      </c>
      <c r="B145" s="4" t="inlineStr"/>
      <c r="C145" s="4" t="inlineStr"/>
      <c r="D145" s="4" t="inlineStr"/>
      <c r="E145" s="4" t="inlineStr"/>
      <c r="F145" s="4" t="inlineStr"/>
      <c r="G145" s="4" t="inlineStr"/>
      <c r="H145" s="4" t="inlineStr"/>
      <c r="I145" s="4" t="n"/>
    </row>
    <row r="146">
      <c r="A146" s="12" t="n">
        <v>142</v>
      </c>
      <c r="B146" s="4" t="inlineStr"/>
      <c r="C146" s="4" t="inlineStr"/>
      <c r="D146" s="4" t="inlineStr"/>
      <c r="E146" s="4" t="inlineStr"/>
      <c r="F146" s="4" t="inlineStr"/>
      <c r="G146" s="4" t="inlineStr"/>
      <c r="H146" s="4" t="inlineStr"/>
      <c r="I146" s="4" t="n"/>
    </row>
    <row r="147">
      <c r="A147" s="12" t="n">
        <v>143</v>
      </c>
      <c r="B147" s="4" t="inlineStr"/>
      <c r="C147" s="4" t="inlineStr"/>
      <c r="D147" s="4" t="inlineStr"/>
      <c r="E147" s="4" t="inlineStr"/>
      <c r="F147" s="4" t="inlineStr"/>
      <c r="G147" s="4" t="inlineStr"/>
      <c r="H147" s="4" t="inlineStr"/>
      <c r="I147" s="4" t="n"/>
    </row>
    <row r="148">
      <c r="A148" s="12" t="n">
        <v>144</v>
      </c>
      <c r="B148" s="4" t="inlineStr"/>
      <c r="C148" s="4" t="inlineStr"/>
      <c r="D148" s="4" t="inlineStr"/>
      <c r="E148" s="4" t="inlineStr"/>
      <c r="F148" s="4" t="inlineStr"/>
      <c r="G148" s="4" t="inlineStr"/>
      <c r="H148" s="4" t="inlineStr"/>
      <c r="I148" s="4" t="n"/>
    </row>
    <row r="149">
      <c r="A149" s="12" t="n">
        <v>145</v>
      </c>
      <c r="B149" s="4" t="inlineStr"/>
      <c r="C149" s="4" t="inlineStr"/>
      <c r="D149" s="4" t="inlineStr"/>
      <c r="E149" s="4" t="inlineStr"/>
      <c r="F149" s="4" t="inlineStr"/>
      <c r="G149" s="4" t="inlineStr"/>
      <c r="H149" s="4" t="inlineStr"/>
      <c r="I149" s="4" t="n"/>
    </row>
    <row r="150">
      <c r="A150" s="12" t="n">
        <v>146</v>
      </c>
      <c r="B150" s="4" t="inlineStr"/>
      <c r="C150" s="4" t="inlineStr"/>
      <c r="D150" s="4" t="inlineStr"/>
      <c r="E150" s="4" t="inlineStr"/>
      <c r="F150" s="4" t="inlineStr"/>
      <c r="G150" s="4" t="inlineStr"/>
      <c r="H150" s="4" t="inlineStr"/>
      <c r="I150" s="4" t="n"/>
    </row>
    <row r="151">
      <c r="A151" s="12" t="n">
        <v>147</v>
      </c>
      <c r="B151" s="4" t="inlineStr"/>
      <c r="C151" s="4" t="inlineStr"/>
      <c r="D151" s="4" t="inlineStr"/>
      <c r="E151" s="4" t="inlineStr"/>
      <c r="F151" s="4" t="inlineStr"/>
      <c r="G151" s="4" t="inlineStr"/>
      <c r="H151" s="4" t="inlineStr"/>
      <c r="I151" s="4" t="n"/>
    </row>
    <row r="152">
      <c r="A152" s="12" t="n">
        <v>148</v>
      </c>
      <c r="B152" s="4" t="inlineStr"/>
      <c r="C152" s="4" t="inlineStr"/>
      <c r="D152" s="4" t="inlineStr"/>
      <c r="E152" s="4" t="inlineStr"/>
      <c r="F152" s="4" t="inlineStr"/>
      <c r="G152" s="4" t="inlineStr"/>
      <c r="H152" s="4" t="inlineStr"/>
      <c r="I152" s="4" t="n"/>
    </row>
    <row r="153">
      <c r="A153" s="12" t="n">
        <v>149</v>
      </c>
      <c r="B153" s="4" t="inlineStr"/>
      <c r="C153" s="4" t="inlineStr"/>
      <c r="D153" s="4" t="inlineStr"/>
      <c r="E153" s="4" t="inlineStr"/>
      <c r="F153" s="4" t="inlineStr"/>
      <c r="G153" s="4" t="inlineStr"/>
      <c r="H153" s="4" t="inlineStr"/>
      <c r="I153" s="4" t="n"/>
    </row>
    <row r="154">
      <c r="A154" s="12" t="n">
        <v>150</v>
      </c>
      <c r="B154" s="4" t="inlineStr"/>
      <c r="C154" s="4" t="inlineStr"/>
      <c r="D154" s="4" t="inlineStr"/>
      <c r="E154" s="4" t="inlineStr"/>
      <c r="F154" s="4" t="inlineStr"/>
      <c r="G154" s="4" t="inlineStr"/>
      <c r="H154" s="4" t="inlineStr"/>
      <c r="I154" s="4" t="n"/>
    </row>
    <row r="155">
      <c r="A155" s="12" t="n">
        <v>151</v>
      </c>
      <c r="B155" s="4" t="inlineStr"/>
      <c r="C155" s="4" t="inlineStr"/>
      <c r="D155" s="4" t="inlineStr"/>
      <c r="E155" s="4" t="inlineStr"/>
      <c r="F155" s="4" t="inlineStr"/>
      <c r="G155" s="4" t="inlineStr"/>
      <c r="H155" s="4" t="inlineStr"/>
      <c r="I155" s="4" t="n"/>
    </row>
    <row r="156">
      <c r="A156" s="12" t="n">
        <v>152</v>
      </c>
      <c r="B156" s="4" t="inlineStr"/>
      <c r="C156" s="4" t="inlineStr"/>
      <c r="D156" s="4" t="inlineStr"/>
      <c r="E156" s="4" t="inlineStr"/>
      <c r="F156" s="4" t="inlineStr"/>
      <c r="G156" s="4" t="inlineStr"/>
      <c r="H156" s="4" t="inlineStr"/>
      <c r="I156" s="4" t="n"/>
    </row>
    <row r="157">
      <c r="A157" s="12" t="n">
        <v>153</v>
      </c>
      <c r="B157" s="4" t="inlineStr"/>
      <c r="C157" s="4" t="inlineStr"/>
      <c r="D157" s="4" t="inlineStr"/>
      <c r="E157" s="4" t="inlineStr"/>
      <c r="F157" s="4" t="inlineStr"/>
      <c r="G157" s="4" t="inlineStr"/>
      <c r="H157" s="4" t="inlineStr"/>
      <c r="I157" s="4" t="n"/>
    </row>
    <row r="158">
      <c r="A158" s="12" t="n">
        <v>154</v>
      </c>
      <c r="B158" s="4" t="inlineStr"/>
      <c r="C158" s="4" t="inlineStr"/>
      <c r="D158" s="4" t="inlineStr"/>
      <c r="E158" s="4" t="inlineStr"/>
      <c r="F158" s="4" t="inlineStr"/>
      <c r="G158" s="4" t="inlineStr"/>
      <c r="H158" s="4" t="inlineStr"/>
      <c r="I158" s="4" t="n"/>
    </row>
    <row r="159">
      <c r="A159" s="12" t="n">
        <v>155</v>
      </c>
      <c r="B159" s="4" t="inlineStr"/>
      <c r="C159" s="4" t="inlineStr"/>
      <c r="D159" s="4" t="inlineStr"/>
      <c r="E159" s="4" t="inlineStr"/>
      <c r="F159" s="4" t="inlineStr"/>
      <c r="G159" s="4" t="inlineStr"/>
      <c r="H159" s="4" t="inlineStr"/>
      <c r="I159" s="4" t="n"/>
    </row>
    <row r="160">
      <c r="A160" s="12" t="n">
        <v>156</v>
      </c>
      <c r="B160" s="4" t="inlineStr"/>
      <c r="C160" s="4" t="inlineStr"/>
      <c r="D160" s="4" t="inlineStr"/>
      <c r="E160" s="4" t="inlineStr"/>
      <c r="F160" s="4" t="inlineStr"/>
      <c r="G160" s="4" t="inlineStr"/>
      <c r="H160" s="4" t="inlineStr"/>
      <c r="I160" s="4" t="n"/>
    </row>
    <row r="161">
      <c r="A161" s="12" t="n">
        <v>157</v>
      </c>
      <c r="B161" s="4" t="inlineStr"/>
      <c r="C161" s="4" t="inlineStr"/>
      <c r="D161" s="4" t="inlineStr"/>
      <c r="E161" s="4" t="inlineStr"/>
      <c r="F161" s="4" t="inlineStr"/>
      <c r="G161" s="4" t="inlineStr"/>
      <c r="H161" s="4" t="inlineStr"/>
      <c r="I161" s="4" t="n"/>
    </row>
    <row r="162">
      <c r="A162" s="12" t="n">
        <v>158</v>
      </c>
      <c r="B162" s="4" t="inlineStr"/>
      <c r="C162" s="4" t="inlineStr"/>
      <c r="D162" s="4" t="inlineStr"/>
      <c r="E162" s="4" t="inlineStr"/>
      <c r="F162" s="4" t="inlineStr"/>
      <c r="G162" s="4" t="inlineStr"/>
      <c r="H162" s="4" t="inlineStr"/>
      <c r="I162" s="4" t="n"/>
    </row>
    <row r="163">
      <c r="A163" s="12" t="n">
        <v>159</v>
      </c>
      <c r="B163" s="4" t="inlineStr"/>
      <c r="C163" s="4" t="inlineStr"/>
      <c r="D163" s="4" t="inlineStr"/>
      <c r="E163" s="4" t="inlineStr"/>
      <c r="F163" s="4" t="inlineStr"/>
      <c r="G163" s="4" t="inlineStr"/>
      <c r="H163" s="4" t="inlineStr"/>
      <c r="I163" s="4" t="n"/>
    </row>
    <row r="164">
      <c r="A164" s="12" t="n">
        <v>160</v>
      </c>
      <c r="B164" s="4" t="inlineStr"/>
      <c r="C164" s="4" t="inlineStr"/>
      <c r="D164" s="4" t="inlineStr"/>
      <c r="E164" s="4" t="inlineStr"/>
      <c r="F164" s="4" t="inlineStr"/>
      <c r="G164" s="4" t="inlineStr"/>
      <c r="H164" s="4" t="inlineStr"/>
      <c r="I164" s="4" t="n"/>
    </row>
    <row r="165">
      <c r="A165" s="12" t="n">
        <v>161</v>
      </c>
      <c r="B165" s="4" t="inlineStr"/>
      <c r="C165" s="4" t="inlineStr"/>
      <c r="D165" s="4" t="inlineStr"/>
      <c r="E165" s="4" t="inlineStr"/>
      <c r="F165" s="4" t="inlineStr"/>
      <c r="G165" s="4" t="inlineStr"/>
      <c r="H165" s="4" t="inlineStr"/>
      <c r="I165" s="4" t="n"/>
    </row>
    <row r="166">
      <c r="A166" s="12" t="n">
        <v>162</v>
      </c>
      <c r="B166" s="4" t="inlineStr"/>
      <c r="C166" s="4" t="inlineStr"/>
      <c r="D166" s="4" t="inlineStr"/>
      <c r="E166" s="4" t="inlineStr"/>
      <c r="F166" s="4" t="inlineStr"/>
      <c r="G166" s="4" t="inlineStr"/>
      <c r="H166" s="4" t="inlineStr"/>
      <c r="I166" s="4" t="n"/>
    </row>
    <row r="167">
      <c r="A167" s="12" t="n">
        <v>163</v>
      </c>
      <c r="B167" s="4" t="inlineStr"/>
      <c r="C167" s="4" t="inlineStr"/>
      <c r="D167" s="4" t="inlineStr"/>
      <c r="E167" s="4" t="inlineStr"/>
      <c r="F167" s="4" t="inlineStr"/>
      <c r="G167" s="4" t="inlineStr"/>
      <c r="H167" s="4" t="inlineStr"/>
      <c r="I167" s="4" t="n"/>
    </row>
    <row r="168">
      <c r="A168" s="12" t="n">
        <v>164</v>
      </c>
      <c r="B168" s="4" t="inlineStr"/>
      <c r="C168" s="4" t="inlineStr"/>
      <c r="D168" s="4" t="inlineStr"/>
      <c r="E168" s="4" t="inlineStr"/>
      <c r="F168" s="4" t="inlineStr"/>
      <c r="G168" s="4" t="inlineStr"/>
      <c r="H168" s="4" t="inlineStr"/>
      <c r="I168" s="4" t="n"/>
    </row>
    <row r="169">
      <c r="A169" s="12" t="n">
        <v>165</v>
      </c>
      <c r="B169" s="4" t="inlineStr"/>
      <c r="C169" s="4" t="inlineStr"/>
      <c r="D169" s="4" t="inlineStr"/>
      <c r="E169" s="4" t="inlineStr"/>
      <c r="F169" s="4" t="inlineStr"/>
      <c r="G169" s="4" t="inlineStr"/>
      <c r="H169" s="4" t="inlineStr"/>
      <c r="I169" s="4" t="n"/>
    </row>
    <row r="170">
      <c r="A170" s="12" t="n">
        <v>166</v>
      </c>
      <c r="B170" s="4" t="inlineStr"/>
      <c r="C170" s="4" t="inlineStr"/>
      <c r="D170" s="4" t="inlineStr"/>
      <c r="E170" s="4" t="inlineStr"/>
      <c r="F170" s="4" t="inlineStr"/>
      <c r="G170" s="4" t="inlineStr"/>
      <c r="H170" s="4" t="inlineStr"/>
      <c r="I170" s="4" t="n"/>
    </row>
    <row r="171">
      <c r="A171" s="12" t="n">
        <v>167</v>
      </c>
      <c r="B171" s="4" t="inlineStr"/>
      <c r="C171" s="4" t="inlineStr"/>
      <c r="D171" s="4" t="inlineStr"/>
      <c r="E171" s="4" t="inlineStr"/>
      <c r="F171" s="4" t="inlineStr"/>
      <c r="G171" s="4" t="inlineStr"/>
      <c r="H171" s="4" t="inlineStr"/>
      <c r="I171" s="4" t="n"/>
    </row>
    <row r="172">
      <c r="A172" s="12" t="n">
        <v>168</v>
      </c>
      <c r="B172" s="4" t="inlineStr"/>
      <c r="C172" s="4" t="inlineStr"/>
      <c r="D172" s="4" t="inlineStr"/>
      <c r="E172" s="4" t="inlineStr"/>
      <c r="F172" s="4" t="inlineStr"/>
      <c r="G172" s="4" t="inlineStr"/>
      <c r="H172" s="4" t="inlineStr"/>
      <c r="I172" s="4" t="n"/>
    </row>
    <row r="173">
      <c r="A173" s="12" t="n">
        <v>169</v>
      </c>
      <c r="B173" s="4" t="inlineStr"/>
      <c r="C173" s="4" t="inlineStr"/>
      <c r="D173" s="4" t="inlineStr"/>
      <c r="E173" s="4" t="inlineStr"/>
      <c r="F173" s="4" t="inlineStr"/>
      <c r="G173" s="4" t="inlineStr"/>
      <c r="H173" s="4" t="inlineStr"/>
      <c r="I173" s="4" t="n"/>
    </row>
    <row r="174">
      <c r="A174" s="12" t="n">
        <v>170</v>
      </c>
      <c r="B174" s="4" t="inlineStr"/>
      <c r="C174" s="4" t="inlineStr"/>
      <c r="D174" s="4" t="inlineStr"/>
      <c r="E174" s="4" t="inlineStr"/>
      <c r="F174" s="4" t="inlineStr"/>
      <c r="G174" s="4" t="inlineStr"/>
      <c r="H174" s="4" t="inlineStr"/>
      <c r="I174" s="4" t="n"/>
    </row>
    <row r="175">
      <c r="A175" s="12" t="n">
        <v>171</v>
      </c>
      <c r="B175" s="4" t="inlineStr"/>
      <c r="C175" s="4" t="inlineStr"/>
      <c r="D175" s="4" t="inlineStr"/>
      <c r="E175" s="4" t="inlineStr"/>
      <c r="F175" s="4" t="inlineStr"/>
      <c r="G175" s="4" t="inlineStr"/>
      <c r="H175" s="4" t="inlineStr"/>
      <c r="I175" s="4" t="n"/>
    </row>
    <row r="176">
      <c r="A176" s="12" t="n">
        <v>172</v>
      </c>
      <c r="B176" s="4" t="inlineStr"/>
      <c r="C176" s="4" t="inlineStr"/>
      <c r="D176" s="4" t="inlineStr"/>
      <c r="E176" s="4" t="inlineStr"/>
      <c r="F176" s="4" t="inlineStr"/>
      <c r="G176" s="4" t="inlineStr"/>
      <c r="H176" s="4" t="inlineStr"/>
      <c r="I176" s="4" t="n"/>
    </row>
    <row r="177">
      <c r="A177" s="12" t="n">
        <v>173</v>
      </c>
      <c r="B177" s="4" t="inlineStr"/>
      <c r="C177" s="4" t="inlineStr"/>
      <c r="D177" s="4" t="inlineStr"/>
      <c r="E177" s="4" t="inlineStr"/>
      <c r="F177" s="4" t="inlineStr"/>
      <c r="G177" s="4" t="inlineStr"/>
      <c r="H177" s="4" t="inlineStr"/>
      <c r="I177" s="4" t="n"/>
    </row>
    <row r="178">
      <c r="A178" s="12" t="n">
        <v>174</v>
      </c>
      <c r="B178" s="4" t="inlineStr"/>
      <c r="C178" s="4" t="inlineStr"/>
      <c r="D178" s="4" t="inlineStr"/>
      <c r="E178" s="4" t="inlineStr"/>
      <c r="F178" s="4" t="inlineStr"/>
      <c r="G178" s="4" t="inlineStr"/>
      <c r="H178" s="4" t="inlineStr"/>
      <c r="I178" s="4" t="n"/>
    </row>
    <row r="179">
      <c r="A179" s="12" t="n">
        <v>175</v>
      </c>
      <c r="B179" s="4" t="inlineStr"/>
      <c r="C179" s="4" t="inlineStr"/>
      <c r="D179" s="4" t="inlineStr"/>
      <c r="E179" s="4" t="inlineStr"/>
      <c r="F179" s="4" t="inlineStr"/>
      <c r="G179" s="4" t="inlineStr"/>
      <c r="H179" s="4" t="inlineStr"/>
      <c r="I179" s="4" t="n"/>
    </row>
    <row r="180">
      <c r="A180" s="12" t="n">
        <v>176</v>
      </c>
      <c r="B180" s="4" t="inlineStr"/>
      <c r="C180" s="4" t="inlineStr"/>
      <c r="D180" s="4" t="inlineStr"/>
      <c r="E180" s="4" t="inlineStr"/>
      <c r="F180" s="4" t="inlineStr"/>
      <c r="G180" s="4" t="inlineStr"/>
      <c r="H180" s="4" t="inlineStr"/>
      <c r="I180" s="4" t="n"/>
    </row>
    <row r="181">
      <c r="A181" s="12" t="n">
        <v>177</v>
      </c>
      <c r="B181" s="4" t="inlineStr"/>
      <c r="C181" s="4" t="inlineStr"/>
      <c r="D181" s="4" t="inlineStr"/>
      <c r="E181" s="4" t="inlineStr"/>
      <c r="F181" s="4" t="inlineStr"/>
      <c r="G181" s="4" t="inlineStr"/>
      <c r="H181" s="4" t="inlineStr"/>
      <c r="I181" s="4" t="n"/>
    </row>
    <row r="182">
      <c r="A182" s="12" t="n">
        <v>178</v>
      </c>
      <c r="B182" s="4" t="inlineStr"/>
      <c r="C182" s="4" t="inlineStr"/>
      <c r="D182" s="4" t="inlineStr"/>
      <c r="E182" s="4" t="inlineStr"/>
      <c r="F182" s="4" t="inlineStr"/>
      <c r="G182" s="4" t="inlineStr"/>
      <c r="H182" s="4" t="inlineStr"/>
      <c r="I182" s="4" t="n"/>
    </row>
    <row r="183">
      <c r="A183" s="12" t="n">
        <v>179</v>
      </c>
      <c r="B183" s="4" t="inlineStr"/>
      <c r="C183" s="4" t="inlineStr"/>
      <c r="D183" s="4" t="inlineStr"/>
      <c r="E183" s="4" t="inlineStr"/>
      <c r="F183" s="4" t="inlineStr"/>
      <c r="G183" s="4" t="inlineStr"/>
      <c r="H183" s="4" t="inlineStr"/>
      <c r="I183" s="4" t="n"/>
    </row>
    <row r="184">
      <c r="A184" s="12" t="n">
        <v>180</v>
      </c>
      <c r="B184" s="4" t="inlineStr"/>
      <c r="C184" s="4" t="inlineStr"/>
      <c r="D184" s="4" t="inlineStr"/>
      <c r="E184" s="4" t="inlineStr"/>
      <c r="F184" s="4" t="inlineStr"/>
      <c r="G184" s="4" t="inlineStr"/>
      <c r="H184" s="4" t="inlineStr"/>
      <c r="I184" s="4" t="n"/>
    </row>
    <row r="185">
      <c r="A185" s="12" t="n">
        <v>181</v>
      </c>
      <c r="B185" s="4" t="inlineStr"/>
      <c r="C185" s="4" t="inlineStr"/>
      <c r="D185" s="4" t="inlineStr"/>
      <c r="E185" s="4" t="inlineStr"/>
      <c r="F185" s="4" t="inlineStr"/>
      <c r="G185" s="4" t="inlineStr"/>
      <c r="H185" s="4" t="inlineStr"/>
      <c r="I185" s="4" t="n"/>
    </row>
    <row r="186">
      <c r="A186" s="12" t="n">
        <v>182</v>
      </c>
      <c r="B186" s="4" t="inlineStr"/>
      <c r="C186" s="4" t="inlineStr"/>
      <c r="D186" s="4" t="inlineStr"/>
      <c r="E186" s="4" t="inlineStr"/>
      <c r="F186" s="4" t="inlineStr"/>
      <c r="G186" s="4" t="inlineStr"/>
      <c r="H186" s="4" t="inlineStr"/>
      <c r="I186" s="4" t="n"/>
    </row>
    <row r="187">
      <c r="A187" s="12" t="n">
        <v>183</v>
      </c>
      <c r="B187" s="4" t="inlineStr"/>
      <c r="C187" s="4" t="inlineStr"/>
      <c r="D187" s="4" t="inlineStr"/>
      <c r="E187" s="4" t="inlineStr"/>
      <c r="F187" s="4" t="inlineStr"/>
      <c r="G187" s="4" t="inlineStr"/>
      <c r="H187" s="4" t="inlineStr"/>
      <c r="I187" s="4" t="n"/>
    </row>
    <row r="188">
      <c r="A188" s="12" t="n">
        <v>184</v>
      </c>
      <c r="B188" s="4" t="inlineStr"/>
      <c r="C188" s="4" t="inlineStr"/>
      <c r="D188" s="4" t="inlineStr"/>
      <c r="E188" s="4" t="inlineStr"/>
      <c r="F188" s="4" t="inlineStr"/>
      <c r="G188" s="4" t="inlineStr"/>
      <c r="H188" s="4" t="inlineStr"/>
      <c r="I188" s="4" t="n"/>
    </row>
    <row r="189">
      <c r="A189" s="12" t="n">
        <v>185</v>
      </c>
      <c r="B189" s="4" t="inlineStr"/>
      <c r="C189" s="4" t="inlineStr"/>
      <c r="D189" s="4" t="inlineStr"/>
      <c r="E189" s="4" t="inlineStr"/>
      <c r="F189" s="4" t="inlineStr"/>
      <c r="G189" s="4" t="inlineStr"/>
      <c r="H189" s="4" t="inlineStr"/>
      <c r="I189" s="4" t="n"/>
    </row>
    <row r="190">
      <c r="A190" s="12" t="n">
        <v>186</v>
      </c>
      <c r="B190" s="4" t="inlineStr"/>
      <c r="C190" s="4" t="inlineStr"/>
      <c r="D190" s="4" t="inlineStr"/>
      <c r="E190" s="4" t="inlineStr"/>
      <c r="F190" s="4" t="inlineStr"/>
      <c r="G190" s="4" t="inlineStr"/>
      <c r="H190" s="4" t="inlineStr"/>
      <c r="I190" s="4" t="n"/>
    </row>
    <row r="191">
      <c r="A191" s="12" t="n">
        <v>187</v>
      </c>
      <c r="B191" s="4" t="inlineStr"/>
      <c r="C191" s="4" t="inlineStr"/>
      <c r="D191" s="4" t="inlineStr"/>
      <c r="E191" s="4" t="inlineStr"/>
      <c r="F191" s="4" t="inlineStr"/>
      <c r="G191" s="4" t="inlineStr"/>
      <c r="H191" s="4" t="inlineStr"/>
      <c r="I191" s="4" t="n"/>
    </row>
    <row r="192">
      <c r="A192" s="12" t="n">
        <v>188</v>
      </c>
      <c r="B192" s="4" t="inlineStr"/>
      <c r="C192" s="4" t="inlineStr"/>
      <c r="D192" s="4" t="inlineStr"/>
      <c r="E192" s="4" t="inlineStr"/>
      <c r="F192" s="4" t="inlineStr"/>
      <c r="G192" s="4" t="inlineStr"/>
      <c r="H192" s="4" t="inlineStr"/>
      <c r="I192" s="4" t="n"/>
    </row>
    <row r="193">
      <c r="A193" s="12" t="n">
        <v>189</v>
      </c>
      <c r="B193" s="4" t="inlineStr"/>
      <c r="C193" s="4" t="inlineStr"/>
      <c r="D193" s="4" t="inlineStr"/>
      <c r="E193" s="4" t="inlineStr"/>
      <c r="F193" s="4" t="inlineStr"/>
      <c r="G193" s="4" t="inlineStr"/>
      <c r="H193" s="4" t="inlineStr"/>
      <c r="I193" s="4" t="n"/>
    </row>
    <row r="194">
      <c r="A194" s="12" t="n">
        <v>190</v>
      </c>
      <c r="B194" s="4" t="inlineStr"/>
      <c r="C194" s="4" t="inlineStr"/>
      <c r="D194" s="4" t="inlineStr"/>
      <c r="E194" s="4" t="inlineStr"/>
      <c r="F194" s="4" t="inlineStr"/>
      <c r="G194" s="4" t="inlineStr"/>
      <c r="H194" s="4" t="inlineStr"/>
      <c r="I194" s="4" t="n"/>
    </row>
    <row r="195">
      <c r="A195" s="12" t="n">
        <v>191</v>
      </c>
      <c r="B195" s="4" t="inlineStr"/>
      <c r="C195" s="4" t="inlineStr"/>
      <c r="D195" s="4" t="inlineStr"/>
      <c r="E195" s="4" t="inlineStr"/>
      <c r="F195" s="4" t="inlineStr"/>
      <c r="G195" s="4" t="inlineStr"/>
      <c r="H195" s="4" t="inlineStr"/>
      <c r="I195" s="4" t="n"/>
    </row>
    <row r="196">
      <c r="A196" s="12" t="n">
        <v>192</v>
      </c>
      <c r="B196" s="4" t="inlineStr"/>
      <c r="C196" s="4" t="inlineStr"/>
      <c r="D196" s="4" t="inlineStr"/>
      <c r="E196" s="4" t="inlineStr"/>
      <c r="F196" s="4" t="inlineStr"/>
      <c r="G196" s="4" t="inlineStr"/>
      <c r="H196" s="4" t="inlineStr"/>
      <c r="I196" s="4" t="n"/>
    </row>
    <row r="197">
      <c r="A197" s="12" t="n">
        <v>193</v>
      </c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n"/>
    </row>
    <row r="198">
      <c r="A198" s="12" t="n">
        <v>194</v>
      </c>
      <c r="B198" s="4" t="inlineStr"/>
      <c r="C198" s="4" t="inlineStr"/>
      <c r="D198" s="4" t="inlineStr"/>
      <c r="E198" s="4" t="inlineStr"/>
      <c r="F198" s="4" t="inlineStr"/>
      <c r="G198" s="4" t="inlineStr"/>
      <c r="H198" s="4" t="inlineStr"/>
      <c r="I198" s="4" t="n"/>
    </row>
    <row r="199">
      <c r="A199" s="12" t="n">
        <v>195</v>
      </c>
      <c r="B199" s="4" t="inlineStr"/>
      <c r="C199" s="4" t="inlineStr"/>
      <c r="D199" s="4" t="inlineStr"/>
      <c r="E199" s="4" t="inlineStr"/>
      <c r="F199" s="4" t="inlineStr"/>
      <c r="G199" s="4" t="inlineStr"/>
      <c r="H199" s="4" t="inlineStr"/>
      <c r="I199" s="4" t="n"/>
    </row>
    <row r="200">
      <c r="A200" s="12" t="n">
        <v>196</v>
      </c>
      <c r="B200" s="4" t="inlineStr"/>
      <c r="C200" s="4" t="inlineStr"/>
      <c r="D200" s="4" t="inlineStr"/>
      <c r="E200" s="4" t="inlineStr"/>
      <c r="F200" s="4" t="inlineStr"/>
      <c r="G200" s="4" t="inlineStr"/>
      <c r="H200" s="4" t="inlineStr"/>
      <c r="I200" s="4" t="n"/>
    </row>
    <row r="201">
      <c r="A201" s="12" t="n">
        <v>197</v>
      </c>
      <c r="B201" s="4" t="inlineStr"/>
      <c r="C201" s="4" t="inlineStr"/>
      <c r="D201" s="4" t="inlineStr"/>
      <c r="E201" s="4" t="inlineStr"/>
      <c r="F201" s="4" t="inlineStr"/>
      <c r="G201" s="4" t="inlineStr"/>
      <c r="H201" s="4" t="inlineStr"/>
      <c r="I201" s="4" t="n"/>
    </row>
    <row r="202">
      <c r="A202" s="12" t="n">
        <v>198</v>
      </c>
      <c r="B202" s="4" t="inlineStr"/>
      <c r="C202" s="4" t="inlineStr"/>
      <c r="D202" s="4" t="inlineStr"/>
      <c r="E202" s="4" t="inlineStr"/>
      <c r="F202" s="4" t="inlineStr"/>
      <c r="G202" s="4" t="inlineStr"/>
      <c r="H202" s="4" t="inlineStr"/>
      <c r="I202" s="4" t="n"/>
    </row>
    <row r="203">
      <c r="A203" s="12" t="n">
        <v>199</v>
      </c>
      <c r="B203" s="4" t="inlineStr"/>
      <c r="C203" s="4" t="inlineStr"/>
      <c r="D203" s="4" t="inlineStr"/>
      <c r="E203" s="4" t="inlineStr"/>
      <c r="F203" s="4" t="inlineStr"/>
      <c r="G203" s="4" t="inlineStr"/>
      <c r="H203" s="4" t="inlineStr"/>
      <c r="I203" s="4" t="n"/>
    </row>
    <row r="204">
      <c r="A204" s="12" t="n">
        <v>200</v>
      </c>
      <c r="B204" s="4" t="inlineStr"/>
      <c r="C204" s="4" t="inlineStr"/>
      <c r="D204" s="4" t="inlineStr"/>
      <c r="E204" s="4" t="inlineStr"/>
      <c r="F204" s="4" t="inlineStr"/>
      <c r="G204" s="4" t="inlineStr"/>
      <c r="H204" s="4" t="inlineStr"/>
      <c r="I204" s="4" t="n"/>
    </row>
  </sheetData>
  <autoFilter ref="A4:I204"/>
  <dataValidations count="3">
    <dataValidation sqref="B5:B204" showDropDown="0" showInputMessage="1" showErrorMessage="1" allowBlank="1" promptTitle="Select" prompt="System this item belongs to" type="list">
      <formula1>=SystemList</formula1>
    </dataValidation>
    <dataValidation sqref="E5:E204" showDropDown="0" showInputMessage="1" showErrorMessage="1" allowBlank="1" promptTitle="Select" prompt="Equipment type (from Lists)" type="list">
      <formula1>=EqTypeList</formula1>
    </dataValidation>
    <dataValidation sqref="G5:G204" showDropDown="0" showInputMessage="0" showErrorMessage="1" allowBlank="1" errorTitle="Not in list" error="Entry is not in the list – it will be accepted as free text." type="list" errorStyle="information">
      <formula1>"Duty,Standby,Single,Spare,Common"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3" max="3"/>
    <col width="36" customWidth="1" min="4" max="4"/>
    <col width="44" customWidth="1" min="6" max="6"/>
    <col width="44" customWidth="1" min="7" max="7"/>
    <col width="52" customWidth="1" min="9" max="9"/>
    <col width="46" customWidth="1" min="11" max="11"/>
    <col width="34" customWidth="1" min="13" max="13"/>
    <col width="22" customWidth="1" min="15" max="15"/>
  </cols>
  <sheetData>
    <row r="1">
      <c r="A1" s="1" t="inlineStr">
        <is>
          <t>DROP-DOWN LISTS</t>
        </is>
      </c>
    </row>
    <row r="2">
      <c r="A2" s="2" t="inlineStr">
        <is>
          <t>Editable. To add a component or failure mode, INSERT a row inside its equipment-type block (blocks must stay together). Failure-mode codes follow ISO 14224 where applicable.</t>
        </is>
      </c>
    </row>
    <row r="4">
      <c r="A4" s="7" t="inlineStr">
        <is>
          <t>Equipment types</t>
        </is>
      </c>
      <c r="C4" s="7" t="inlineStr">
        <is>
          <t>Equipment type</t>
        </is>
      </c>
      <c r="D4" s="7" t="inlineStr">
        <is>
          <t>Component / maintainable item</t>
        </is>
      </c>
      <c r="F4" s="7" t="inlineStr">
        <is>
          <t>Equipment type</t>
        </is>
      </c>
      <c r="G4" s="7" t="inlineStr">
        <is>
          <t>Failure mode</t>
        </is>
      </c>
      <c r="I4" s="7" t="inlineStr">
        <is>
          <t>Failure causes / mechanisms</t>
        </is>
      </c>
      <c r="K4" s="7" t="inlineStr">
        <is>
          <t>Detection methods</t>
        </is>
      </c>
      <c r="M4" s="7" t="inlineStr">
        <is>
          <t>Action / task type</t>
        </is>
      </c>
      <c r="O4" s="7" t="inlineStr">
        <is>
          <t>Document category</t>
        </is>
      </c>
    </row>
    <row r="5">
      <c r="A5" s="15" t="inlineStr">
        <is>
          <t>Centrifugal pump</t>
        </is>
      </c>
      <c r="C5" s="15" t="inlineStr">
        <is>
          <t>Centrifugal pump</t>
        </is>
      </c>
      <c r="D5" s="15" t="inlineStr">
        <is>
          <t>Impeller</t>
        </is>
      </c>
      <c r="F5" s="15" t="inlineStr">
        <is>
          <t>Centrifugal pump</t>
        </is>
      </c>
      <c r="G5" s="15" t="inlineStr">
        <is>
          <t>FTS – Fail to start on demand</t>
        </is>
      </c>
      <c r="I5" s="15" t="inlineStr">
        <is>
          <t>1.0 Mechanical failure – general</t>
        </is>
      </c>
      <c r="K5" s="15" t="inlineStr">
        <is>
          <t>Online vibration monitoring with alarm</t>
        </is>
      </c>
      <c r="M5" s="15" t="inlineStr">
        <is>
          <t>Condition monitoring task</t>
        </is>
      </c>
      <c r="O5" s="15" t="inlineStr">
        <is>
          <t>Drawings</t>
        </is>
      </c>
    </row>
    <row r="6">
      <c r="A6" s="15" t="inlineStr">
        <is>
          <t>Positive displacement pump</t>
        </is>
      </c>
      <c r="C6" s="15" t="inlineStr">
        <is>
          <t>Centrifugal pump</t>
        </is>
      </c>
      <c r="D6" s="15" t="inlineStr">
        <is>
          <t>Casing</t>
        </is>
      </c>
      <c r="F6" s="15" t="inlineStr">
        <is>
          <t>Centrifugal pump</t>
        </is>
      </c>
      <c r="G6" s="15" t="inlineStr">
        <is>
          <t>STP – Fail to stop on demand</t>
        </is>
      </c>
      <c r="I6" s="15" t="inlineStr">
        <is>
          <t>1.1 Leakage</t>
        </is>
      </c>
      <c r="K6" s="15" t="inlineStr">
        <is>
          <t>Periodic vibration analysis (route)</t>
        </is>
      </c>
      <c r="M6" s="15" t="inlineStr">
        <is>
          <t>Time-based maintenance / overhaul</t>
        </is>
      </c>
      <c r="O6" s="15" t="inlineStr">
        <is>
          <t>Equipment data</t>
        </is>
      </c>
    </row>
    <row r="7">
      <c r="A7" s="15" t="inlineStr">
        <is>
          <t>Centrifugal compressor</t>
        </is>
      </c>
      <c r="C7" s="15" t="inlineStr">
        <is>
          <t>Centrifugal pump</t>
        </is>
      </c>
      <c r="D7" s="15" t="inlineStr">
        <is>
          <t>Shaft</t>
        </is>
      </c>
      <c r="F7" s="15" t="inlineStr">
        <is>
          <t>Centrifugal pump</t>
        </is>
      </c>
      <c r="G7" s="15" t="inlineStr">
        <is>
          <t>UST – Spurious stop</t>
        </is>
      </c>
      <c r="I7" s="15" t="inlineStr">
        <is>
          <t>1.2 Vibration</t>
        </is>
      </c>
      <c r="K7" s="15" t="inlineStr">
        <is>
          <t>Infrared thermography</t>
        </is>
      </c>
      <c r="M7" s="15" t="inlineStr">
        <is>
          <t>Failure-finding / proof test</t>
        </is>
      </c>
      <c r="O7" s="15" t="inlineStr">
        <is>
          <t>Maintenance history</t>
        </is>
      </c>
    </row>
    <row r="8">
      <c r="A8" s="15" t="inlineStr">
        <is>
          <t>Reciprocating compressor</t>
        </is>
      </c>
      <c r="C8" s="15" t="inlineStr">
        <is>
          <t>Centrifugal pump</t>
        </is>
      </c>
      <c r="D8" s="15" t="inlineStr">
        <is>
          <t>Bearings</t>
        </is>
      </c>
      <c r="F8" s="15" t="inlineStr">
        <is>
          <t>Centrifugal pump</t>
        </is>
      </c>
      <c r="G8" s="15" t="inlineStr">
        <is>
          <t>BRD – Breakdown</t>
        </is>
      </c>
      <c r="I8" s="15" t="inlineStr">
        <is>
          <t>1.3 Clearance / alignment failure</t>
        </is>
      </c>
      <c r="K8" s="15" t="inlineStr">
        <is>
          <t>Oil / lubricant analysis</t>
        </is>
      </c>
      <c r="M8" s="15" t="inlineStr">
        <is>
          <t>Operator round / inspection</t>
        </is>
      </c>
      <c r="O8" s="15" t="inlineStr">
        <is>
          <t>Reliability data</t>
        </is>
      </c>
    </row>
    <row r="9">
      <c r="A9" s="15" t="inlineStr">
        <is>
          <t>Fan / blower (incl. ID fan)</t>
        </is>
      </c>
      <c r="C9" s="15" t="inlineStr">
        <is>
          <t>Centrifugal pump</t>
        </is>
      </c>
      <c r="D9" s="15" t="inlineStr">
        <is>
          <t>Mechanical seal</t>
        </is>
      </c>
      <c r="F9" s="15" t="inlineStr">
        <is>
          <t>Centrifugal pump</t>
        </is>
      </c>
      <c r="G9" s="15" t="inlineStr">
        <is>
          <t>LOO – Low output (flow / head)</t>
        </is>
      </c>
      <c r="I9" s="15" t="inlineStr">
        <is>
          <t>1.4 Deformation</t>
        </is>
      </c>
      <c r="K9" s="15" t="inlineStr">
        <is>
          <t>Ultrasonic thickness / NDT inspection</t>
        </is>
      </c>
      <c r="M9" s="15" t="inlineStr">
        <is>
          <t>Redesign / modification (MOC)</t>
        </is>
      </c>
      <c r="O9" s="15" t="inlineStr">
        <is>
          <t>Procedures</t>
        </is>
      </c>
    </row>
    <row r="10">
      <c r="A10" s="15" t="inlineStr">
        <is>
          <t>Electric motor</t>
        </is>
      </c>
      <c r="C10" s="15" t="inlineStr">
        <is>
          <t>Centrifugal pump</t>
        </is>
      </c>
      <c r="D10" s="15" t="inlineStr">
        <is>
          <t>Coupling</t>
        </is>
      </c>
      <c r="F10" s="15" t="inlineStr">
        <is>
          <t>Centrifugal pump</t>
        </is>
      </c>
      <c r="G10" s="15" t="inlineStr">
        <is>
          <t>HIO – High output</t>
        </is>
      </c>
      <c r="I10" s="15" t="inlineStr">
        <is>
          <t>1.5 Looseness</t>
        </is>
      </c>
      <c r="K10" s="15" t="inlineStr">
        <is>
          <t>Acoustic emission / ultrasonic leak detection</t>
        </is>
      </c>
      <c r="M10" s="15" t="inlineStr">
        <is>
          <t>Spares holding</t>
        </is>
      </c>
      <c r="O10" s="15" t="inlineStr">
        <is>
          <t>Previous studies</t>
        </is>
      </c>
    </row>
    <row r="11">
      <c r="A11" s="15" t="inlineStr">
        <is>
          <t>Gearbox</t>
        </is>
      </c>
      <c r="C11" s="15" t="inlineStr">
        <is>
          <t>Centrifugal pump</t>
        </is>
      </c>
      <c r="D11" s="15" t="inlineStr">
        <is>
          <t>Wear rings</t>
        </is>
      </c>
      <c r="F11" s="15" t="inlineStr">
        <is>
          <t>Centrifugal pump</t>
        </is>
      </c>
      <c r="G11" s="15" t="inlineStr">
        <is>
          <t>ELP – External leakage – process medium</t>
        </is>
      </c>
      <c r="I11" s="15" t="inlineStr">
        <is>
          <t>1.6 Sticking / seizure</t>
        </is>
      </c>
      <c r="K11" s="15" t="inlineStr">
        <is>
          <t>Motor current signature analysis</t>
        </is>
      </c>
      <c r="M11" s="15" t="inlineStr">
        <is>
          <t>Procedure / training</t>
        </is>
      </c>
      <c r="O11" s="15" t="inlineStr">
        <is>
          <t>Other</t>
        </is>
      </c>
    </row>
    <row r="12">
      <c r="A12" s="15" t="inlineStr">
        <is>
          <t>Belt conveyor</t>
        </is>
      </c>
      <c r="C12" s="15" t="inlineStr">
        <is>
          <t>Centrifugal pump</t>
        </is>
      </c>
      <c r="D12" s="15" t="inlineStr">
        <is>
          <t>Baseplate / holding-down</t>
        </is>
      </c>
      <c r="F12" s="15" t="inlineStr">
        <is>
          <t>Centrifugal pump</t>
        </is>
      </c>
      <c r="G12" s="15" t="inlineStr">
        <is>
          <t>ELU – External leakage – utility medium</t>
        </is>
      </c>
      <c r="I12" s="15" t="inlineStr">
        <is>
          <t>2.0 Material failure – general</t>
        </is>
      </c>
      <c r="K12" s="15" t="inlineStr">
        <is>
          <t>Partial discharge / insulation testing</t>
        </is>
      </c>
      <c r="M12" s="15" t="inlineStr">
        <is>
          <t>Run to failure (accepted)</t>
        </is>
      </c>
    </row>
    <row r="13">
      <c r="A13" s="15" t="inlineStr">
        <is>
          <t>Pressure vessel / separator / column</t>
        </is>
      </c>
      <c r="C13" s="15" t="inlineStr">
        <is>
          <t>Centrifugal pump</t>
        </is>
      </c>
      <c r="D13" s="15" t="inlineStr">
        <is>
          <t>Lubrication system</t>
        </is>
      </c>
      <c r="F13" s="15" t="inlineStr">
        <is>
          <t>Centrifugal pump</t>
        </is>
      </c>
      <c r="G13" s="15" t="inlineStr">
        <is>
          <t>INL – Internal leakage / recirculation</t>
        </is>
      </c>
      <c r="I13" s="15" t="inlineStr">
        <is>
          <t>2.1 Cavitation</t>
        </is>
      </c>
      <c r="K13" s="15" t="inlineStr">
        <is>
          <t>Process alarm (DCS)</t>
        </is>
      </c>
      <c r="M13" s="15" t="inlineStr">
        <is>
          <t>Further study</t>
        </is>
      </c>
    </row>
    <row r="14">
      <c r="A14" s="15" t="inlineStr">
        <is>
          <t>Shell &amp; tube heat exchanger</t>
        </is>
      </c>
      <c r="C14" s="15" t="inlineStr">
        <is>
          <t>Centrifugal pump</t>
        </is>
      </c>
      <c r="D14" s="15" t="inlineStr">
        <is>
          <t>Suction strainer</t>
        </is>
      </c>
      <c r="F14" s="15" t="inlineStr">
        <is>
          <t>Centrifugal pump</t>
        </is>
      </c>
      <c r="G14" s="15" t="inlineStr">
        <is>
          <t>VIB – Vibration</t>
        </is>
      </c>
      <c r="I14" s="15" t="inlineStr">
        <is>
          <t>2.2 Corrosion (general / pitting / CUI)</t>
        </is>
      </c>
      <c r="K14" s="15" t="inlineStr">
        <is>
          <t>Protective trip / interlock</t>
        </is>
      </c>
    </row>
    <row r="15">
      <c r="A15" s="15" t="inlineStr">
        <is>
          <t>Atmospheric storage tank</t>
        </is>
      </c>
      <c r="C15" s="15" t="inlineStr">
        <is>
          <t>Positive displacement pump</t>
        </is>
      </c>
      <c r="D15" s="15" t="inlineStr">
        <is>
          <t>Rotors / gears / pistons</t>
        </is>
      </c>
      <c r="F15" s="15" t="inlineStr">
        <is>
          <t>Centrifugal pump</t>
        </is>
      </c>
      <c r="G15" s="15" t="inlineStr">
        <is>
          <t>NOI – Noise</t>
        </is>
      </c>
      <c r="I15" s="15" t="inlineStr">
        <is>
          <t>2.3 Erosion</t>
        </is>
      </c>
      <c r="K15" s="15" t="inlineStr">
        <is>
          <t>Performance monitoring (flow, ΔP, efficiency)</t>
        </is>
      </c>
    </row>
    <row r="16">
      <c r="A16" s="15" t="inlineStr">
        <is>
          <t>Piping, flanges &amp; hoses</t>
        </is>
      </c>
      <c r="C16" s="15" t="inlineStr">
        <is>
          <t>Positive displacement pump</t>
        </is>
      </c>
      <c r="D16" s="15" t="inlineStr">
        <is>
          <t>Suction / discharge valves</t>
        </is>
      </c>
      <c r="F16" s="15" t="inlineStr">
        <is>
          <t>Centrifugal pump</t>
        </is>
      </c>
      <c r="G16" s="15" t="inlineStr">
        <is>
          <t>OHE – Overheating</t>
        </is>
      </c>
      <c r="I16" s="15" t="inlineStr">
        <is>
          <t>2.4 Wear</t>
        </is>
      </c>
      <c r="K16" s="15" t="inlineStr">
        <is>
          <t>Operator rounds – visual / sensory</t>
        </is>
      </c>
    </row>
    <row r="17">
      <c r="A17" s="15" t="inlineStr">
        <is>
          <t>Control valve</t>
        </is>
      </c>
      <c r="C17" s="15" t="inlineStr">
        <is>
          <t>Positive displacement pump</t>
        </is>
      </c>
      <c r="D17" s="15" t="inlineStr">
        <is>
          <t>Packing / seals</t>
        </is>
      </c>
      <c r="F17" s="15" t="inlineStr">
        <is>
          <t>Centrifugal pump</t>
        </is>
      </c>
      <c r="G17" s="15" t="inlineStr">
        <is>
          <t>PDE – Parameter deviation</t>
        </is>
      </c>
      <c r="I17" s="15" t="inlineStr">
        <is>
          <t>2.5 Breakage / fracture</t>
        </is>
      </c>
      <c r="K17" s="15" t="inlineStr">
        <is>
          <t>Proof test / function test</t>
        </is>
      </c>
    </row>
    <row r="18">
      <c r="A18" s="15" t="inlineStr">
        <is>
          <t>Isolation / ESD valve</t>
        </is>
      </c>
      <c r="C18" s="15" t="inlineStr">
        <is>
          <t>Positive displacement pump</t>
        </is>
      </c>
      <c r="D18" s="15" t="inlineStr">
        <is>
          <t>Bearings</t>
        </is>
      </c>
      <c r="F18" s="15" t="inlineStr">
        <is>
          <t>Centrifugal pump</t>
        </is>
      </c>
      <c r="G18" s="15" t="inlineStr">
        <is>
          <t>STD – Structural deficiency</t>
        </is>
      </c>
      <c r="I18" s="15" t="inlineStr">
        <is>
          <t>2.6 Fatigue (mechanical / thermal)</t>
        </is>
      </c>
      <c r="K18" s="15" t="inlineStr">
        <is>
          <t>Leak detection system (flow in / out)</t>
        </is>
      </c>
    </row>
    <row r="19">
      <c r="A19" s="15" t="inlineStr">
        <is>
          <t>Pressure relief device (PSV / rupture disc)</t>
        </is>
      </c>
      <c r="C19" s="15" t="inlineStr">
        <is>
          <t>Positive displacement pump</t>
        </is>
      </c>
      <c r="D19" s="15" t="inlineStr">
        <is>
          <t>Drive (gearbox / coupling)</t>
        </is>
      </c>
      <c r="F19" s="15" t="inlineStr">
        <is>
          <t>Centrifugal pump</t>
        </is>
      </c>
      <c r="G19" s="15" t="inlineStr">
        <is>
          <t>PLU – Plugged / choked</t>
        </is>
      </c>
      <c r="I19" s="15" t="inlineStr">
        <is>
          <t>2.7 Overheating</t>
        </is>
      </c>
      <c r="K19" s="15" t="inlineStr">
        <is>
          <t>Gas / fire detection</t>
        </is>
      </c>
    </row>
    <row r="20">
      <c r="A20" s="15" t="inlineStr">
        <is>
          <t>Instrument – transmitter / switch</t>
        </is>
      </c>
      <c r="C20" s="15" t="inlineStr">
        <is>
          <t>Positive displacement pump</t>
        </is>
      </c>
      <c r="D20" s="15" t="inlineStr">
        <is>
          <t>Pulsation damper</t>
        </is>
      </c>
      <c r="F20" s="15" t="inlineStr">
        <is>
          <t>Centrifugal pump</t>
        </is>
      </c>
      <c r="G20" s="15" t="inlineStr">
        <is>
          <t>OTH – Other</t>
        </is>
      </c>
      <c r="I20" s="15" t="inlineStr">
        <is>
          <t>2.8 Burst</t>
        </is>
      </c>
      <c r="K20" s="15" t="inlineStr">
        <is>
          <t>Shell temperature scanning (refractory)</t>
        </is>
      </c>
    </row>
    <row r="21">
      <c r="A21" s="15" t="inlineStr">
        <is>
          <t>Analyser / gas detector</t>
        </is>
      </c>
      <c r="C21" s="15" t="inlineStr">
        <is>
          <t>Positive displacement pump</t>
        </is>
      </c>
      <c r="D21" s="15" t="inlineStr">
        <is>
          <t>Integral relief valve</t>
        </is>
      </c>
      <c r="F21" s="15" t="inlineStr">
        <is>
          <t>Positive displacement pump</t>
        </is>
      </c>
      <c r="G21" s="15" t="inlineStr">
        <is>
          <t>FTS – Fail to start on demand</t>
        </is>
      </c>
      <c r="I21" s="15" t="inlineStr">
        <is>
          <t>3.0 Instrument failure – general</t>
        </is>
      </c>
      <c r="K21" s="15" t="inlineStr">
        <is>
          <t>Rope / brake / structural inspection (cranes)</t>
        </is>
      </c>
    </row>
    <row r="22">
      <c r="A22" s="15" t="inlineStr">
        <is>
          <t>Control system / SIS logic solver</t>
        </is>
      </c>
      <c r="C22" s="15" t="inlineStr">
        <is>
          <t>Positive displacement pump</t>
        </is>
      </c>
      <c r="D22" s="15" t="inlineStr">
        <is>
          <t>Casing</t>
        </is>
      </c>
      <c r="F22" s="15" t="inlineStr">
        <is>
          <t>Positive displacement pump</t>
        </is>
      </c>
      <c r="G22" s="15" t="inlineStr">
        <is>
          <t>STP – Fail to stop on demand</t>
        </is>
      </c>
      <c r="I22" s="15" t="inlineStr">
        <is>
          <t>3.1 Control failure</t>
        </is>
      </c>
      <c r="K22" s="15" t="inlineStr">
        <is>
          <t>Calibration check</t>
        </is>
      </c>
    </row>
    <row r="23">
      <c r="A23" s="15" t="inlineStr">
        <is>
          <t>Transformer</t>
        </is>
      </c>
      <c r="C23" s="15" t="inlineStr">
        <is>
          <t>Centrifugal compressor</t>
        </is>
      </c>
      <c r="D23" s="15" t="inlineStr">
        <is>
          <t>Impellers</t>
        </is>
      </c>
      <c r="F23" s="15" t="inlineStr">
        <is>
          <t>Positive displacement pump</t>
        </is>
      </c>
      <c r="G23" s="15" t="inlineStr">
        <is>
          <t>UST – Spurious stop</t>
        </is>
      </c>
      <c r="I23" s="15" t="inlineStr">
        <is>
          <t>3.2 No signal / indication / alarm</t>
        </is>
      </c>
      <c r="K23" s="15" t="inlineStr">
        <is>
          <t>Shutdown inspection</t>
        </is>
      </c>
    </row>
    <row r="24">
      <c r="A24" s="15" t="inlineStr">
        <is>
          <t>Switchgear / MCC / circuit breaker</t>
        </is>
      </c>
      <c r="C24" s="15" t="inlineStr">
        <is>
          <t>Centrifugal compressor</t>
        </is>
      </c>
      <c r="D24" s="15" t="inlineStr">
        <is>
          <t>Rotor / shaft</t>
        </is>
      </c>
      <c r="F24" s="15" t="inlineStr">
        <is>
          <t>Positive displacement pump</t>
        </is>
      </c>
      <c r="G24" s="15" t="inlineStr">
        <is>
          <t>BRD – Breakdown</t>
        </is>
      </c>
      <c r="I24" s="15" t="inlineStr">
        <is>
          <t>3.3 Faulty signal / indication / alarm</t>
        </is>
      </c>
      <c r="K24" s="15" t="inlineStr">
        <is>
          <t>None – failure evident only on occurrence</t>
        </is>
      </c>
    </row>
    <row r="25">
      <c r="A25" s="15" t="inlineStr">
        <is>
          <t>Variable speed drive / UPS</t>
        </is>
      </c>
      <c r="C25" s="15" t="inlineStr">
        <is>
          <t>Centrifugal compressor</t>
        </is>
      </c>
      <c r="D25" s="15" t="inlineStr">
        <is>
          <t>Journal and thrust bearings</t>
        </is>
      </c>
      <c r="F25" s="15" t="inlineStr">
        <is>
          <t>Positive displacement pump</t>
        </is>
      </c>
      <c r="G25" s="15" t="inlineStr">
        <is>
          <t>LOO – Low output (flow / head)</t>
        </is>
      </c>
      <c r="I25" s="15" t="inlineStr">
        <is>
          <t>3.4 Out of adjustment / calibration drift</t>
        </is>
      </c>
      <c r="K25" s="15" t="inlineStr">
        <is>
          <t>None – hidden failure</t>
        </is>
      </c>
    </row>
    <row r="26">
      <c r="A26" s="15" t="inlineStr">
        <is>
          <t>Hydraulic power unit / system</t>
        </is>
      </c>
      <c r="C26" s="15" t="inlineStr">
        <is>
          <t>Centrifugal compressor</t>
        </is>
      </c>
      <c r="D26" s="15" t="inlineStr">
        <is>
          <t>Dry gas / oil seals</t>
        </is>
      </c>
      <c r="F26" s="15" t="inlineStr">
        <is>
          <t>Positive displacement pump</t>
        </is>
      </c>
      <c r="G26" s="15" t="inlineStr">
        <is>
          <t>HIO – High output</t>
        </is>
      </c>
      <c r="I26" s="15" t="inlineStr">
        <is>
          <t>3.5 Software / configuration failure</t>
        </is>
      </c>
    </row>
    <row r="27">
      <c r="A27" s="15" t="inlineStr">
        <is>
          <t>Overhead crane / hoist (incl. ladle crane)</t>
        </is>
      </c>
      <c r="C27" s="15" t="inlineStr">
        <is>
          <t>Centrifugal compressor</t>
        </is>
      </c>
      <c r="D27" s="15" t="inlineStr">
        <is>
          <t>Lube oil system</t>
        </is>
      </c>
      <c r="F27" s="15" t="inlineStr">
        <is>
          <t>Positive displacement pump</t>
        </is>
      </c>
      <c r="G27" s="15" t="inlineStr">
        <is>
          <t>ELP – External leakage – process medium</t>
        </is>
      </c>
      <c r="I27" s="15" t="inlineStr">
        <is>
          <t>3.6 Common cause / mode failure</t>
        </is>
      </c>
    </row>
    <row r="28">
      <c r="A28" s="15" t="inlineStr">
        <is>
          <t>Water-cooled element (panel, roof, lance, tuyere, stave, mould)</t>
        </is>
      </c>
      <c r="C28" s="15" t="inlineStr">
        <is>
          <t>Centrifugal compressor</t>
        </is>
      </c>
      <c r="D28" s="15" t="inlineStr">
        <is>
          <t>Anti-surge valve and control</t>
        </is>
      </c>
      <c r="F28" s="15" t="inlineStr">
        <is>
          <t>Positive displacement pump</t>
        </is>
      </c>
      <c r="G28" s="15" t="inlineStr">
        <is>
          <t>ELU – External leakage – utility medium</t>
        </is>
      </c>
      <c r="I28" s="15" t="inlineStr">
        <is>
          <t>4.0 Electrical failure – general</t>
        </is>
      </c>
    </row>
    <row r="29">
      <c r="A29" s="15" t="inlineStr">
        <is>
          <t>Refractory lining (furnace, ladle, tundish, kiln)</t>
        </is>
      </c>
      <c r="C29" s="15" t="inlineStr">
        <is>
          <t>Centrifugal compressor</t>
        </is>
      </c>
      <c r="D29" s="15" t="inlineStr">
        <is>
          <t>Casing</t>
        </is>
      </c>
      <c r="F29" s="15" t="inlineStr">
        <is>
          <t>Positive displacement pump</t>
        </is>
      </c>
      <c r="G29" s="15" t="inlineStr">
        <is>
          <t>INL – Internal leakage / recirculation</t>
        </is>
      </c>
      <c r="I29" s="15" t="inlineStr">
        <is>
          <t>4.1 Short circuiting</t>
        </is>
      </c>
    </row>
    <row r="30">
      <c r="A30" s="15" t="inlineStr">
        <is>
          <t>Burner / combustion system</t>
        </is>
      </c>
      <c r="C30" s="15" t="inlineStr">
        <is>
          <t>Centrifugal compressor</t>
        </is>
      </c>
      <c r="D30" s="15" t="inlineStr">
        <is>
          <t>Coupling</t>
        </is>
      </c>
      <c r="F30" s="15" t="inlineStr">
        <is>
          <t>Positive displacement pump</t>
        </is>
      </c>
      <c r="G30" s="15" t="inlineStr">
        <is>
          <t>VIB – Vibration</t>
        </is>
      </c>
      <c r="I30" s="15" t="inlineStr">
        <is>
          <t>4.2 Open circuit</t>
        </is>
      </c>
    </row>
    <row r="31">
      <c r="A31" s="15" t="inlineStr">
        <is>
          <t>Cooling tower / closed cooling circuit</t>
        </is>
      </c>
      <c r="C31" s="15" t="inlineStr">
        <is>
          <t>Centrifugal compressor</t>
        </is>
      </c>
      <c r="D31" s="15" t="inlineStr">
        <is>
          <t>Inlet guide vanes</t>
        </is>
      </c>
      <c r="F31" s="15" t="inlineStr">
        <is>
          <t>Positive displacement pump</t>
        </is>
      </c>
      <c r="G31" s="15" t="inlineStr">
        <is>
          <t>NOI – Noise</t>
        </is>
      </c>
      <c r="I31" s="15" t="inlineStr">
        <is>
          <t>4.3 No power / voltage</t>
        </is>
      </c>
    </row>
    <row r="32">
      <c r="A32" s="15" t="inlineStr">
        <is>
          <t>Bag filter / dust collector</t>
        </is>
      </c>
      <c r="C32" s="15" t="inlineStr">
        <is>
          <t>Centrifugal compressor</t>
        </is>
      </c>
      <c r="D32" s="15" t="inlineStr">
        <is>
          <t>Protection instrumentation</t>
        </is>
      </c>
      <c r="F32" s="15" t="inlineStr">
        <is>
          <t>Positive displacement pump</t>
        </is>
      </c>
      <c r="G32" s="15" t="inlineStr">
        <is>
          <t>OHE – Overheating</t>
        </is>
      </c>
      <c r="I32" s="15" t="inlineStr">
        <is>
          <t>4.4 Faulty power / voltage</t>
        </is>
      </c>
    </row>
    <row r="33">
      <c r="A33" s="15" t="inlineStr">
        <is>
          <t>Ladle &amp; ladle / transfer car</t>
        </is>
      </c>
      <c r="C33" s="15" t="inlineStr">
        <is>
          <t>Reciprocating compressor</t>
        </is>
      </c>
      <c r="D33" s="15" t="inlineStr">
        <is>
          <t>Cylinders and liners</t>
        </is>
      </c>
      <c r="F33" s="15" t="inlineStr">
        <is>
          <t>Positive displacement pump</t>
        </is>
      </c>
      <c r="G33" s="15" t="inlineStr">
        <is>
          <t>PDE – Parameter deviation</t>
        </is>
      </c>
      <c r="I33" s="15" t="inlineStr">
        <is>
          <t>4.5 Earth / insulation fault</t>
        </is>
      </c>
    </row>
    <row r="34">
      <c r="C34" s="15" t="inlineStr">
        <is>
          <t>Reciprocating compressor</t>
        </is>
      </c>
      <c r="D34" s="15" t="inlineStr">
        <is>
          <t>Pistons and rings</t>
        </is>
      </c>
      <c r="F34" s="15" t="inlineStr">
        <is>
          <t>Positive displacement pump</t>
        </is>
      </c>
      <c r="G34" s="15" t="inlineStr">
        <is>
          <t>STD – Structural deficiency</t>
        </is>
      </c>
      <c r="I34" s="15" t="inlineStr">
        <is>
          <t>5.0 External influence – general</t>
        </is>
      </c>
    </row>
    <row r="35">
      <c r="C35" s="15" t="inlineStr">
        <is>
          <t>Reciprocating compressor</t>
        </is>
      </c>
      <c r="D35" s="15" t="inlineStr">
        <is>
          <t>Valves</t>
        </is>
      </c>
      <c r="F35" s="15" t="inlineStr">
        <is>
          <t>Positive displacement pump</t>
        </is>
      </c>
      <c r="G35" s="15" t="inlineStr">
        <is>
          <t>PLU – Plugged / choked</t>
        </is>
      </c>
      <c r="I35" s="15" t="inlineStr">
        <is>
          <t>5.1 Blockage / plugged</t>
        </is>
      </c>
    </row>
    <row r="36">
      <c r="C36" s="15" t="inlineStr">
        <is>
          <t>Reciprocating compressor</t>
        </is>
      </c>
      <c r="D36" s="15" t="inlineStr">
        <is>
          <t>Rod packing</t>
        </is>
      </c>
      <c r="F36" s="15" t="inlineStr">
        <is>
          <t>Positive displacement pump</t>
        </is>
      </c>
      <c r="G36" s="15" t="inlineStr">
        <is>
          <t>OTH – Other</t>
        </is>
      </c>
      <c r="I36" s="15" t="inlineStr">
        <is>
          <t>5.2 Contamination (process / lube oil / water)</t>
        </is>
      </c>
    </row>
    <row r="37">
      <c r="C37" s="15" t="inlineStr">
        <is>
          <t>Reciprocating compressor</t>
        </is>
      </c>
      <c r="D37" s="15" t="inlineStr">
        <is>
          <t>Crankshaft and bearings</t>
        </is>
      </c>
      <c r="F37" s="15" t="inlineStr">
        <is>
          <t>Centrifugal compressor</t>
        </is>
      </c>
      <c r="G37" s="15" t="inlineStr">
        <is>
          <t>FTS – Fail to start on demand</t>
        </is>
      </c>
      <c r="I37" s="15" t="inlineStr">
        <is>
          <t>5.3 Dust ingress</t>
        </is>
      </c>
    </row>
    <row r="38">
      <c r="C38" s="15" t="inlineStr">
        <is>
          <t>Reciprocating compressor</t>
        </is>
      </c>
      <c r="D38" s="15" t="inlineStr">
        <is>
          <t>Crosshead</t>
        </is>
      </c>
      <c r="F38" s="15" t="inlineStr">
        <is>
          <t>Centrifugal compressor</t>
        </is>
      </c>
      <c r="G38" s="15" t="inlineStr">
        <is>
          <t>STP – Fail to stop on demand</t>
        </is>
      </c>
      <c r="I38" s="15" t="inlineStr">
        <is>
          <t>5.4 Moisture / water ingress</t>
        </is>
      </c>
    </row>
    <row r="39">
      <c r="C39" s="15" t="inlineStr">
        <is>
          <t>Reciprocating compressor</t>
        </is>
      </c>
      <c r="D39" s="15" t="inlineStr">
        <is>
          <t>Lube system</t>
        </is>
      </c>
      <c r="F39" s="15" t="inlineStr">
        <is>
          <t>Centrifugal compressor</t>
        </is>
      </c>
      <c r="G39" s="15" t="inlineStr">
        <is>
          <t>UST – Spurious stop</t>
        </is>
      </c>
      <c r="I39" s="15" t="inlineStr">
        <is>
          <t>5.5 Heat / radiant heat / molten metal splash</t>
        </is>
      </c>
    </row>
    <row r="40">
      <c r="C40" s="15" t="inlineStr">
        <is>
          <t>Reciprocating compressor</t>
        </is>
      </c>
      <c r="D40" s="15" t="inlineStr">
        <is>
          <t>Pulsation dampers</t>
        </is>
      </c>
      <c r="F40" s="15" t="inlineStr">
        <is>
          <t>Centrifugal compressor</t>
        </is>
      </c>
      <c r="G40" s="15" t="inlineStr">
        <is>
          <t>BRD – Breakdown</t>
        </is>
      </c>
      <c r="I40" s="15" t="inlineStr">
        <is>
          <t>5.6 Mechanical impact / collision</t>
        </is>
      </c>
    </row>
    <row r="41">
      <c r="C41" s="15" t="inlineStr">
        <is>
          <t>Reciprocating compressor</t>
        </is>
      </c>
      <c r="D41" s="15" t="inlineStr">
        <is>
          <t>Cooling system</t>
        </is>
      </c>
      <c r="F41" s="15" t="inlineStr">
        <is>
          <t>Centrifugal compressor</t>
        </is>
      </c>
      <c r="G41" s="15" t="inlineStr">
        <is>
          <t>LOO – Low output</t>
        </is>
      </c>
      <c r="I41" s="15" t="inlineStr">
        <is>
          <t>6.0 Miscellaneous – general</t>
        </is>
      </c>
    </row>
    <row r="42">
      <c r="C42" s="15" t="inlineStr">
        <is>
          <t>Reciprocating compressor</t>
        </is>
      </c>
      <c r="D42" s="15" t="inlineStr">
        <is>
          <t>Frame / foundation</t>
        </is>
      </c>
      <c r="F42" s="15" t="inlineStr">
        <is>
          <t>Centrifugal compressor</t>
        </is>
      </c>
      <c r="G42" s="15" t="inlineStr">
        <is>
          <t>HIO – High output</t>
        </is>
      </c>
      <c r="I42" s="15" t="inlineStr">
        <is>
          <t>6.1 No cause found</t>
        </is>
      </c>
    </row>
    <row r="43">
      <c r="C43" s="15" t="inlineStr">
        <is>
          <t>Fan / blower (incl. ID fan)</t>
        </is>
      </c>
      <c r="D43" s="15" t="inlineStr">
        <is>
          <t>Impeller / rotor</t>
        </is>
      </c>
      <c r="F43" s="15" t="inlineStr">
        <is>
          <t>Centrifugal compressor</t>
        </is>
      </c>
      <c r="G43" s="15" t="inlineStr">
        <is>
          <t>ERO – Erratic output / surge</t>
        </is>
      </c>
      <c r="I43" s="15" t="inlineStr">
        <is>
          <t>6.2 Combined causes</t>
        </is>
      </c>
    </row>
    <row r="44">
      <c r="C44" s="15" t="inlineStr">
        <is>
          <t>Fan / blower (incl. ID fan)</t>
        </is>
      </c>
      <c r="D44" s="15" t="inlineStr">
        <is>
          <t>Housing</t>
        </is>
      </c>
      <c r="F44" s="15" t="inlineStr">
        <is>
          <t>Centrifugal compressor</t>
        </is>
      </c>
      <c r="G44" s="15" t="inlineStr">
        <is>
          <t>ELP – External leakage – process medium</t>
        </is>
      </c>
      <c r="I44" s="15" t="inlineStr">
        <is>
          <t>6.3 Other</t>
        </is>
      </c>
    </row>
    <row r="45">
      <c r="C45" s="15" t="inlineStr">
        <is>
          <t>Fan / blower (incl. ID fan)</t>
        </is>
      </c>
      <c r="D45" s="15" t="inlineStr">
        <is>
          <t>Shaft</t>
        </is>
      </c>
      <c r="F45" s="15" t="inlineStr">
        <is>
          <t>Centrifugal compressor</t>
        </is>
      </c>
      <c r="G45" s="15" t="inlineStr">
        <is>
          <t>ELU – External leakage – utility medium</t>
        </is>
      </c>
      <c r="I45" s="15" t="inlineStr">
        <is>
          <t>6.4 Unknown</t>
        </is>
      </c>
    </row>
    <row r="46">
      <c r="C46" s="15" t="inlineStr">
        <is>
          <t>Fan / blower (incl. ID fan)</t>
        </is>
      </c>
      <c r="D46" s="15" t="inlineStr">
        <is>
          <t>Bearings</t>
        </is>
      </c>
      <c r="F46" s="15" t="inlineStr">
        <is>
          <t>Centrifugal compressor</t>
        </is>
      </c>
      <c r="G46" s="15" t="inlineStr">
        <is>
          <t>INL – Internal leakage</t>
        </is>
      </c>
      <c r="I46" s="15" t="inlineStr">
        <is>
          <t>Bearing failure (lubrication / contamination / fatigue)</t>
        </is>
      </c>
    </row>
    <row r="47">
      <c r="C47" s="15" t="inlineStr">
        <is>
          <t>Fan / blower (incl. ID fan)</t>
        </is>
      </c>
      <c r="D47" s="15" t="inlineStr">
        <is>
          <t>Coupling / belt drive</t>
        </is>
      </c>
      <c r="F47" s="15" t="inlineStr">
        <is>
          <t>Centrifugal compressor</t>
        </is>
      </c>
      <c r="G47" s="15" t="inlineStr">
        <is>
          <t>VIB – Vibration</t>
        </is>
      </c>
      <c r="I47" s="15" t="inlineStr">
        <is>
          <t>Seal failure (dry running / wear / misalignment)</t>
        </is>
      </c>
    </row>
    <row r="48">
      <c r="C48" s="15" t="inlineStr">
        <is>
          <t>Fan / blower (incl. ID fan)</t>
        </is>
      </c>
      <c r="D48" s="15" t="inlineStr">
        <is>
          <t>Dampers / inlet vanes</t>
        </is>
      </c>
      <c r="F48" s="15" t="inlineStr">
        <is>
          <t>Centrifugal compressor</t>
        </is>
      </c>
      <c r="G48" s="15" t="inlineStr">
        <is>
          <t>NOI – Noise</t>
        </is>
      </c>
      <c r="I48" s="15" t="inlineStr">
        <is>
          <t>Misalignment</t>
        </is>
      </c>
    </row>
    <row r="49">
      <c r="C49" s="15" t="inlineStr">
        <is>
          <t>Fan / blower (incl. ID fan)</t>
        </is>
      </c>
      <c r="D49" s="15" t="inlineStr">
        <is>
          <t>Foundation</t>
        </is>
      </c>
      <c r="F49" s="15" t="inlineStr">
        <is>
          <t>Centrifugal compressor</t>
        </is>
      </c>
      <c r="G49" s="15" t="inlineStr">
        <is>
          <t>OHE – Overheating</t>
        </is>
      </c>
      <c r="I49" s="15" t="inlineStr">
        <is>
          <t>Unbalance</t>
        </is>
      </c>
    </row>
    <row r="50">
      <c r="C50" s="15" t="inlineStr">
        <is>
          <t>Fan / blower (incl. ID fan)</t>
        </is>
      </c>
      <c r="D50" s="15" t="inlineStr">
        <is>
          <t>Lubrication</t>
        </is>
      </c>
      <c r="F50" s="15" t="inlineStr">
        <is>
          <t>Centrifugal compressor</t>
        </is>
      </c>
      <c r="G50" s="15" t="inlineStr">
        <is>
          <t>PDE – Parameter deviation</t>
        </is>
      </c>
      <c r="I50" s="15" t="inlineStr">
        <is>
          <t>Lubrication failure (loss / wrong / degraded lubricant)</t>
        </is>
      </c>
    </row>
    <row r="51">
      <c r="C51" s="15" t="inlineStr">
        <is>
          <t>Electric motor</t>
        </is>
      </c>
      <c r="D51" s="15" t="inlineStr">
        <is>
          <t>Stator winding</t>
        </is>
      </c>
      <c r="F51" s="15" t="inlineStr">
        <is>
          <t>Centrifugal compressor</t>
        </is>
      </c>
      <c r="G51" s="15" t="inlineStr">
        <is>
          <t>OTH – Other</t>
        </is>
      </c>
      <c r="I51" s="15" t="inlineStr">
        <is>
          <t>Overload / operation outside design envelope</t>
        </is>
      </c>
    </row>
    <row r="52">
      <c r="C52" s="15" t="inlineStr">
        <is>
          <t>Electric motor</t>
        </is>
      </c>
      <c r="D52" s="15" t="inlineStr">
        <is>
          <t>Rotor</t>
        </is>
      </c>
      <c r="F52" s="15" t="inlineStr">
        <is>
          <t>Reciprocating compressor</t>
        </is>
      </c>
      <c r="G52" s="15" t="inlineStr">
        <is>
          <t>FTS – Fail to start on demand</t>
        </is>
      </c>
      <c r="I52" s="15" t="inlineStr">
        <is>
          <t>Thermal cycling</t>
        </is>
      </c>
    </row>
    <row r="53">
      <c r="C53" s="15" t="inlineStr">
        <is>
          <t>Electric motor</t>
        </is>
      </c>
      <c r="D53" s="15" t="inlineStr">
        <is>
          <t>Bearings</t>
        </is>
      </c>
      <c r="F53" s="15" t="inlineStr">
        <is>
          <t>Reciprocating compressor</t>
        </is>
      </c>
      <c r="G53" s="15" t="inlineStr">
        <is>
          <t>STP – Fail to stop on demand</t>
        </is>
      </c>
      <c r="I53" s="15" t="inlineStr">
        <is>
          <t>Scale / fouling of cooling passages</t>
        </is>
      </c>
    </row>
    <row r="54">
      <c r="C54" s="15" t="inlineStr">
        <is>
          <t>Electric motor</t>
        </is>
      </c>
      <c r="D54" s="15" t="inlineStr">
        <is>
          <t>Cooling fan</t>
        </is>
      </c>
      <c r="F54" s="15" t="inlineStr">
        <is>
          <t>Reciprocating compressor</t>
        </is>
      </c>
      <c r="G54" s="15" t="inlineStr">
        <is>
          <t>UST – Spurious stop</t>
        </is>
      </c>
      <c r="I54" s="15" t="inlineStr">
        <is>
          <t>Slag attack / chemical attack on refractory</t>
        </is>
      </c>
    </row>
    <row r="55">
      <c r="C55" s="15" t="inlineStr">
        <is>
          <t>Electric motor</t>
        </is>
      </c>
      <c r="D55" s="15" t="inlineStr">
        <is>
          <t>Terminal box / cables</t>
        </is>
      </c>
      <c r="F55" s="15" t="inlineStr">
        <is>
          <t>Reciprocating compressor</t>
        </is>
      </c>
      <c r="G55" s="15" t="inlineStr">
        <is>
          <t>BRD – Breakdown</t>
        </is>
      </c>
      <c r="I55" s="15" t="inlineStr">
        <is>
          <t>Abrasive wear (ore, sinter, DRI, slag)</t>
        </is>
      </c>
    </row>
    <row r="56">
      <c r="C56" s="15" t="inlineStr">
        <is>
          <t>Electric motor</t>
        </is>
      </c>
      <c r="D56" s="15" t="inlineStr">
        <is>
          <t>Enclosure (Ex protection)</t>
        </is>
      </c>
      <c r="F56" s="15" t="inlineStr">
        <is>
          <t>Reciprocating compressor</t>
        </is>
      </c>
      <c r="G56" s="15" t="inlineStr">
        <is>
          <t>LOO – Low output</t>
        </is>
      </c>
      <c r="I56" s="15" t="inlineStr">
        <is>
          <t>Incorrect operation / operator error</t>
        </is>
      </c>
    </row>
    <row r="57">
      <c r="C57" s="15" t="inlineStr">
        <is>
          <t>Electric motor</t>
        </is>
      </c>
      <c r="D57" s="15" t="inlineStr">
        <is>
          <t>Anti-condensation heater</t>
        </is>
      </c>
      <c r="F57" s="15" t="inlineStr">
        <is>
          <t>Reciprocating compressor</t>
        </is>
      </c>
      <c r="G57" s="15" t="inlineStr">
        <is>
          <t>HIO – High output</t>
        </is>
      </c>
      <c r="I57" s="15" t="inlineStr">
        <is>
          <t>Incorrect maintenance / reassembly</t>
        </is>
      </c>
    </row>
    <row r="58">
      <c r="C58" s="15" t="inlineStr">
        <is>
          <t>Electric motor</t>
        </is>
      </c>
      <c r="D58" s="15" t="inlineStr">
        <is>
          <t>Motor protection relay</t>
        </is>
      </c>
      <c r="F58" s="15" t="inlineStr">
        <is>
          <t>Reciprocating compressor</t>
        </is>
      </c>
      <c r="G58" s="15" t="inlineStr">
        <is>
          <t>ERO – Erratic output / surge</t>
        </is>
      </c>
      <c r="I58" s="15" t="inlineStr">
        <is>
          <t>Design deficiency</t>
        </is>
      </c>
    </row>
    <row r="59">
      <c r="C59" s="15" t="inlineStr">
        <is>
          <t>Gearbox</t>
        </is>
      </c>
      <c r="D59" s="15" t="inlineStr">
        <is>
          <t>Gears</t>
        </is>
      </c>
      <c r="F59" s="15" t="inlineStr">
        <is>
          <t>Reciprocating compressor</t>
        </is>
      </c>
      <c r="G59" s="15" t="inlineStr">
        <is>
          <t>ELP – External leakage – process medium</t>
        </is>
      </c>
      <c r="I59" s="15" t="inlineStr">
        <is>
          <t>Material / fabrication defect</t>
        </is>
      </c>
    </row>
    <row r="60">
      <c r="C60" s="15" t="inlineStr">
        <is>
          <t>Gearbox</t>
        </is>
      </c>
      <c r="D60" s="15" t="inlineStr">
        <is>
          <t>Shafts</t>
        </is>
      </c>
      <c r="F60" s="15" t="inlineStr">
        <is>
          <t>Reciprocating compressor</t>
        </is>
      </c>
      <c r="G60" s="15" t="inlineStr">
        <is>
          <t>ELU – External leakage – utility medium</t>
        </is>
      </c>
      <c r="I60" s="15" t="inlineStr">
        <is>
          <t>Installation error</t>
        </is>
      </c>
    </row>
    <row r="61">
      <c r="C61" s="15" t="inlineStr">
        <is>
          <t>Gearbox</t>
        </is>
      </c>
      <c r="D61" s="15" t="inlineStr">
        <is>
          <t>Bearings</t>
        </is>
      </c>
      <c r="F61" s="15" t="inlineStr">
        <is>
          <t>Reciprocating compressor</t>
        </is>
      </c>
      <c r="G61" s="15" t="inlineStr">
        <is>
          <t>INL – Internal leakage</t>
        </is>
      </c>
      <c r="I61" s="15" t="inlineStr">
        <is>
          <t>Ageing / end of life</t>
        </is>
      </c>
    </row>
    <row r="62">
      <c r="C62" s="15" t="inlineStr">
        <is>
          <t>Gearbox</t>
        </is>
      </c>
      <c r="D62" s="15" t="inlineStr">
        <is>
          <t>Seals</t>
        </is>
      </c>
      <c r="F62" s="15" t="inlineStr">
        <is>
          <t>Reciprocating compressor</t>
        </is>
      </c>
      <c r="G62" s="15" t="inlineStr">
        <is>
          <t>VIB – Vibration</t>
        </is>
      </c>
      <c r="I62" s="15" t="inlineStr">
        <is>
          <t>Inadequate inspection / maintenance interval</t>
        </is>
      </c>
    </row>
    <row r="63">
      <c r="C63" s="15" t="inlineStr">
        <is>
          <t>Gearbox</t>
        </is>
      </c>
      <c r="D63" s="15" t="inlineStr">
        <is>
          <t>Lubrication system</t>
        </is>
      </c>
      <c r="F63" s="15" t="inlineStr">
        <is>
          <t>Reciprocating compressor</t>
        </is>
      </c>
      <c r="G63" s="15" t="inlineStr">
        <is>
          <t>NOI – Noise</t>
        </is>
      </c>
    </row>
    <row r="64">
      <c r="C64" s="15" t="inlineStr">
        <is>
          <t>Gearbox</t>
        </is>
      </c>
      <c r="D64" s="15" t="inlineStr">
        <is>
          <t>Casing</t>
        </is>
      </c>
      <c r="F64" s="15" t="inlineStr">
        <is>
          <t>Reciprocating compressor</t>
        </is>
      </c>
      <c r="G64" s="15" t="inlineStr">
        <is>
          <t>OHE – Overheating</t>
        </is>
      </c>
    </row>
    <row r="65">
      <c r="C65" s="15" t="inlineStr">
        <is>
          <t>Gearbox</t>
        </is>
      </c>
      <c r="D65" s="15" t="inlineStr">
        <is>
          <t>Couplings</t>
        </is>
      </c>
      <c r="F65" s="15" t="inlineStr">
        <is>
          <t>Reciprocating compressor</t>
        </is>
      </c>
      <c r="G65" s="15" t="inlineStr">
        <is>
          <t>PDE – Parameter deviation</t>
        </is>
      </c>
    </row>
    <row r="66">
      <c r="C66" s="15" t="inlineStr">
        <is>
          <t>Belt conveyor</t>
        </is>
      </c>
      <c r="D66" s="15" t="inlineStr">
        <is>
          <t>Belt</t>
        </is>
      </c>
      <c r="F66" s="15" t="inlineStr">
        <is>
          <t>Reciprocating compressor</t>
        </is>
      </c>
      <c r="G66" s="15" t="inlineStr">
        <is>
          <t>OTH – Other</t>
        </is>
      </c>
    </row>
    <row r="67">
      <c r="C67" s="15" t="inlineStr">
        <is>
          <t>Belt conveyor</t>
        </is>
      </c>
      <c r="D67" s="15" t="inlineStr">
        <is>
          <t>Belt splice</t>
        </is>
      </c>
      <c r="F67" s="15" t="inlineStr">
        <is>
          <t>Fan / blower (incl. ID fan)</t>
        </is>
      </c>
      <c r="G67" s="15" t="inlineStr">
        <is>
          <t>FTS – Fail to start on demand</t>
        </is>
      </c>
    </row>
    <row r="68">
      <c r="C68" s="15" t="inlineStr">
        <is>
          <t>Belt conveyor</t>
        </is>
      </c>
      <c r="D68" s="15" t="inlineStr">
        <is>
          <t>Drive pulley</t>
        </is>
      </c>
      <c r="F68" s="15" t="inlineStr">
        <is>
          <t>Fan / blower (incl. ID fan)</t>
        </is>
      </c>
      <c r="G68" s="15" t="inlineStr">
        <is>
          <t>STP – Fail to stop on demand</t>
        </is>
      </c>
    </row>
    <row r="69">
      <c r="C69" s="15" t="inlineStr">
        <is>
          <t>Belt conveyor</t>
        </is>
      </c>
      <c r="D69" s="15" t="inlineStr">
        <is>
          <t>Tail pulley</t>
        </is>
      </c>
      <c r="F69" s="15" t="inlineStr">
        <is>
          <t>Fan / blower (incl. ID fan)</t>
        </is>
      </c>
      <c r="G69" s="15" t="inlineStr">
        <is>
          <t>UST – Spurious stop</t>
        </is>
      </c>
    </row>
    <row r="70">
      <c r="C70" s="15" t="inlineStr">
        <is>
          <t>Belt conveyor</t>
        </is>
      </c>
      <c r="D70" s="15" t="inlineStr">
        <is>
          <t>Idlers</t>
        </is>
      </c>
      <c r="F70" s="15" t="inlineStr">
        <is>
          <t>Fan / blower (incl. ID fan)</t>
        </is>
      </c>
      <c r="G70" s="15" t="inlineStr">
        <is>
          <t>BRD – Breakdown</t>
        </is>
      </c>
    </row>
    <row r="71">
      <c r="C71" s="15" t="inlineStr">
        <is>
          <t>Belt conveyor</t>
        </is>
      </c>
      <c r="D71" s="15" t="inlineStr">
        <is>
          <t>Drive (motor / gearbox)</t>
        </is>
      </c>
      <c r="F71" s="15" t="inlineStr">
        <is>
          <t>Fan / blower (incl. ID fan)</t>
        </is>
      </c>
      <c r="G71" s="15" t="inlineStr">
        <is>
          <t>LOO – Low output</t>
        </is>
      </c>
    </row>
    <row r="72">
      <c r="C72" s="15" t="inlineStr">
        <is>
          <t>Belt conveyor</t>
        </is>
      </c>
      <c r="D72" s="15" t="inlineStr">
        <is>
          <t>Take-up</t>
        </is>
      </c>
      <c r="F72" s="15" t="inlineStr">
        <is>
          <t>Fan / blower (incl. ID fan)</t>
        </is>
      </c>
      <c r="G72" s="15" t="inlineStr">
        <is>
          <t>VIB – Vibration</t>
        </is>
      </c>
    </row>
    <row r="73">
      <c r="C73" s="15" t="inlineStr">
        <is>
          <t>Belt conveyor</t>
        </is>
      </c>
      <c r="D73" s="15" t="inlineStr">
        <is>
          <t>Belt scrapers</t>
        </is>
      </c>
      <c r="F73" s="15" t="inlineStr">
        <is>
          <t>Fan / blower (incl. ID fan)</t>
        </is>
      </c>
      <c r="G73" s="15" t="inlineStr">
        <is>
          <t>NOI – Noise</t>
        </is>
      </c>
    </row>
    <row r="74">
      <c r="C74" s="15" t="inlineStr">
        <is>
          <t>Belt conveyor</t>
        </is>
      </c>
      <c r="D74" s="15" t="inlineStr">
        <is>
          <t>Chutes</t>
        </is>
      </c>
      <c r="F74" s="15" t="inlineStr">
        <is>
          <t>Fan / blower (incl. ID fan)</t>
        </is>
      </c>
      <c r="G74" s="15" t="inlineStr">
        <is>
          <t>OHE – Overheating</t>
        </is>
      </c>
    </row>
    <row r="75">
      <c r="C75" s="15" t="inlineStr">
        <is>
          <t>Belt conveyor</t>
        </is>
      </c>
      <c r="D75" s="15" t="inlineStr">
        <is>
          <t>Pull-wire / belt-sway switches</t>
        </is>
      </c>
      <c r="F75" s="15" t="inlineStr">
        <is>
          <t>Fan / blower (incl. ID fan)</t>
        </is>
      </c>
      <c r="G75" s="15" t="inlineStr">
        <is>
          <t>STD – Structural deficiency</t>
        </is>
      </c>
    </row>
    <row r="76">
      <c r="C76" s="15" t="inlineStr">
        <is>
          <t>Belt conveyor</t>
        </is>
      </c>
      <c r="D76" s="15" t="inlineStr">
        <is>
          <t>Fire detection</t>
        </is>
      </c>
      <c r="F76" s="15" t="inlineStr">
        <is>
          <t>Fan / blower (incl. ID fan)</t>
        </is>
      </c>
      <c r="G76" s="15" t="inlineStr">
        <is>
          <t>PLU – Plugged / dust build-up</t>
        </is>
      </c>
    </row>
    <row r="77">
      <c r="C77" s="15" t="inlineStr">
        <is>
          <t>Pressure vessel / separator / column</t>
        </is>
      </c>
      <c r="D77" s="15" t="inlineStr">
        <is>
          <t>Shell</t>
        </is>
      </c>
      <c r="F77" s="15" t="inlineStr">
        <is>
          <t>Fan / blower (incl. ID fan)</t>
        </is>
      </c>
      <c r="G77" s="15" t="inlineStr">
        <is>
          <t>OTH – Other</t>
        </is>
      </c>
    </row>
    <row r="78">
      <c r="C78" s="15" t="inlineStr">
        <is>
          <t>Pressure vessel / separator / column</t>
        </is>
      </c>
      <c r="D78" s="15" t="inlineStr">
        <is>
          <t>Heads</t>
        </is>
      </c>
      <c r="F78" s="15" t="inlineStr">
        <is>
          <t>Electric motor</t>
        </is>
      </c>
      <c r="G78" s="15" t="inlineStr">
        <is>
          <t>FTS – Fail to start on demand</t>
        </is>
      </c>
    </row>
    <row r="79">
      <c r="C79" s="15" t="inlineStr">
        <is>
          <t>Pressure vessel / separator / column</t>
        </is>
      </c>
      <c r="D79" s="15" t="inlineStr">
        <is>
          <t>Nozzles</t>
        </is>
      </c>
      <c r="F79" s="15" t="inlineStr">
        <is>
          <t>Electric motor</t>
        </is>
      </c>
      <c r="G79" s="15" t="inlineStr">
        <is>
          <t>STP – Fail to stop on demand</t>
        </is>
      </c>
    </row>
    <row r="80">
      <c r="C80" s="15" t="inlineStr">
        <is>
          <t>Pressure vessel / separator / column</t>
        </is>
      </c>
      <c r="D80" s="15" t="inlineStr">
        <is>
          <t>Internals</t>
        </is>
      </c>
      <c r="F80" s="15" t="inlineStr">
        <is>
          <t>Electric motor</t>
        </is>
      </c>
      <c r="G80" s="15" t="inlineStr">
        <is>
          <t>UST – Spurious stop</t>
        </is>
      </c>
    </row>
    <row r="81">
      <c r="C81" s="15" t="inlineStr">
        <is>
          <t>Pressure vessel / separator / column</t>
        </is>
      </c>
      <c r="D81" s="15" t="inlineStr">
        <is>
          <t>Supports / skirt</t>
        </is>
      </c>
      <c r="F81" s="15" t="inlineStr">
        <is>
          <t>Electric motor</t>
        </is>
      </c>
      <c r="G81" s="15" t="inlineStr">
        <is>
          <t>BRD – Breakdown</t>
        </is>
      </c>
    </row>
    <row r="82">
      <c r="C82" s="15" t="inlineStr">
        <is>
          <t>Pressure vessel / separator / column</t>
        </is>
      </c>
      <c r="D82" s="15" t="inlineStr">
        <is>
          <t>Insulation</t>
        </is>
      </c>
      <c r="F82" s="15" t="inlineStr">
        <is>
          <t>Electric motor</t>
        </is>
      </c>
      <c r="G82" s="15" t="inlineStr">
        <is>
          <t>OHE – Overheating</t>
        </is>
      </c>
    </row>
    <row r="83">
      <c r="C83" s="15" t="inlineStr">
        <is>
          <t>Pressure vessel / separator / column</t>
        </is>
      </c>
      <c r="D83" s="15" t="inlineStr">
        <is>
          <t>Level instruments</t>
        </is>
      </c>
      <c r="F83" s="15" t="inlineStr">
        <is>
          <t>Electric motor</t>
        </is>
      </c>
      <c r="G83" s="15" t="inlineStr">
        <is>
          <t>VIB – Vibration</t>
        </is>
      </c>
    </row>
    <row r="84">
      <c r="C84" s="15" t="inlineStr">
        <is>
          <t>Pressure vessel / separator / column</t>
        </is>
      </c>
      <c r="D84" s="15" t="inlineStr">
        <is>
          <t>Relief device</t>
        </is>
      </c>
      <c r="F84" s="15" t="inlineStr">
        <is>
          <t>Electric motor</t>
        </is>
      </c>
      <c r="G84" s="15" t="inlineStr">
        <is>
          <t>NOI – Noise</t>
        </is>
      </c>
    </row>
    <row r="85">
      <c r="C85" s="15" t="inlineStr">
        <is>
          <t>Pressure vessel / separator / column</t>
        </is>
      </c>
      <c r="D85" s="15" t="inlineStr">
        <is>
          <t>Manway</t>
        </is>
      </c>
      <c r="F85" s="15" t="inlineStr">
        <is>
          <t>Electric motor</t>
        </is>
      </c>
      <c r="G85" s="15" t="inlineStr">
        <is>
          <t>PDE – Parameter deviation (high current)</t>
        </is>
      </c>
    </row>
    <row r="86">
      <c r="C86" s="15" t="inlineStr">
        <is>
          <t>Shell &amp; tube heat exchanger</t>
        </is>
      </c>
      <c r="D86" s="15" t="inlineStr">
        <is>
          <t>Tubes</t>
        </is>
      </c>
      <c r="F86" s="15" t="inlineStr">
        <is>
          <t>Electric motor</t>
        </is>
      </c>
      <c r="G86" s="15" t="inlineStr">
        <is>
          <t>SER – Minor in-service problem</t>
        </is>
      </c>
    </row>
    <row r="87">
      <c r="C87" s="15" t="inlineStr">
        <is>
          <t>Shell &amp; tube heat exchanger</t>
        </is>
      </c>
      <c r="D87" s="15" t="inlineStr">
        <is>
          <t>Tube sheet</t>
        </is>
      </c>
      <c r="F87" s="15" t="inlineStr">
        <is>
          <t>Electric motor</t>
        </is>
      </c>
      <c r="G87" s="15" t="inlineStr">
        <is>
          <t>OTH – Other</t>
        </is>
      </c>
    </row>
    <row r="88">
      <c r="C88" s="15" t="inlineStr">
        <is>
          <t>Shell &amp; tube heat exchanger</t>
        </is>
      </c>
      <c r="D88" s="15" t="inlineStr">
        <is>
          <t>Shell</t>
        </is>
      </c>
      <c r="F88" s="15" t="inlineStr">
        <is>
          <t>Gearbox</t>
        </is>
      </c>
      <c r="G88" s="15" t="inlineStr">
        <is>
          <t>BRD – Breakdown</t>
        </is>
      </c>
    </row>
    <row r="89">
      <c r="C89" s="15" t="inlineStr">
        <is>
          <t>Shell &amp; tube heat exchanger</t>
        </is>
      </c>
      <c r="D89" s="15" t="inlineStr">
        <is>
          <t>Channel / heads</t>
        </is>
      </c>
      <c r="F89" s="15" t="inlineStr">
        <is>
          <t>Gearbox</t>
        </is>
      </c>
      <c r="G89" s="15" t="inlineStr">
        <is>
          <t>VIB – Vibration</t>
        </is>
      </c>
    </row>
    <row r="90">
      <c r="C90" s="15" t="inlineStr">
        <is>
          <t>Shell &amp; tube heat exchanger</t>
        </is>
      </c>
      <c r="D90" s="15" t="inlineStr">
        <is>
          <t>Gaskets</t>
        </is>
      </c>
      <c r="F90" s="15" t="inlineStr">
        <is>
          <t>Gearbox</t>
        </is>
      </c>
      <c r="G90" s="15" t="inlineStr">
        <is>
          <t>NOI – Noise</t>
        </is>
      </c>
    </row>
    <row r="91">
      <c r="C91" s="15" t="inlineStr">
        <is>
          <t>Shell &amp; tube heat exchanger</t>
        </is>
      </c>
      <c r="D91" s="15" t="inlineStr">
        <is>
          <t>Baffles</t>
        </is>
      </c>
      <c r="F91" s="15" t="inlineStr">
        <is>
          <t>Gearbox</t>
        </is>
      </c>
      <c r="G91" s="15" t="inlineStr">
        <is>
          <t>OHE – Overheating</t>
        </is>
      </c>
    </row>
    <row r="92">
      <c r="C92" s="15" t="inlineStr">
        <is>
          <t>Shell &amp; tube heat exchanger</t>
        </is>
      </c>
      <c r="D92" s="15" t="inlineStr">
        <is>
          <t>Supports</t>
        </is>
      </c>
      <c r="F92" s="15" t="inlineStr">
        <is>
          <t>Gearbox</t>
        </is>
      </c>
      <c r="G92" s="15" t="inlineStr">
        <is>
          <t>ELU – External leakage – lube oil</t>
        </is>
      </c>
    </row>
    <row r="93">
      <c r="C93" s="15" t="inlineStr">
        <is>
          <t>Atmospheric storage tank</t>
        </is>
      </c>
      <c r="D93" s="15" t="inlineStr">
        <is>
          <t>Shell</t>
        </is>
      </c>
      <c r="F93" s="15" t="inlineStr">
        <is>
          <t>Gearbox</t>
        </is>
      </c>
      <c r="G93" s="15" t="inlineStr">
        <is>
          <t>PDE – Parameter deviation</t>
        </is>
      </c>
    </row>
    <row r="94">
      <c r="C94" s="15" t="inlineStr">
        <is>
          <t>Atmospheric storage tank</t>
        </is>
      </c>
      <c r="D94" s="15" t="inlineStr">
        <is>
          <t>Bottom</t>
        </is>
      </c>
      <c r="F94" s="15" t="inlineStr">
        <is>
          <t>Gearbox</t>
        </is>
      </c>
      <c r="G94" s="15" t="inlineStr">
        <is>
          <t>STD – Structural deficiency</t>
        </is>
      </c>
    </row>
    <row r="95">
      <c r="C95" s="15" t="inlineStr">
        <is>
          <t>Atmospheric storage tank</t>
        </is>
      </c>
      <c r="D95" s="15" t="inlineStr">
        <is>
          <t>Roof</t>
        </is>
      </c>
      <c r="F95" s="15" t="inlineStr">
        <is>
          <t>Gearbox</t>
        </is>
      </c>
      <c r="G95" s="15" t="inlineStr">
        <is>
          <t>OTH – Other</t>
        </is>
      </c>
    </row>
    <row r="96">
      <c r="C96" s="15" t="inlineStr">
        <is>
          <t>Atmospheric storage tank</t>
        </is>
      </c>
      <c r="D96" s="15" t="inlineStr">
        <is>
          <t>Vents / PV valves</t>
        </is>
      </c>
      <c r="F96" s="15" t="inlineStr">
        <is>
          <t>Belt conveyor</t>
        </is>
      </c>
      <c r="G96" s="15" t="inlineStr">
        <is>
          <t>FTS – Fail to start on demand</t>
        </is>
      </c>
    </row>
    <row r="97">
      <c r="C97" s="15" t="inlineStr">
        <is>
          <t>Atmospheric storage tank</t>
        </is>
      </c>
      <c r="D97" s="15" t="inlineStr">
        <is>
          <t>Level gauges and alarms</t>
        </is>
      </c>
      <c r="F97" s="15" t="inlineStr">
        <is>
          <t>Belt conveyor</t>
        </is>
      </c>
      <c r="G97" s="15" t="inlineStr">
        <is>
          <t>UST – Spurious stop</t>
        </is>
      </c>
    </row>
    <row r="98">
      <c r="C98" s="15" t="inlineStr">
        <is>
          <t>Atmospheric storage tank</t>
        </is>
      </c>
      <c r="D98" s="15" t="inlineStr">
        <is>
          <t>Bund</t>
        </is>
      </c>
      <c r="F98" s="15" t="inlineStr">
        <is>
          <t>Belt conveyor</t>
        </is>
      </c>
      <c r="G98" s="15" t="inlineStr">
        <is>
          <t>BRD – Breakdown</t>
        </is>
      </c>
    </row>
    <row r="99">
      <c r="C99" s="15" t="inlineStr">
        <is>
          <t>Atmospheric storage tank</t>
        </is>
      </c>
      <c r="D99" s="15" t="inlineStr">
        <is>
          <t>Nozzles</t>
        </is>
      </c>
      <c r="F99" s="15" t="inlineStr">
        <is>
          <t>Belt conveyor</t>
        </is>
      </c>
      <c r="G99" s="15" t="inlineStr">
        <is>
          <t>STD – Belt tear / damage</t>
        </is>
      </c>
    </row>
    <row r="100">
      <c r="C100" s="15" t="inlineStr">
        <is>
          <t>Atmospheric storage tank</t>
        </is>
      </c>
      <c r="D100" s="15" t="inlineStr">
        <is>
          <t>Heating coils</t>
        </is>
      </c>
      <c r="F100" s="15" t="inlineStr">
        <is>
          <t>Belt conveyor</t>
        </is>
      </c>
      <c r="G100" s="15" t="inlineStr">
        <is>
          <t>PDE – Belt mistracking / misalignment</t>
        </is>
      </c>
    </row>
    <row r="101">
      <c r="C101" s="15" t="inlineStr">
        <is>
          <t>Atmospheric storage tank</t>
        </is>
      </c>
      <c r="D101" s="15" t="inlineStr">
        <is>
          <t>Foundation</t>
        </is>
      </c>
      <c r="F101" s="15" t="inlineStr">
        <is>
          <t>Belt conveyor</t>
        </is>
      </c>
      <c r="G101" s="15" t="inlineStr">
        <is>
          <t>SLP – Belt slippage</t>
        </is>
      </c>
    </row>
    <row r="102">
      <c r="C102" s="15" t="inlineStr">
        <is>
          <t>Piping, flanges &amp; hoses</t>
        </is>
      </c>
      <c r="D102" s="15" t="inlineStr">
        <is>
          <t>Pipe</t>
        </is>
      </c>
      <c r="F102" s="15" t="inlineStr">
        <is>
          <t>Belt conveyor</t>
        </is>
      </c>
      <c r="G102" s="15" t="inlineStr">
        <is>
          <t>PLU – Chute blockage</t>
        </is>
      </c>
    </row>
    <row r="103">
      <c r="C103" s="15" t="inlineStr">
        <is>
          <t>Piping, flanges &amp; hoses</t>
        </is>
      </c>
      <c r="D103" s="15" t="inlineStr">
        <is>
          <t>Flanges and gaskets</t>
        </is>
      </c>
      <c r="F103" s="15" t="inlineStr">
        <is>
          <t>Belt conveyor</t>
        </is>
      </c>
      <c r="G103" s="15" t="inlineStr">
        <is>
          <t>OHE – Overheating / belt fire</t>
        </is>
      </c>
    </row>
    <row r="104">
      <c r="C104" s="15" t="inlineStr">
        <is>
          <t>Piping, flanges &amp; hoses</t>
        </is>
      </c>
      <c r="D104" s="15" t="inlineStr">
        <is>
          <t>Fittings</t>
        </is>
      </c>
      <c r="F104" s="15" t="inlineStr">
        <is>
          <t>Belt conveyor</t>
        </is>
      </c>
      <c r="G104" s="15" t="inlineStr">
        <is>
          <t>OTH – Spillage</t>
        </is>
      </c>
    </row>
    <row r="105">
      <c r="C105" s="15" t="inlineStr">
        <is>
          <t>Piping, flanges &amp; hoses</t>
        </is>
      </c>
      <c r="D105" s="15" t="inlineStr">
        <is>
          <t>Supports</t>
        </is>
      </c>
      <c r="F105" s="15" t="inlineStr">
        <is>
          <t>Belt conveyor</t>
        </is>
      </c>
      <c r="G105" s="15" t="inlineStr">
        <is>
          <t>VIB – Vibration</t>
        </is>
      </c>
    </row>
    <row r="106">
      <c r="C106" s="15" t="inlineStr">
        <is>
          <t>Piping, flanges &amp; hoses</t>
        </is>
      </c>
      <c r="D106" s="15" t="inlineStr">
        <is>
          <t>Expansion joints / bellows</t>
        </is>
      </c>
      <c r="F106" s="15" t="inlineStr">
        <is>
          <t>Belt conveyor</t>
        </is>
      </c>
      <c r="G106" s="15" t="inlineStr">
        <is>
          <t>NOI – Noise</t>
        </is>
      </c>
    </row>
    <row r="107">
      <c r="C107" s="15" t="inlineStr">
        <is>
          <t>Piping, flanges &amp; hoses</t>
        </is>
      </c>
      <c r="D107" s="15" t="inlineStr">
        <is>
          <t>Hoses</t>
        </is>
      </c>
      <c r="F107" s="15" t="inlineStr">
        <is>
          <t>Pressure vessel / separator / column</t>
        </is>
      </c>
      <c r="G107" s="15" t="inlineStr">
        <is>
          <t>ELP – External leakage – process medium</t>
        </is>
      </c>
    </row>
    <row r="108">
      <c r="C108" s="15" t="inlineStr">
        <is>
          <t>Piping, flanges &amp; hoses</t>
        </is>
      </c>
      <c r="D108" s="15" t="inlineStr">
        <is>
          <t>Insulation / tracing</t>
        </is>
      </c>
      <c r="F108" s="15" t="inlineStr">
        <is>
          <t>Pressure vessel / separator / column</t>
        </is>
      </c>
      <c r="G108" s="15" t="inlineStr">
        <is>
          <t>INL – Internal failure (internals)</t>
        </is>
      </c>
    </row>
    <row r="109">
      <c r="C109" s="15" t="inlineStr">
        <is>
          <t>Control valve</t>
        </is>
      </c>
      <c r="D109" s="15" t="inlineStr">
        <is>
          <t>Body</t>
        </is>
      </c>
      <c r="F109" s="15" t="inlineStr">
        <is>
          <t>Pressure vessel / separator / column</t>
        </is>
      </c>
      <c r="G109" s="15" t="inlineStr">
        <is>
          <t>STD – Structural deficiency</t>
        </is>
      </c>
    </row>
    <row r="110">
      <c r="C110" s="15" t="inlineStr">
        <is>
          <t>Control valve</t>
        </is>
      </c>
      <c r="D110" s="15" t="inlineStr">
        <is>
          <t>Trim (plug / seat)</t>
        </is>
      </c>
      <c r="F110" s="15" t="inlineStr">
        <is>
          <t>Pressure vessel / separator / column</t>
        </is>
      </c>
      <c r="G110" s="15" t="inlineStr">
        <is>
          <t>PLU – Plugged / fouled</t>
        </is>
      </c>
    </row>
    <row r="111">
      <c r="C111" s="15" t="inlineStr">
        <is>
          <t>Control valve</t>
        </is>
      </c>
      <c r="D111" s="15" t="inlineStr">
        <is>
          <t>Stem and packing</t>
        </is>
      </c>
      <c r="F111" s="15" t="inlineStr">
        <is>
          <t>Pressure vessel / separator / column</t>
        </is>
      </c>
      <c r="G111" s="15" t="inlineStr">
        <is>
          <t>PDE – Parameter deviation (level / pressure)</t>
        </is>
      </c>
    </row>
    <row r="112">
      <c r="C112" s="15" t="inlineStr">
        <is>
          <t>Control valve</t>
        </is>
      </c>
      <c r="D112" s="15" t="inlineStr">
        <is>
          <t>Actuator</t>
        </is>
      </c>
      <c r="F112" s="15" t="inlineStr">
        <is>
          <t>Pressure vessel / separator / column</t>
        </is>
      </c>
      <c r="G112" s="15" t="inlineStr">
        <is>
          <t>AIR – Abnormal instrument reading</t>
        </is>
      </c>
    </row>
    <row r="113">
      <c r="C113" s="15" t="inlineStr">
        <is>
          <t>Control valve</t>
        </is>
      </c>
      <c r="D113" s="15" t="inlineStr">
        <is>
          <t>Positioner</t>
        </is>
      </c>
      <c r="F113" s="15" t="inlineStr">
        <is>
          <t>Pressure vessel / separator / column</t>
        </is>
      </c>
      <c r="G113" s="15" t="inlineStr">
        <is>
          <t>OTH – Other</t>
        </is>
      </c>
    </row>
    <row r="114">
      <c r="C114" s="15" t="inlineStr">
        <is>
          <t>Control valve</t>
        </is>
      </c>
      <c r="D114" s="15" t="inlineStr">
        <is>
          <t>Solenoid valve</t>
        </is>
      </c>
      <c r="F114" s="15" t="inlineStr">
        <is>
          <t>Shell &amp; tube heat exchanger</t>
        </is>
      </c>
      <c r="G114" s="15" t="inlineStr">
        <is>
          <t>ELP – External leakage – process medium</t>
        </is>
      </c>
    </row>
    <row r="115">
      <c r="C115" s="15" t="inlineStr">
        <is>
          <t>Control valve</t>
        </is>
      </c>
      <c r="D115" s="15" t="inlineStr">
        <is>
          <t>Air supply</t>
        </is>
      </c>
      <c r="F115" s="15" t="inlineStr">
        <is>
          <t>Shell &amp; tube heat exchanger</t>
        </is>
      </c>
      <c r="G115" s="15" t="inlineStr">
        <is>
          <t>ELU – External leakage – utility medium</t>
        </is>
      </c>
    </row>
    <row r="116">
      <c r="C116" s="15" t="inlineStr">
        <is>
          <t>Control valve</t>
        </is>
      </c>
      <c r="D116" s="15" t="inlineStr">
        <is>
          <t>Limit switches</t>
        </is>
      </c>
      <c r="F116" s="15" t="inlineStr">
        <is>
          <t>Shell &amp; tube heat exchanger</t>
        </is>
      </c>
      <c r="G116" s="15" t="inlineStr">
        <is>
          <t>INL – Internal leakage (tube leak)</t>
        </is>
      </c>
    </row>
    <row r="117">
      <c r="C117" s="15" t="inlineStr">
        <is>
          <t>Isolation / ESD valve</t>
        </is>
      </c>
      <c r="D117" s="15" t="inlineStr">
        <is>
          <t>Body</t>
        </is>
      </c>
      <c r="F117" s="15" t="inlineStr">
        <is>
          <t>Shell &amp; tube heat exchanger</t>
        </is>
      </c>
      <c r="G117" s="15" t="inlineStr">
        <is>
          <t>PLU – Plugged / fouled</t>
        </is>
      </c>
    </row>
    <row r="118">
      <c r="C118" s="15" t="inlineStr">
        <is>
          <t>Isolation / ESD valve</t>
        </is>
      </c>
      <c r="D118" s="15" t="inlineStr">
        <is>
          <t>Ball / gate / disc</t>
        </is>
      </c>
      <c r="F118" s="15" t="inlineStr">
        <is>
          <t>Shell &amp; tube heat exchanger</t>
        </is>
      </c>
      <c r="G118" s="15" t="inlineStr">
        <is>
          <t>PDE – Reduced heat transfer</t>
        </is>
      </c>
    </row>
    <row r="119">
      <c r="C119" s="15" t="inlineStr">
        <is>
          <t>Isolation / ESD valve</t>
        </is>
      </c>
      <c r="D119" s="15" t="inlineStr">
        <is>
          <t>Seats</t>
        </is>
      </c>
      <c r="F119" s="15" t="inlineStr">
        <is>
          <t>Shell &amp; tube heat exchanger</t>
        </is>
      </c>
      <c r="G119" s="15" t="inlineStr">
        <is>
          <t>STD – Structural deficiency</t>
        </is>
      </c>
    </row>
    <row r="120">
      <c r="C120" s="15" t="inlineStr">
        <is>
          <t>Isolation / ESD valve</t>
        </is>
      </c>
      <c r="D120" s="15" t="inlineStr">
        <is>
          <t>Stem and packing</t>
        </is>
      </c>
      <c r="F120" s="15" t="inlineStr">
        <is>
          <t>Shell &amp; tube heat exchanger</t>
        </is>
      </c>
      <c r="G120" s="15" t="inlineStr">
        <is>
          <t>OTH – Other</t>
        </is>
      </c>
    </row>
    <row r="121">
      <c r="C121" s="15" t="inlineStr">
        <is>
          <t>Isolation / ESD valve</t>
        </is>
      </c>
      <c r="D121" s="15" t="inlineStr">
        <is>
          <t>Actuator</t>
        </is>
      </c>
      <c r="F121" s="15" t="inlineStr">
        <is>
          <t>Atmospheric storage tank</t>
        </is>
      </c>
      <c r="G121" s="15" t="inlineStr">
        <is>
          <t>ELP – External leakage – process medium</t>
        </is>
      </c>
    </row>
    <row r="122">
      <c r="C122" s="15" t="inlineStr">
        <is>
          <t>Isolation / ESD valve</t>
        </is>
      </c>
      <c r="D122" s="15" t="inlineStr">
        <is>
          <t>Solenoid valve</t>
        </is>
      </c>
      <c r="F122" s="15" t="inlineStr">
        <is>
          <t>Atmospheric storage tank</t>
        </is>
      </c>
      <c r="G122" s="15" t="inlineStr">
        <is>
          <t>STD – Structural deficiency</t>
        </is>
      </c>
    </row>
    <row r="123">
      <c r="C123" s="15" t="inlineStr">
        <is>
          <t>Isolation / ESD valve</t>
        </is>
      </c>
      <c r="D123" s="15" t="inlineStr">
        <is>
          <t>Limit switches</t>
        </is>
      </c>
      <c r="F123" s="15" t="inlineStr">
        <is>
          <t>Atmospheric storage tank</t>
        </is>
      </c>
      <c r="G123" s="15" t="inlineStr">
        <is>
          <t>PDE – Overfill</t>
        </is>
      </c>
    </row>
    <row r="124">
      <c r="C124" s="15" t="inlineStr">
        <is>
          <t>Isolation / ESD valve</t>
        </is>
      </c>
      <c r="D124" s="15" t="inlineStr">
        <is>
          <t>Handwheel / gearbox</t>
        </is>
      </c>
      <c r="F124" s="15" t="inlineStr">
        <is>
          <t>Atmospheric storage tank</t>
        </is>
      </c>
      <c r="G124" s="15" t="inlineStr">
        <is>
          <t>STD – Vacuum / pressure collapse</t>
        </is>
      </c>
    </row>
    <row r="125">
      <c r="C125" s="15" t="inlineStr">
        <is>
          <t>Pressure relief device (PSV / rupture disc)</t>
        </is>
      </c>
      <c r="D125" s="15" t="inlineStr">
        <is>
          <t>Body</t>
        </is>
      </c>
      <c r="F125" s="15" t="inlineStr">
        <is>
          <t>Atmospheric storage tank</t>
        </is>
      </c>
      <c r="G125" s="15" t="inlineStr">
        <is>
          <t>PLU – Vent blocked</t>
        </is>
      </c>
    </row>
    <row r="126">
      <c r="C126" s="15" t="inlineStr">
        <is>
          <t>Pressure relief device (PSV / rupture disc)</t>
        </is>
      </c>
      <c r="D126" s="15" t="inlineStr">
        <is>
          <t>Nozzle and disc</t>
        </is>
      </c>
      <c r="F126" s="15" t="inlineStr">
        <is>
          <t>Atmospheric storage tank</t>
        </is>
      </c>
      <c r="G126" s="15" t="inlineStr">
        <is>
          <t>AIR – Abnormal level reading</t>
        </is>
      </c>
    </row>
    <row r="127">
      <c r="C127" s="15" t="inlineStr">
        <is>
          <t>Pressure relief device (PSV / rupture disc)</t>
        </is>
      </c>
      <c r="D127" s="15" t="inlineStr">
        <is>
          <t>Spring</t>
        </is>
      </c>
      <c r="F127" s="15" t="inlineStr">
        <is>
          <t>Atmospheric storage tank</t>
        </is>
      </c>
      <c r="G127" s="15" t="inlineStr">
        <is>
          <t>OTH – Other</t>
        </is>
      </c>
    </row>
    <row r="128">
      <c r="C128" s="15" t="inlineStr">
        <is>
          <t>Pressure relief device (PSV / rupture disc)</t>
        </is>
      </c>
      <c r="D128" s="15" t="inlineStr">
        <is>
          <t>Bellows</t>
        </is>
      </c>
      <c r="F128" s="15" t="inlineStr">
        <is>
          <t>Piping, flanges &amp; hoses</t>
        </is>
      </c>
      <c r="G128" s="15" t="inlineStr">
        <is>
          <t>ELP – External leakage – process medium</t>
        </is>
      </c>
    </row>
    <row r="129">
      <c r="C129" s="15" t="inlineStr">
        <is>
          <t>Pressure relief device (PSV / rupture disc)</t>
        </is>
      </c>
      <c r="D129" s="15" t="inlineStr">
        <is>
          <t>Inlet / outlet piping</t>
        </is>
      </c>
      <c r="F129" s="15" t="inlineStr">
        <is>
          <t>Piping, flanges &amp; hoses</t>
        </is>
      </c>
      <c r="G129" s="15" t="inlineStr">
        <is>
          <t>PLU – Plugged / choked</t>
        </is>
      </c>
    </row>
    <row r="130">
      <c r="C130" s="15" t="inlineStr">
        <is>
          <t>Pressure relief device (PSV / rupture disc)</t>
        </is>
      </c>
      <c r="D130" s="15" t="inlineStr">
        <is>
          <t>Rupture disc</t>
        </is>
      </c>
      <c r="F130" s="15" t="inlineStr">
        <is>
          <t>Piping, flanges &amp; hoses</t>
        </is>
      </c>
      <c r="G130" s="15" t="inlineStr">
        <is>
          <t>STD – Structural deficiency</t>
        </is>
      </c>
    </row>
    <row r="131">
      <c r="C131" s="15" t="inlineStr">
        <is>
          <t>Pressure relief device (PSV / rupture disc)</t>
        </is>
      </c>
      <c r="D131" s="15" t="inlineStr">
        <is>
          <t>Isolation valves (locked open)</t>
        </is>
      </c>
      <c r="F131" s="15" t="inlineStr">
        <is>
          <t>Piping, flanges &amp; hoses</t>
        </is>
      </c>
      <c r="G131" s="15" t="inlineStr">
        <is>
          <t>VIB – Vibration</t>
        </is>
      </c>
    </row>
    <row r="132">
      <c r="C132" s="15" t="inlineStr">
        <is>
          <t>Instrument – transmitter / switch</t>
        </is>
      </c>
      <c r="D132" s="15" t="inlineStr">
        <is>
          <t>Sensing element</t>
        </is>
      </c>
      <c r="F132" s="15" t="inlineStr">
        <is>
          <t>Piping, flanges &amp; hoses</t>
        </is>
      </c>
      <c r="G132" s="15" t="inlineStr">
        <is>
          <t>OTH – Other</t>
        </is>
      </c>
    </row>
    <row r="133">
      <c r="C133" s="15" t="inlineStr">
        <is>
          <t>Instrument – transmitter / switch</t>
        </is>
      </c>
      <c r="D133" s="15" t="inlineStr">
        <is>
          <t>Transmitter electronics</t>
        </is>
      </c>
      <c r="F133" s="15" t="inlineStr">
        <is>
          <t>Control valve</t>
        </is>
      </c>
      <c r="G133" s="15" t="inlineStr">
        <is>
          <t>FTO – Fail to open on demand</t>
        </is>
      </c>
    </row>
    <row r="134">
      <c r="C134" s="15" t="inlineStr">
        <is>
          <t>Instrument – transmitter / switch</t>
        </is>
      </c>
      <c r="D134" s="15" t="inlineStr">
        <is>
          <t>Impulse lines / process connection</t>
        </is>
      </c>
      <c r="F134" s="15" t="inlineStr">
        <is>
          <t>Control valve</t>
        </is>
      </c>
      <c r="G134" s="15" t="inlineStr">
        <is>
          <t>FTC – Fail to close on demand</t>
        </is>
      </c>
    </row>
    <row r="135">
      <c r="C135" s="15" t="inlineStr">
        <is>
          <t>Instrument – transmitter / switch</t>
        </is>
      </c>
      <c r="D135" s="15" t="inlineStr">
        <is>
          <t>Cabling and junction box</t>
        </is>
      </c>
      <c r="F135" s="15" t="inlineStr">
        <is>
          <t>Control valve</t>
        </is>
      </c>
      <c r="G135" s="15" t="inlineStr">
        <is>
          <t>ERO – Erratic output / hunting</t>
        </is>
      </c>
    </row>
    <row r="136">
      <c r="C136" s="15" t="inlineStr">
        <is>
          <t>Instrument – transmitter / switch</t>
        </is>
      </c>
      <c r="D136" s="15" t="inlineStr">
        <is>
          <t>Power supply</t>
        </is>
      </c>
      <c r="F136" s="15" t="inlineStr">
        <is>
          <t>Control valve</t>
        </is>
      </c>
      <c r="G136" s="15" t="inlineStr">
        <is>
          <t>DOP – Delayed operation</t>
        </is>
      </c>
    </row>
    <row r="137">
      <c r="C137" s="15" t="inlineStr">
        <is>
          <t>Instrument – transmitter / switch</t>
        </is>
      </c>
      <c r="D137" s="15" t="inlineStr">
        <is>
          <t>Calibration</t>
        </is>
      </c>
      <c r="F137" s="15" t="inlineStr">
        <is>
          <t>Control valve</t>
        </is>
      </c>
      <c r="G137" s="15" t="inlineStr">
        <is>
          <t>LCP – Leakage in closed position</t>
        </is>
      </c>
    </row>
    <row r="138">
      <c r="C138" s="15" t="inlineStr">
        <is>
          <t>Analyser / gas detector</t>
        </is>
      </c>
      <c r="D138" s="15" t="inlineStr">
        <is>
          <t>Sensor</t>
        </is>
      </c>
      <c r="F138" s="15" t="inlineStr">
        <is>
          <t>Control valve</t>
        </is>
      </c>
      <c r="G138" s="15" t="inlineStr">
        <is>
          <t>ELP – External leakage – process medium</t>
        </is>
      </c>
    </row>
    <row r="139">
      <c r="C139" s="15" t="inlineStr">
        <is>
          <t>Analyser / gas detector</t>
        </is>
      </c>
      <c r="D139" s="15" t="inlineStr">
        <is>
          <t>Sample system</t>
        </is>
      </c>
      <c r="F139" s="15" t="inlineStr">
        <is>
          <t>Control valve</t>
        </is>
      </c>
      <c r="G139" s="15" t="inlineStr">
        <is>
          <t>SPO – Spurious operation</t>
        </is>
      </c>
    </row>
    <row r="140">
      <c r="C140" s="15" t="inlineStr">
        <is>
          <t>Analyser / gas detector</t>
        </is>
      </c>
      <c r="D140" s="15" t="inlineStr">
        <is>
          <t>Electronics</t>
        </is>
      </c>
      <c r="F140" s="15" t="inlineStr">
        <is>
          <t>Control valve</t>
        </is>
      </c>
      <c r="G140" s="15" t="inlineStr">
        <is>
          <t>PLU – Plugged / choked</t>
        </is>
      </c>
    </row>
    <row r="141">
      <c r="C141" s="15" t="inlineStr">
        <is>
          <t>Analyser / gas detector</t>
        </is>
      </c>
      <c r="D141" s="15" t="inlineStr">
        <is>
          <t>Calibration gas</t>
        </is>
      </c>
      <c r="F141" s="15" t="inlineStr">
        <is>
          <t>Control valve</t>
        </is>
      </c>
      <c r="G141" s="15" t="inlineStr">
        <is>
          <t>STD – Structural deficiency</t>
        </is>
      </c>
    </row>
    <row r="142">
      <c r="C142" s="15" t="inlineStr">
        <is>
          <t>Analyser / gas detector</t>
        </is>
      </c>
      <c r="D142" s="15" t="inlineStr">
        <is>
          <t>Housing</t>
        </is>
      </c>
      <c r="F142" s="15" t="inlineStr">
        <is>
          <t>Control valve</t>
        </is>
      </c>
      <c r="G142" s="15" t="inlineStr">
        <is>
          <t>AIR – Abnormal position indication</t>
        </is>
      </c>
    </row>
    <row r="143">
      <c r="C143" s="15" t="inlineStr">
        <is>
          <t>Control system / SIS logic solver</t>
        </is>
      </c>
      <c r="D143" s="15" t="inlineStr">
        <is>
          <t>CPU</t>
        </is>
      </c>
      <c r="F143" s="15" t="inlineStr">
        <is>
          <t>Control valve</t>
        </is>
      </c>
      <c r="G143" s="15" t="inlineStr">
        <is>
          <t>OTH – Other</t>
        </is>
      </c>
    </row>
    <row r="144">
      <c r="C144" s="15" t="inlineStr">
        <is>
          <t>Control system / SIS logic solver</t>
        </is>
      </c>
      <c r="D144" s="15" t="inlineStr">
        <is>
          <t>I/O cards</t>
        </is>
      </c>
      <c r="F144" s="15" t="inlineStr">
        <is>
          <t>Isolation / ESD valve</t>
        </is>
      </c>
      <c r="G144" s="15" t="inlineStr">
        <is>
          <t>FTO – Fail to open on demand</t>
        </is>
      </c>
    </row>
    <row r="145">
      <c r="C145" s="15" t="inlineStr">
        <is>
          <t>Control system / SIS logic solver</t>
        </is>
      </c>
      <c r="D145" s="15" t="inlineStr">
        <is>
          <t>Power supplies</t>
        </is>
      </c>
      <c r="F145" s="15" t="inlineStr">
        <is>
          <t>Isolation / ESD valve</t>
        </is>
      </c>
      <c r="G145" s="15" t="inlineStr">
        <is>
          <t>FTC – Fail to close on demand</t>
        </is>
      </c>
    </row>
    <row r="146">
      <c r="C146" s="15" t="inlineStr">
        <is>
          <t>Control system / SIS logic solver</t>
        </is>
      </c>
      <c r="D146" s="15" t="inlineStr">
        <is>
          <t>Network / communications</t>
        </is>
      </c>
      <c r="F146" s="15" t="inlineStr">
        <is>
          <t>Isolation / ESD valve</t>
        </is>
      </c>
      <c r="G146" s="15" t="inlineStr">
        <is>
          <t>DOP – Delayed operation</t>
        </is>
      </c>
    </row>
    <row r="147">
      <c r="C147" s="15" t="inlineStr">
        <is>
          <t>Control system / SIS logic solver</t>
        </is>
      </c>
      <c r="D147" s="15" t="inlineStr">
        <is>
          <t>Application software</t>
        </is>
      </c>
      <c r="F147" s="15" t="inlineStr">
        <is>
          <t>Isolation / ESD valve</t>
        </is>
      </c>
      <c r="G147" s="15" t="inlineStr">
        <is>
          <t>LCP – Leakage in closed position</t>
        </is>
      </c>
    </row>
    <row r="148">
      <c r="C148" s="15" t="inlineStr">
        <is>
          <t>Control system / SIS logic solver</t>
        </is>
      </c>
      <c r="D148" s="15" t="inlineStr">
        <is>
          <t>HMI / operator station</t>
        </is>
      </c>
      <c r="F148" s="15" t="inlineStr">
        <is>
          <t>Isolation / ESD valve</t>
        </is>
      </c>
      <c r="G148" s="15" t="inlineStr">
        <is>
          <t>ELP – External leakage – process medium</t>
        </is>
      </c>
    </row>
    <row r="149">
      <c r="C149" s="15" t="inlineStr">
        <is>
          <t>Transformer</t>
        </is>
      </c>
      <c r="D149" s="15" t="inlineStr">
        <is>
          <t>Windings</t>
        </is>
      </c>
      <c r="F149" s="15" t="inlineStr">
        <is>
          <t>Isolation / ESD valve</t>
        </is>
      </c>
      <c r="G149" s="15" t="inlineStr">
        <is>
          <t>SPO – Spurious operation</t>
        </is>
      </c>
    </row>
    <row r="150">
      <c r="C150" s="15" t="inlineStr">
        <is>
          <t>Transformer</t>
        </is>
      </c>
      <c r="D150" s="15" t="inlineStr">
        <is>
          <t>Core</t>
        </is>
      </c>
      <c r="F150" s="15" t="inlineStr">
        <is>
          <t>Isolation / ESD valve</t>
        </is>
      </c>
      <c r="G150" s="15" t="inlineStr">
        <is>
          <t>PLU – Plugged / choked</t>
        </is>
      </c>
    </row>
    <row r="151">
      <c r="C151" s="15" t="inlineStr">
        <is>
          <t>Transformer</t>
        </is>
      </c>
      <c r="D151" s="15" t="inlineStr">
        <is>
          <t>Bushings</t>
        </is>
      </c>
      <c r="F151" s="15" t="inlineStr">
        <is>
          <t>Isolation / ESD valve</t>
        </is>
      </c>
      <c r="G151" s="15" t="inlineStr">
        <is>
          <t>STD – Structural deficiency</t>
        </is>
      </c>
    </row>
    <row r="152">
      <c r="C152" s="15" t="inlineStr">
        <is>
          <t>Transformer</t>
        </is>
      </c>
      <c r="D152" s="15" t="inlineStr">
        <is>
          <t>Tap changer</t>
        </is>
      </c>
      <c r="F152" s="15" t="inlineStr">
        <is>
          <t>Isolation / ESD valve</t>
        </is>
      </c>
      <c r="G152" s="15" t="inlineStr">
        <is>
          <t>OTH – Other</t>
        </is>
      </c>
    </row>
    <row r="153">
      <c r="C153" s="15" t="inlineStr">
        <is>
          <t>Transformer</t>
        </is>
      </c>
      <c r="D153" s="15" t="inlineStr">
        <is>
          <t>Cooling (oil / fans)</t>
        </is>
      </c>
      <c r="F153" s="15" t="inlineStr">
        <is>
          <t>Pressure relief device (PSV / rupture disc)</t>
        </is>
      </c>
      <c r="G153" s="15" t="inlineStr">
        <is>
          <t>FTO – Fail to open on demand</t>
        </is>
      </c>
    </row>
    <row r="154">
      <c r="C154" s="15" t="inlineStr">
        <is>
          <t>Transformer</t>
        </is>
      </c>
      <c r="D154" s="15" t="inlineStr">
        <is>
          <t>Insulating oil</t>
        </is>
      </c>
      <c r="F154" s="15" t="inlineStr">
        <is>
          <t>Pressure relief device (PSV / rupture disc)</t>
        </is>
      </c>
      <c r="G154" s="15" t="inlineStr">
        <is>
          <t>PDE – Opens above set pressure</t>
        </is>
      </c>
    </row>
    <row r="155">
      <c r="C155" s="15" t="inlineStr">
        <is>
          <t>Transformer</t>
        </is>
      </c>
      <c r="D155" s="15" t="inlineStr">
        <is>
          <t>Protection (Buchholz / temperature)</t>
        </is>
      </c>
      <c r="F155" s="15" t="inlineStr">
        <is>
          <t>Pressure relief device (PSV / rupture disc)</t>
        </is>
      </c>
      <c r="G155" s="15" t="inlineStr">
        <is>
          <t>SPO – Spurious / premature opening</t>
        </is>
      </c>
    </row>
    <row r="156">
      <c r="C156" s="15" t="inlineStr">
        <is>
          <t>Switchgear / MCC / circuit breaker</t>
        </is>
      </c>
      <c r="D156" s="15" t="inlineStr">
        <is>
          <t>Circuit breaker</t>
        </is>
      </c>
      <c r="F156" s="15" t="inlineStr">
        <is>
          <t>Pressure relief device (PSV / rupture disc)</t>
        </is>
      </c>
      <c r="G156" s="15" t="inlineStr">
        <is>
          <t>LCP – Leakage through / simmering</t>
        </is>
      </c>
    </row>
    <row r="157">
      <c r="C157" s="15" t="inlineStr">
        <is>
          <t>Switchgear / MCC / circuit breaker</t>
        </is>
      </c>
      <c r="D157" s="15" t="inlineStr">
        <is>
          <t>Contactors</t>
        </is>
      </c>
      <c r="F157" s="15" t="inlineStr">
        <is>
          <t>Pressure relief device (PSV / rupture disc)</t>
        </is>
      </c>
      <c r="G157" s="15" t="inlineStr">
        <is>
          <t>FTC – Fail to reseat</t>
        </is>
      </c>
    </row>
    <row r="158">
      <c r="C158" s="15" t="inlineStr">
        <is>
          <t>Switchgear / MCC / circuit breaker</t>
        </is>
      </c>
      <c r="D158" s="15" t="inlineStr">
        <is>
          <t>Busbars</t>
        </is>
      </c>
      <c r="F158" s="15" t="inlineStr">
        <is>
          <t>Pressure relief device (PSV / rupture disc)</t>
        </is>
      </c>
      <c r="G158" s="15" t="inlineStr">
        <is>
          <t>PLU – Plugged inlet / outlet</t>
        </is>
      </c>
    </row>
    <row r="159">
      <c r="C159" s="15" t="inlineStr">
        <is>
          <t>Switchgear / MCC / circuit breaker</t>
        </is>
      </c>
      <c r="D159" s="15" t="inlineStr">
        <is>
          <t>Protection relays</t>
        </is>
      </c>
      <c r="F159" s="15" t="inlineStr">
        <is>
          <t>Pressure relief device (PSV / rupture disc)</t>
        </is>
      </c>
      <c r="G159" s="15" t="inlineStr">
        <is>
          <t>OTH – Other</t>
        </is>
      </c>
    </row>
    <row r="160">
      <c r="C160" s="15" t="inlineStr">
        <is>
          <t>Switchgear / MCC / circuit breaker</t>
        </is>
      </c>
      <c r="D160" s="15" t="inlineStr">
        <is>
          <t>Cables / terminations</t>
        </is>
      </c>
      <c r="F160" s="15" t="inlineStr">
        <is>
          <t>Instrument – transmitter / switch</t>
        </is>
      </c>
      <c r="G160" s="15" t="inlineStr">
        <is>
          <t>FTF – Fail to function on demand</t>
        </is>
      </c>
    </row>
    <row r="161">
      <c r="C161" s="15" t="inlineStr">
        <is>
          <t>Switchgear / MCC / circuit breaker</t>
        </is>
      </c>
      <c r="D161" s="15" t="inlineStr">
        <is>
          <t>Control circuit</t>
        </is>
      </c>
      <c r="F161" s="15" t="inlineStr">
        <is>
          <t>Instrument – transmitter / switch</t>
        </is>
      </c>
      <c r="G161" s="15" t="inlineStr">
        <is>
          <t>SPO – Spurious operation / false trip</t>
        </is>
      </c>
    </row>
    <row r="162">
      <c r="C162" s="15" t="inlineStr">
        <is>
          <t>Switchgear / MCC / circuit breaker</t>
        </is>
      </c>
      <c r="D162" s="15" t="inlineStr">
        <is>
          <t>Earthing</t>
        </is>
      </c>
      <c r="F162" s="15" t="inlineStr">
        <is>
          <t>Instrument – transmitter / switch</t>
        </is>
      </c>
      <c r="G162" s="15" t="inlineStr">
        <is>
          <t>AIR – Abnormal instrument reading</t>
        </is>
      </c>
    </row>
    <row r="163">
      <c r="C163" s="15" t="inlineStr">
        <is>
          <t>Variable speed drive / UPS</t>
        </is>
      </c>
      <c r="D163" s="15" t="inlineStr">
        <is>
          <t>Rectifier</t>
        </is>
      </c>
      <c r="F163" s="15" t="inlineStr">
        <is>
          <t>Instrument – transmitter / switch</t>
        </is>
      </c>
      <c r="G163" s="15" t="inlineStr">
        <is>
          <t>HIO – High reading / drift high</t>
        </is>
      </c>
    </row>
    <row r="164">
      <c r="C164" s="15" t="inlineStr">
        <is>
          <t>Variable speed drive / UPS</t>
        </is>
      </c>
      <c r="D164" s="15" t="inlineStr">
        <is>
          <t>DC bus capacitors</t>
        </is>
      </c>
      <c r="F164" s="15" t="inlineStr">
        <is>
          <t>Instrument – transmitter / switch</t>
        </is>
      </c>
      <c r="G164" s="15" t="inlineStr">
        <is>
          <t>LOO – Low reading / drift low</t>
        </is>
      </c>
    </row>
    <row r="165">
      <c r="C165" s="15" t="inlineStr">
        <is>
          <t>Variable speed drive / UPS</t>
        </is>
      </c>
      <c r="D165" s="15" t="inlineStr">
        <is>
          <t>Inverter / IGBTs</t>
        </is>
      </c>
      <c r="F165" s="15" t="inlineStr">
        <is>
          <t>Instrument – transmitter / switch</t>
        </is>
      </c>
      <c r="G165" s="15" t="inlineStr">
        <is>
          <t>NOO – No output / signal</t>
        </is>
      </c>
    </row>
    <row r="166">
      <c r="C166" s="15" t="inlineStr">
        <is>
          <t>Variable speed drive / UPS</t>
        </is>
      </c>
      <c r="D166" s="15" t="inlineStr">
        <is>
          <t>Cooling fans</t>
        </is>
      </c>
      <c r="F166" s="15" t="inlineStr">
        <is>
          <t>Instrument – transmitter / switch</t>
        </is>
      </c>
      <c r="G166" s="15" t="inlineStr">
        <is>
          <t>ERO – Erratic output</t>
        </is>
      </c>
    </row>
    <row r="167">
      <c r="C167" s="15" t="inlineStr">
        <is>
          <t>Variable speed drive / UPS</t>
        </is>
      </c>
      <c r="D167" s="15" t="inlineStr">
        <is>
          <t>Control board</t>
        </is>
      </c>
      <c r="F167" s="15" t="inlineStr">
        <is>
          <t>Instrument – transmitter / switch</t>
        </is>
      </c>
      <c r="G167" s="15" t="inlineStr">
        <is>
          <t>OTH – Other</t>
        </is>
      </c>
    </row>
    <row r="168">
      <c r="C168" s="15" t="inlineStr">
        <is>
          <t>Variable speed drive / UPS</t>
        </is>
      </c>
      <c r="D168" s="15" t="inlineStr">
        <is>
          <t>Batteries (UPS)</t>
        </is>
      </c>
      <c r="F168" s="15" t="inlineStr">
        <is>
          <t>Analyser / gas detector</t>
        </is>
      </c>
      <c r="G168" s="15" t="inlineStr">
        <is>
          <t>FTF – Fail to function on demand</t>
        </is>
      </c>
    </row>
    <row r="169">
      <c r="C169" s="15" t="inlineStr">
        <is>
          <t>Variable speed drive / UPS</t>
        </is>
      </c>
      <c r="D169" s="15" t="inlineStr">
        <is>
          <t>Bypass</t>
        </is>
      </c>
      <c r="F169" s="15" t="inlineStr">
        <is>
          <t>Analyser / gas detector</t>
        </is>
      </c>
      <c r="G169" s="15" t="inlineStr">
        <is>
          <t>SPO – Spurious operation / false trip</t>
        </is>
      </c>
    </row>
    <row r="170">
      <c r="C170" s="15" t="inlineStr">
        <is>
          <t>Hydraulic power unit / system</t>
        </is>
      </c>
      <c r="D170" s="15" t="inlineStr">
        <is>
          <t>Hydraulic pumps</t>
        </is>
      </c>
      <c r="F170" s="15" t="inlineStr">
        <is>
          <t>Analyser / gas detector</t>
        </is>
      </c>
      <c r="G170" s="15" t="inlineStr">
        <is>
          <t>AIR – Abnormal instrument reading</t>
        </is>
      </c>
    </row>
    <row r="171">
      <c r="C171" s="15" t="inlineStr">
        <is>
          <t>Hydraulic power unit / system</t>
        </is>
      </c>
      <c r="D171" s="15" t="inlineStr">
        <is>
          <t>Reservoir</t>
        </is>
      </c>
      <c r="F171" s="15" t="inlineStr">
        <is>
          <t>Analyser / gas detector</t>
        </is>
      </c>
      <c r="G171" s="15" t="inlineStr">
        <is>
          <t>HIO – High reading / drift high</t>
        </is>
      </c>
    </row>
    <row r="172">
      <c r="C172" s="15" t="inlineStr">
        <is>
          <t>Hydraulic power unit / system</t>
        </is>
      </c>
      <c r="D172" s="15" t="inlineStr">
        <is>
          <t>Accumulators</t>
        </is>
      </c>
      <c r="F172" s="15" t="inlineStr">
        <is>
          <t>Analyser / gas detector</t>
        </is>
      </c>
      <c r="G172" s="15" t="inlineStr">
        <is>
          <t>LOO – Low reading / drift low</t>
        </is>
      </c>
    </row>
    <row r="173">
      <c r="C173" s="15" t="inlineStr">
        <is>
          <t>Hydraulic power unit / system</t>
        </is>
      </c>
      <c r="D173" s="15" t="inlineStr">
        <is>
          <t>Directional / proportional valves</t>
        </is>
      </c>
      <c r="F173" s="15" t="inlineStr">
        <is>
          <t>Analyser / gas detector</t>
        </is>
      </c>
      <c r="G173" s="15" t="inlineStr">
        <is>
          <t>NOO – No output / signal</t>
        </is>
      </c>
    </row>
    <row r="174">
      <c r="C174" s="15" t="inlineStr">
        <is>
          <t>Hydraulic power unit / system</t>
        </is>
      </c>
      <c r="D174" s="15" t="inlineStr">
        <is>
          <t>Cylinders</t>
        </is>
      </c>
      <c r="F174" s="15" t="inlineStr">
        <is>
          <t>Analyser / gas detector</t>
        </is>
      </c>
      <c r="G174" s="15" t="inlineStr">
        <is>
          <t>ERO – Erratic output</t>
        </is>
      </c>
    </row>
    <row r="175">
      <c r="C175" s="15" t="inlineStr">
        <is>
          <t>Hydraulic power unit / system</t>
        </is>
      </c>
      <c r="D175" s="15" t="inlineStr">
        <is>
          <t>Hoses</t>
        </is>
      </c>
      <c r="F175" s="15" t="inlineStr">
        <is>
          <t>Analyser / gas detector</t>
        </is>
      </c>
      <c r="G175" s="15" t="inlineStr">
        <is>
          <t>OTH – Other</t>
        </is>
      </c>
    </row>
    <row r="176">
      <c r="C176" s="15" t="inlineStr">
        <is>
          <t>Hydraulic power unit / system</t>
        </is>
      </c>
      <c r="D176" s="15" t="inlineStr">
        <is>
          <t>Filters</t>
        </is>
      </c>
      <c r="F176" s="15" t="inlineStr">
        <is>
          <t>Control system / SIS logic solver</t>
        </is>
      </c>
      <c r="G176" s="15" t="inlineStr">
        <is>
          <t>FTF – Fail to function on demand</t>
        </is>
      </c>
    </row>
    <row r="177">
      <c r="C177" s="15" t="inlineStr">
        <is>
          <t>Hydraulic power unit / system</t>
        </is>
      </c>
      <c r="D177" s="15" t="inlineStr">
        <is>
          <t>Oil cooler</t>
        </is>
      </c>
      <c r="F177" s="15" t="inlineStr">
        <is>
          <t>Control system / SIS logic solver</t>
        </is>
      </c>
      <c r="G177" s="15" t="inlineStr">
        <is>
          <t>SPO – Spurious operation / false trip</t>
        </is>
      </c>
    </row>
    <row r="178">
      <c r="C178" s="15" t="inlineStr">
        <is>
          <t>Hydraulic power unit / system</t>
        </is>
      </c>
      <c r="D178" s="15" t="inlineStr">
        <is>
          <t>Hydraulic fluid</t>
        </is>
      </c>
      <c r="F178" s="15" t="inlineStr">
        <is>
          <t>Control system / SIS logic solver</t>
        </is>
      </c>
      <c r="G178" s="15" t="inlineStr">
        <is>
          <t>BRD – Loss of control</t>
        </is>
      </c>
    </row>
    <row r="179">
      <c r="C179" s="15" t="inlineStr">
        <is>
          <t>Overhead crane / hoist (incl. ladle crane)</t>
        </is>
      </c>
      <c r="D179" s="15" t="inlineStr">
        <is>
          <t>Hoist ropes</t>
        </is>
      </c>
      <c r="F179" s="15" t="inlineStr">
        <is>
          <t>Control system / SIS logic solver</t>
        </is>
      </c>
      <c r="G179" s="15" t="inlineStr">
        <is>
          <t>OTH – Loss of view (HMI)</t>
        </is>
      </c>
    </row>
    <row r="180">
      <c r="C180" s="15" t="inlineStr">
        <is>
          <t>Overhead crane / hoist (incl. ladle crane)</t>
        </is>
      </c>
      <c r="D180" s="15" t="inlineStr">
        <is>
          <t>Hook and block</t>
        </is>
      </c>
      <c r="F180" s="15" t="inlineStr">
        <is>
          <t>Control system / SIS logic solver</t>
        </is>
      </c>
      <c r="G180" s="15" t="inlineStr">
        <is>
          <t>OTH – Software / configuration error</t>
        </is>
      </c>
    </row>
    <row r="181">
      <c r="C181" s="15" t="inlineStr">
        <is>
          <t>Overhead crane / hoist (incl. ladle crane)</t>
        </is>
      </c>
      <c r="D181" s="15" t="inlineStr">
        <is>
          <t>Hoist brakes (primary / emergency)</t>
        </is>
      </c>
      <c r="F181" s="15" t="inlineStr">
        <is>
          <t>Transformer</t>
        </is>
      </c>
      <c r="G181" s="15" t="inlineStr">
        <is>
          <t>BRD – Breakdown / insulation failure</t>
        </is>
      </c>
    </row>
    <row r="182">
      <c r="C182" s="15" t="inlineStr">
        <is>
          <t>Overhead crane / hoist (incl. ladle crane)</t>
        </is>
      </c>
      <c r="D182" s="15" t="inlineStr">
        <is>
          <t>Gearbox / drum</t>
        </is>
      </c>
      <c r="F182" s="15" t="inlineStr">
        <is>
          <t>Transformer</t>
        </is>
      </c>
      <c r="G182" s="15" t="inlineStr">
        <is>
          <t>OHE – Overheating</t>
        </is>
      </c>
    </row>
    <row r="183">
      <c r="C183" s="15" t="inlineStr">
        <is>
          <t>Overhead crane / hoist (incl. ladle crane)</t>
        </is>
      </c>
      <c r="D183" s="15" t="inlineStr">
        <is>
          <t>Travel drives</t>
        </is>
      </c>
      <c r="F183" s="15" t="inlineStr">
        <is>
          <t>Transformer</t>
        </is>
      </c>
      <c r="G183" s="15" t="inlineStr">
        <is>
          <t>ELU – External leakage – insulating oil</t>
        </is>
      </c>
    </row>
    <row r="184">
      <c r="C184" s="15" t="inlineStr">
        <is>
          <t>Overhead crane / hoist (incl. ladle crane)</t>
        </is>
      </c>
      <c r="D184" s="15" t="inlineStr">
        <is>
          <t>Limit switches</t>
        </is>
      </c>
      <c r="F184" s="15" t="inlineStr">
        <is>
          <t>Transformer</t>
        </is>
      </c>
      <c r="G184" s="15" t="inlineStr">
        <is>
          <t>FOV – Faulty output voltage</t>
        </is>
      </c>
    </row>
    <row r="185">
      <c r="C185" s="15" t="inlineStr">
        <is>
          <t>Overhead crane / hoist (incl. ladle crane)</t>
        </is>
      </c>
      <c r="D185" s="15" t="inlineStr">
        <is>
          <t>Overload / load cell</t>
        </is>
      </c>
      <c r="F185" s="15" t="inlineStr">
        <is>
          <t>Transformer</t>
        </is>
      </c>
      <c r="G185" s="15" t="inlineStr">
        <is>
          <t>NOI – Noise</t>
        </is>
      </c>
    </row>
    <row r="186">
      <c r="C186" s="15" t="inlineStr">
        <is>
          <t>Overhead crane / hoist (incl. ladle crane)</t>
        </is>
      </c>
      <c r="D186" s="15" t="inlineStr">
        <is>
          <t>Girders / structure</t>
        </is>
      </c>
      <c r="F186" s="15" t="inlineStr">
        <is>
          <t>Transformer</t>
        </is>
      </c>
      <c r="G186" s="15" t="inlineStr">
        <is>
          <t>OTH – Other</t>
        </is>
      </c>
    </row>
    <row r="187">
      <c r="C187" s="15" t="inlineStr">
        <is>
          <t>Overhead crane / hoist (incl. ladle crane)</t>
        </is>
      </c>
      <c r="D187" s="15" t="inlineStr">
        <is>
          <t>Rails and end stops</t>
        </is>
      </c>
      <c r="F187" s="15" t="inlineStr">
        <is>
          <t>Switchgear / MCC / circuit breaker</t>
        </is>
      </c>
      <c r="G187" s="15" t="inlineStr">
        <is>
          <t>FTO – Fail to open / trip on demand</t>
        </is>
      </c>
    </row>
    <row r="188">
      <c r="C188" s="15" t="inlineStr">
        <is>
          <t>Overhead crane / hoist (incl. ladle crane)</t>
        </is>
      </c>
      <c r="D188" s="15" t="inlineStr">
        <is>
          <t>Controls / radio remote</t>
        </is>
      </c>
      <c r="F188" s="15" t="inlineStr">
        <is>
          <t>Switchgear / MCC / circuit breaker</t>
        </is>
      </c>
      <c r="G188" s="15" t="inlineStr">
        <is>
          <t>FTC – Fail to close on demand</t>
        </is>
      </c>
    </row>
    <row r="189">
      <c r="C189" s="15" t="inlineStr">
        <is>
          <t>Overhead crane / hoist (incl. ladle crane)</t>
        </is>
      </c>
      <c r="D189" s="15" t="inlineStr">
        <is>
          <t>Power supply (festoon / conductor bar)</t>
        </is>
      </c>
      <c r="F189" s="15" t="inlineStr">
        <is>
          <t>Switchgear / MCC / circuit breaker</t>
        </is>
      </c>
      <c r="G189" s="15" t="inlineStr">
        <is>
          <t>SPO – Spurious trip</t>
        </is>
      </c>
    </row>
    <row r="190">
      <c r="C190" s="15" t="inlineStr">
        <is>
          <t>Water-cooled element (panel, roof, lance, tuyere, stave, mould)</t>
        </is>
      </c>
      <c r="D190" s="15" t="inlineStr">
        <is>
          <t>Panel pipes / copper element</t>
        </is>
      </c>
      <c r="F190" s="15" t="inlineStr">
        <is>
          <t>Switchgear / MCC / circuit breaker</t>
        </is>
      </c>
      <c r="G190" s="15" t="inlineStr">
        <is>
          <t>OHE – Overheating (hot joint)</t>
        </is>
      </c>
    </row>
    <row r="191">
      <c r="C191" s="15" t="inlineStr">
        <is>
          <t>Water-cooled element (panel, roof, lance, tuyere, stave, mould)</t>
        </is>
      </c>
      <c r="D191" s="15" t="inlineStr">
        <is>
          <t>Inlet / outlet hoses</t>
        </is>
      </c>
      <c r="F191" s="15" t="inlineStr">
        <is>
          <t>Switchgear / MCC / circuit breaker</t>
        </is>
      </c>
      <c r="G191" s="15" t="inlineStr">
        <is>
          <t>BRD – Short circuit / arc flash</t>
        </is>
      </c>
    </row>
    <row r="192">
      <c r="C192" s="15" t="inlineStr">
        <is>
          <t>Water-cooled element (panel, roof, lance, tuyere, stave, mould)</t>
        </is>
      </c>
      <c r="D192" s="15" t="inlineStr">
        <is>
          <t>Manifolds</t>
        </is>
      </c>
      <c r="F192" s="15" t="inlineStr">
        <is>
          <t>Switchgear / MCC / circuit breaker</t>
        </is>
      </c>
      <c r="G192" s="15" t="inlineStr">
        <is>
          <t>OTH – Other</t>
        </is>
      </c>
    </row>
    <row r="193">
      <c r="C193" s="15" t="inlineStr">
        <is>
          <t>Water-cooled element (panel, roof, lance, tuyere, stave, mould)</t>
        </is>
      </c>
      <c r="D193" s="15" t="inlineStr">
        <is>
          <t>Flow and temperature instruments</t>
        </is>
      </c>
      <c r="F193" s="15" t="inlineStr">
        <is>
          <t>Variable speed drive / UPS</t>
        </is>
      </c>
      <c r="G193" s="15" t="inlineStr">
        <is>
          <t>FTS – Fail to start on demand</t>
        </is>
      </c>
    </row>
    <row r="194">
      <c r="C194" s="15" t="inlineStr">
        <is>
          <t>Water-cooled element (panel, roof, lance, tuyere, stave, mould)</t>
        </is>
      </c>
      <c r="D194" s="15" t="inlineStr">
        <is>
          <t>Leak detection system</t>
        </is>
      </c>
      <c r="F194" s="15" t="inlineStr">
        <is>
          <t>Variable speed drive / UPS</t>
        </is>
      </c>
      <c r="G194" s="15" t="inlineStr">
        <is>
          <t>UST – Spurious stop</t>
        </is>
      </c>
    </row>
    <row r="195">
      <c r="C195" s="15" t="inlineStr">
        <is>
          <t>Water-cooled element (panel, roof, lance, tuyere, stave, mould)</t>
        </is>
      </c>
      <c r="D195" s="15" t="inlineStr">
        <is>
          <t>Supports</t>
        </is>
      </c>
      <c r="F195" s="15" t="inlineStr">
        <is>
          <t>Variable speed drive / UPS</t>
        </is>
      </c>
      <c r="G195" s="15" t="inlineStr">
        <is>
          <t>BRD – Breakdown</t>
        </is>
      </c>
    </row>
    <row r="196">
      <c r="C196" s="15" t="inlineStr">
        <is>
          <t>Refractory lining (furnace, ladle, tundish, kiln)</t>
        </is>
      </c>
      <c r="D196" s="15" t="inlineStr">
        <is>
          <t>Working lining</t>
        </is>
      </c>
      <c r="F196" s="15" t="inlineStr">
        <is>
          <t>Variable speed drive / UPS</t>
        </is>
      </c>
      <c r="G196" s="15" t="inlineStr">
        <is>
          <t>FOV – Faulty output voltage / frequency</t>
        </is>
      </c>
    </row>
    <row r="197">
      <c r="C197" s="15" t="inlineStr">
        <is>
          <t>Refractory lining (furnace, ladle, tundish, kiln)</t>
        </is>
      </c>
      <c r="D197" s="15" t="inlineStr">
        <is>
          <t>Safety / permanent lining</t>
        </is>
      </c>
      <c r="F197" s="15" t="inlineStr">
        <is>
          <t>Variable speed drive / UPS</t>
        </is>
      </c>
      <c r="G197" s="15" t="inlineStr">
        <is>
          <t>OHE – Overheating</t>
        </is>
      </c>
    </row>
    <row r="198">
      <c r="C198" s="15" t="inlineStr">
        <is>
          <t>Refractory lining (furnace, ladle, tundish, kiln)</t>
        </is>
      </c>
      <c r="D198" s="15" t="inlineStr">
        <is>
          <t>Taphole / nozzle / well block</t>
        </is>
      </c>
      <c r="F198" s="15" t="inlineStr">
        <is>
          <t>Variable speed drive / UPS</t>
        </is>
      </c>
      <c r="G198" s="15" t="inlineStr">
        <is>
          <t>SPO – Spurious operation</t>
        </is>
      </c>
    </row>
    <row r="199">
      <c r="C199" s="15" t="inlineStr">
        <is>
          <t>Refractory lining (furnace, ladle, tundish, kiln)</t>
        </is>
      </c>
      <c r="D199" s="15" t="inlineStr">
        <is>
          <t>Purging plug</t>
        </is>
      </c>
      <c r="F199" s="15" t="inlineStr">
        <is>
          <t>Variable speed drive / UPS</t>
        </is>
      </c>
      <c r="G199" s="15" t="inlineStr">
        <is>
          <t>OTH – Other</t>
        </is>
      </c>
    </row>
    <row r="200">
      <c r="C200" s="15" t="inlineStr">
        <is>
          <t>Refractory lining (furnace, ladle, tundish, kiln)</t>
        </is>
      </c>
      <c r="D200" s="15" t="inlineStr">
        <is>
          <t>Anchors</t>
        </is>
      </c>
      <c r="F200" s="15" t="inlineStr">
        <is>
          <t>Hydraulic power unit / system</t>
        </is>
      </c>
      <c r="G200" s="15" t="inlineStr">
        <is>
          <t>LOO – Low pressure / output</t>
        </is>
      </c>
    </row>
    <row r="201">
      <c r="C201" s="15" t="inlineStr">
        <is>
          <t>Refractory lining (furnace, ladle, tundish, kiln)</t>
        </is>
      </c>
      <c r="D201" s="15" t="inlineStr">
        <is>
          <t>Shell</t>
        </is>
      </c>
      <c r="F201" s="15" t="inlineStr">
        <is>
          <t>Hydraulic power unit / system</t>
        </is>
      </c>
      <c r="G201" s="15" t="inlineStr">
        <is>
          <t>ELU – External leakage – hydraulic oil</t>
        </is>
      </c>
    </row>
    <row r="202">
      <c r="C202" s="15" t="inlineStr">
        <is>
          <t>Burner / combustion system</t>
        </is>
      </c>
      <c r="D202" s="15" t="inlineStr">
        <is>
          <t>Burner nozzle</t>
        </is>
      </c>
      <c r="F202" s="15" t="inlineStr">
        <is>
          <t>Hydraulic power unit / system</t>
        </is>
      </c>
      <c r="G202" s="15" t="inlineStr">
        <is>
          <t>BRD – Breakdown</t>
        </is>
      </c>
    </row>
    <row r="203">
      <c r="C203" s="15" t="inlineStr">
        <is>
          <t>Burner / combustion system</t>
        </is>
      </c>
      <c r="D203" s="15" t="inlineStr">
        <is>
          <t>Igniter</t>
        </is>
      </c>
      <c r="F203" s="15" t="inlineStr">
        <is>
          <t>Hydraulic power unit / system</t>
        </is>
      </c>
      <c r="G203" s="15" t="inlineStr">
        <is>
          <t>OHE – Overheating</t>
        </is>
      </c>
    </row>
    <row r="204">
      <c r="C204" s="15" t="inlineStr">
        <is>
          <t>Burner / combustion system</t>
        </is>
      </c>
      <c r="D204" s="15" t="inlineStr">
        <is>
          <t>Flame scanner</t>
        </is>
      </c>
      <c r="F204" s="15" t="inlineStr">
        <is>
          <t>Hydraulic power unit / system</t>
        </is>
      </c>
      <c r="G204" s="15" t="inlineStr">
        <is>
          <t>ERO – Erratic operation</t>
        </is>
      </c>
    </row>
    <row r="205">
      <c r="C205" s="15" t="inlineStr">
        <is>
          <t>Burner / combustion system</t>
        </is>
      </c>
      <c r="D205" s="15" t="inlineStr">
        <is>
          <t>Fuel train valves (double block &amp; bleed)</t>
        </is>
      </c>
      <c r="F205" s="15" t="inlineStr">
        <is>
          <t>Hydraulic power unit / system</t>
        </is>
      </c>
      <c r="G205" s="15" t="inlineStr">
        <is>
          <t>SPO – Uncontrolled movement</t>
        </is>
      </c>
    </row>
    <row r="206">
      <c r="C206" s="15" t="inlineStr">
        <is>
          <t>Burner / combustion system</t>
        </is>
      </c>
      <c r="D206" s="15" t="inlineStr">
        <is>
          <t>Combustion air fan / damper</t>
        </is>
      </c>
      <c r="F206" s="15" t="inlineStr">
        <is>
          <t>Hydraulic power unit / system</t>
        </is>
      </c>
      <c r="G206" s="15" t="inlineStr">
        <is>
          <t>PLU – Filter blocked</t>
        </is>
      </c>
    </row>
    <row r="207">
      <c r="C207" s="15" t="inlineStr">
        <is>
          <t>Burner / combustion system</t>
        </is>
      </c>
      <c r="D207" s="15" t="inlineStr">
        <is>
          <t>Burner management system (BMS)</t>
        </is>
      </c>
      <c r="F207" s="15" t="inlineStr">
        <is>
          <t>Hydraulic power unit / system</t>
        </is>
      </c>
      <c r="G207" s="15" t="inlineStr">
        <is>
          <t>OTH – Other</t>
        </is>
      </c>
    </row>
    <row r="208">
      <c r="C208" s="15" t="inlineStr">
        <is>
          <t>Burner / combustion system</t>
        </is>
      </c>
      <c r="D208" s="15" t="inlineStr">
        <is>
          <t>Pressure switches</t>
        </is>
      </c>
      <c r="F208" s="15" t="inlineStr">
        <is>
          <t>Overhead crane / hoist (incl. ladle crane)</t>
        </is>
      </c>
      <c r="G208" s="15" t="inlineStr">
        <is>
          <t>Load drop / failure to hold load</t>
        </is>
      </c>
    </row>
    <row r="209">
      <c r="C209" s="15" t="inlineStr">
        <is>
          <t>Cooling tower / closed cooling circuit</t>
        </is>
      </c>
      <c r="D209" s="15" t="inlineStr">
        <is>
          <t>Fans and drives</t>
        </is>
      </c>
      <c r="F209" s="15" t="inlineStr">
        <is>
          <t>Overhead crane / hoist (incl. ladle crane)</t>
        </is>
      </c>
      <c r="G209" s="15" t="inlineStr">
        <is>
          <t>Overtravel / failure to stop</t>
        </is>
      </c>
    </row>
    <row r="210">
      <c r="C210" s="15" t="inlineStr">
        <is>
          <t>Cooling tower / closed cooling circuit</t>
        </is>
      </c>
      <c r="D210" s="15" t="inlineStr">
        <is>
          <t>Fill / packing</t>
        </is>
      </c>
      <c r="F210" s="15" t="inlineStr">
        <is>
          <t>Overhead crane / hoist (incl. ladle crane)</t>
        </is>
      </c>
      <c r="G210" s="15" t="inlineStr">
        <is>
          <t>Stoppage with load suspended</t>
        </is>
      </c>
    </row>
    <row r="211">
      <c r="C211" s="15" t="inlineStr">
        <is>
          <t>Cooling tower / closed cooling circuit</t>
        </is>
      </c>
      <c r="D211" s="15" t="inlineStr">
        <is>
          <t>Basin</t>
        </is>
      </c>
      <c r="F211" s="15" t="inlineStr">
        <is>
          <t>Overhead crane / hoist (incl. ladle crane)</t>
        </is>
      </c>
      <c r="G211" s="15" t="inlineStr">
        <is>
          <t>Uncontrolled movement</t>
        </is>
      </c>
    </row>
    <row r="212">
      <c r="C212" s="15" t="inlineStr">
        <is>
          <t>Cooling tower / closed cooling circuit</t>
        </is>
      </c>
      <c r="D212" s="15" t="inlineStr">
        <is>
          <t>Circulation pumps</t>
        </is>
      </c>
      <c r="F212" s="15" t="inlineStr">
        <is>
          <t>Overhead crane / hoist (incl. ladle crane)</t>
        </is>
      </c>
      <c r="G212" s="15" t="inlineStr">
        <is>
          <t>Structural crack / deformation</t>
        </is>
      </c>
    </row>
    <row r="213">
      <c r="C213" s="15" t="inlineStr">
        <is>
          <t>Cooling tower / closed cooling circuit</t>
        </is>
      </c>
      <c r="D213" s="15" t="inlineStr">
        <is>
          <t>Water treatment / dosing</t>
        </is>
      </c>
      <c r="F213" s="15" t="inlineStr">
        <is>
          <t>Overhead crane / hoist (incl. ladle crane)</t>
        </is>
      </c>
      <c r="G213" s="15" t="inlineStr">
        <is>
          <t>Collision</t>
        </is>
      </c>
    </row>
    <row r="214">
      <c r="C214" s="15" t="inlineStr">
        <is>
          <t>Cooling tower / closed cooling circuit</t>
        </is>
      </c>
      <c r="D214" s="15" t="inlineStr">
        <is>
          <t>Drift eliminators</t>
        </is>
      </c>
      <c r="F214" s="15" t="inlineStr">
        <is>
          <t>Overhead crane / hoist (incl. ladle crane)</t>
        </is>
      </c>
      <c r="G214" s="15" t="inlineStr">
        <is>
          <t>OTH – Other</t>
        </is>
      </c>
    </row>
    <row r="215">
      <c r="C215" s="15" t="inlineStr">
        <is>
          <t>Cooling tower / closed cooling circuit</t>
        </is>
      </c>
      <c r="D215" s="15" t="inlineStr">
        <is>
          <t>Plate heat exchanger</t>
        </is>
      </c>
      <c r="F215" s="15" t="inlineStr">
        <is>
          <t>Water-cooled element (panel, roof, lance, tuyere, stave, mould)</t>
        </is>
      </c>
      <c r="G215" s="15" t="inlineStr">
        <is>
          <t>Water leak into furnace / vessel</t>
        </is>
      </c>
    </row>
    <row r="216">
      <c r="C216" s="15" t="inlineStr">
        <is>
          <t>Bag filter / dust collector</t>
        </is>
      </c>
      <c r="D216" s="15" t="inlineStr">
        <is>
          <t>Filter bags</t>
        </is>
      </c>
      <c r="F216" s="15" t="inlineStr">
        <is>
          <t>Water-cooled element (panel, roof, lance, tuyere, stave, mould)</t>
        </is>
      </c>
      <c r="G216" s="15" t="inlineStr">
        <is>
          <t>Low / no cooling flow</t>
        </is>
      </c>
    </row>
    <row r="217">
      <c r="C217" s="15" t="inlineStr">
        <is>
          <t>Bag filter / dust collector</t>
        </is>
      </c>
      <c r="D217" s="15" t="inlineStr">
        <is>
          <t>Cages</t>
        </is>
      </c>
      <c r="F217" s="15" t="inlineStr">
        <is>
          <t>Water-cooled element (panel, roof, lance, tuyere, stave, mould)</t>
        </is>
      </c>
      <c r="G217" s="15" t="inlineStr">
        <is>
          <t>Overheating / hot spot</t>
        </is>
      </c>
    </row>
    <row r="218">
      <c r="C218" s="15" t="inlineStr">
        <is>
          <t>Bag filter / dust collector</t>
        </is>
      </c>
      <c r="D218" s="15" t="inlineStr">
        <is>
          <t>Pulse-jet cleaning valves</t>
        </is>
      </c>
      <c r="F218" s="15" t="inlineStr">
        <is>
          <t>Water-cooled element (panel, roof, lance, tuyere, stave, mould)</t>
        </is>
      </c>
      <c r="G218" s="15" t="inlineStr">
        <is>
          <t>Cracking / burn-through</t>
        </is>
      </c>
    </row>
    <row r="219">
      <c r="C219" s="15" t="inlineStr">
        <is>
          <t>Bag filter / dust collector</t>
        </is>
      </c>
      <c r="D219" s="15" t="inlineStr">
        <is>
          <t>Hopper and rotary valve</t>
        </is>
      </c>
      <c r="F219" s="15" t="inlineStr">
        <is>
          <t>Water-cooled element (panel, roof, lance, tuyere, stave, mould)</t>
        </is>
      </c>
      <c r="G219" s="15" t="inlineStr">
        <is>
          <t>Leak detection fails to alarm</t>
        </is>
      </c>
    </row>
    <row r="220">
      <c r="C220" s="15" t="inlineStr">
        <is>
          <t>Bag filter / dust collector</t>
        </is>
      </c>
      <c r="D220" s="15" t="inlineStr">
        <is>
          <t>Housing</t>
        </is>
      </c>
      <c r="F220" s="15" t="inlineStr">
        <is>
          <t>Water-cooled element (panel, roof, lance, tuyere, stave, mould)</t>
        </is>
      </c>
      <c r="G220" s="15" t="inlineStr">
        <is>
          <t>OTH – Other</t>
        </is>
      </c>
    </row>
    <row r="221">
      <c r="C221" s="15" t="inlineStr">
        <is>
          <t>Bag filter / dust collector</t>
        </is>
      </c>
      <c r="D221" s="15" t="inlineStr">
        <is>
          <t>Explosion vents / isolation</t>
        </is>
      </c>
      <c r="F221" s="15" t="inlineStr">
        <is>
          <t>Refractory lining (furnace, ladle, tundish, kiln)</t>
        </is>
      </c>
      <c r="G221" s="15" t="inlineStr">
        <is>
          <t>Excessive wear / thinning</t>
        </is>
      </c>
    </row>
    <row r="222">
      <c r="C222" s="15" t="inlineStr">
        <is>
          <t>Bag filter / dust collector</t>
        </is>
      </c>
      <c r="D222" s="15" t="inlineStr">
        <is>
          <t>Differential pressure instruments</t>
        </is>
      </c>
      <c r="F222" s="15" t="inlineStr">
        <is>
          <t>Refractory lining (furnace, ladle, tundish, kiln)</t>
        </is>
      </c>
      <c r="G222" s="15" t="inlineStr">
        <is>
          <t>Spalling / cracking</t>
        </is>
      </c>
    </row>
    <row r="223">
      <c r="C223" s="15" t="inlineStr">
        <is>
          <t>Ladle &amp; ladle / transfer car</t>
        </is>
      </c>
      <c r="D223" s="15" t="inlineStr">
        <is>
          <t>Ladle shell and trunnions</t>
        </is>
      </c>
      <c r="F223" s="15" t="inlineStr">
        <is>
          <t>Refractory lining (furnace, ladle, tundish, kiln)</t>
        </is>
      </c>
      <c r="G223" s="15" t="inlineStr">
        <is>
          <t>Breakout / burn-through</t>
        </is>
      </c>
    </row>
    <row r="224">
      <c r="C224" s="15" t="inlineStr">
        <is>
          <t>Ladle &amp; ladle / transfer car</t>
        </is>
      </c>
      <c r="D224" s="15" t="inlineStr">
        <is>
          <t>Slide gate</t>
        </is>
      </c>
      <c r="F224" s="15" t="inlineStr">
        <is>
          <t>Refractory lining (furnace, ladle, tundish, kiln)</t>
        </is>
      </c>
      <c r="G224" s="15" t="inlineStr">
        <is>
          <t>Hot spot on shell</t>
        </is>
      </c>
    </row>
    <row r="225">
      <c r="C225" s="15" t="inlineStr">
        <is>
          <t>Ladle &amp; ladle / transfer car</t>
        </is>
      </c>
      <c r="D225" s="15" t="inlineStr">
        <is>
          <t>Porous plug</t>
        </is>
      </c>
      <c r="F225" s="15" t="inlineStr">
        <is>
          <t>Refractory lining (furnace, ladle, tundish, kiln)</t>
        </is>
      </c>
      <c r="G225" s="15" t="inlineStr">
        <is>
          <t>Moisture in lining</t>
        </is>
      </c>
    </row>
    <row r="226">
      <c r="C226" s="15" t="inlineStr">
        <is>
          <t>Ladle &amp; ladle / transfer car</t>
        </is>
      </c>
      <c r="D226" s="15" t="inlineStr">
        <is>
          <t>Car wheels and rails</t>
        </is>
      </c>
      <c r="F226" s="15" t="inlineStr">
        <is>
          <t>Refractory lining (furnace, ladle, tundish, kiln)</t>
        </is>
      </c>
      <c r="G226" s="15" t="inlineStr">
        <is>
          <t>OTH – Other</t>
        </is>
      </c>
    </row>
    <row r="227">
      <c r="C227" s="15" t="inlineStr">
        <is>
          <t>Ladle &amp; ladle / transfer car</t>
        </is>
      </c>
      <c r="D227" s="15" t="inlineStr">
        <is>
          <t>Car drive</t>
        </is>
      </c>
      <c r="F227" s="15" t="inlineStr">
        <is>
          <t>Burner / combustion system</t>
        </is>
      </c>
      <c r="G227" s="15" t="inlineStr">
        <is>
          <t>FTS – Fail to ignite</t>
        </is>
      </c>
    </row>
    <row r="228">
      <c r="C228" s="15" t="inlineStr">
        <is>
          <t>Ladle &amp; ladle / transfer car</t>
        </is>
      </c>
      <c r="D228" s="15" t="inlineStr">
        <is>
          <t>Tilting mechanism</t>
        </is>
      </c>
      <c r="F228" s="15" t="inlineStr">
        <is>
          <t>Burner / combustion system</t>
        </is>
      </c>
      <c r="G228" s="15" t="inlineStr">
        <is>
          <t>UST – Flame failure / flame-out</t>
        </is>
      </c>
    </row>
    <row r="229">
      <c r="C229" s="15" t="inlineStr">
        <is>
          <t>Ladle &amp; ladle / transfer car</t>
        </is>
      </c>
      <c r="D229" s="15" t="inlineStr">
        <is>
          <t>Power cable / festoon</t>
        </is>
      </c>
      <c r="F229" s="15" t="inlineStr">
        <is>
          <t>Burner / combustion system</t>
        </is>
      </c>
      <c r="G229" s="15" t="inlineStr">
        <is>
          <t>FTC – Fail to shut off fuel</t>
        </is>
      </c>
    </row>
    <row r="230">
      <c r="F230" s="15" t="inlineStr">
        <is>
          <t>Burner / combustion system</t>
        </is>
      </c>
      <c r="G230" s="15" t="inlineStr">
        <is>
          <t>PDE – Incorrect air / fuel ratio</t>
        </is>
      </c>
    </row>
    <row r="231">
      <c r="F231" s="15" t="inlineStr">
        <is>
          <t>Burner / combustion system</t>
        </is>
      </c>
      <c r="G231" s="15" t="inlineStr">
        <is>
          <t>OTH – Flashback / backfire</t>
        </is>
      </c>
    </row>
    <row r="232">
      <c r="F232" s="15" t="inlineStr">
        <is>
          <t>Burner / combustion system</t>
        </is>
      </c>
      <c r="G232" s="15" t="inlineStr">
        <is>
          <t>ELP – Fuel gas leakage</t>
        </is>
      </c>
    </row>
    <row r="233">
      <c r="F233" s="15" t="inlineStr">
        <is>
          <t>Burner / combustion system</t>
        </is>
      </c>
      <c r="G233" s="15" t="inlineStr">
        <is>
          <t>OTH – Other</t>
        </is>
      </c>
    </row>
    <row r="234">
      <c r="F234" s="15" t="inlineStr">
        <is>
          <t>Cooling tower / closed cooling circuit</t>
        </is>
      </c>
      <c r="G234" s="15" t="inlineStr">
        <is>
          <t>LOO – Insufficient cooling</t>
        </is>
      </c>
    </row>
    <row r="235">
      <c r="F235" s="15" t="inlineStr">
        <is>
          <t>Cooling tower / closed cooling circuit</t>
        </is>
      </c>
      <c r="G235" s="15" t="inlineStr">
        <is>
          <t>PLU – Fouling / scaling</t>
        </is>
      </c>
    </row>
    <row r="236">
      <c r="F236" s="15" t="inlineStr">
        <is>
          <t>Cooling tower / closed cooling circuit</t>
        </is>
      </c>
      <c r="G236" s="15" t="inlineStr">
        <is>
          <t>ELP – Water leakage</t>
        </is>
      </c>
    </row>
    <row r="237">
      <c r="F237" s="15" t="inlineStr">
        <is>
          <t>Cooling tower / closed cooling circuit</t>
        </is>
      </c>
      <c r="G237" s="15" t="inlineStr">
        <is>
          <t>VIB – Fan vibration</t>
        </is>
      </c>
    </row>
    <row r="238">
      <c r="F238" s="15" t="inlineStr">
        <is>
          <t>Cooling tower / closed cooling circuit</t>
        </is>
      </c>
      <c r="G238" s="15" t="inlineStr">
        <is>
          <t>PDE – Water chemistry out of specification</t>
        </is>
      </c>
    </row>
    <row r="239">
      <c r="F239" s="15" t="inlineStr">
        <is>
          <t>Cooling tower / closed cooling circuit</t>
        </is>
      </c>
      <c r="G239" s="15" t="inlineStr">
        <is>
          <t>STD – Structural deficiency</t>
        </is>
      </c>
    </row>
    <row r="240">
      <c r="F240" s="15" t="inlineStr">
        <is>
          <t>Cooling tower / closed cooling circuit</t>
        </is>
      </c>
      <c r="G240" s="15" t="inlineStr">
        <is>
          <t>OTH – Other</t>
        </is>
      </c>
    </row>
    <row r="241">
      <c r="F241" s="15" t="inlineStr">
        <is>
          <t>Bag filter / dust collector</t>
        </is>
      </c>
      <c r="G241" s="15" t="inlineStr">
        <is>
          <t>PLU – High differential pressure / bag blinding</t>
        </is>
      </c>
    </row>
    <row r="242">
      <c r="F242" s="15" t="inlineStr">
        <is>
          <t>Bag filter / dust collector</t>
        </is>
      </c>
      <c r="G242" s="15" t="inlineStr">
        <is>
          <t>ELP – Bag rupture – dust emission</t>
        </is>
      </c>
    </row>
    <row r="243">
      <c r="F243" s="15" t="inlineStr">
        <is>
          <t>Bag filter / dust collector</t>
        </is>
      </c>
      <c r="G243" s="15" t="inlineStr">
        <is>
          <t>OTH – Fire / explosion</t>
        </is>
      </c>
    </row>
    <row r="244">
      <c r="F244" s="15" t="inlineStr">
        <is>
          <t>Bag filter / dust collector</t>
        </is>
      </c>
      <c r="G244" s="15" t="inlineStr">
        <is>
          <t>PLU – Hopper blockage</t>
        </is>
      </c>
    </row>
    <row r="245">
      <c r="F245" s="15" t="inlineStr">
        <is>
          <t>Bag filter / dust collector</t>
        </is>
      </c>
      <c r="G245" s="15" t="inlineStr">
        <is>
          <t>FTF – Cleaning system failure</t>
        </is>
      </c>
    </row>
    <row r="246">
      <c r="F246" s="15" t="inlineStr">
        <is>
          <t>Bag filter / dust collector</t>
        </is>
      </c>
      <c r="G246" s="15" t="inlineStr">
        <is>
          <t>OTH – Other</t>
        </is>
      </c>
    </row>
    <row r="247">
      <c r="F247" s="15" t="inlineStr">
        <is>
          <t>Ladle &amp; ladle / transfer car</t>
        </is>
      </c>
      <c r="G247" s="15" t="inlineStr">
        <is>
          <t>STD – Trunnion / shell crack</t>
        </is>
      </c>
    </row>
    <row r="248">
      <c r="F248" s="15" t="inlineStr">
        <is>
          <t>Ladle &amp; ladle / transfer car</t>
        </is>
      </c>
      <c r="G248" s="15" t="inlineStr">
        <is>
          <t>FTC – Slide gate fails to close</t>
        </is>
      </c>
    </row>
    <row r="249">
      <c r="F249" s="15" t="inlineStr">
        <is>
          <t>Ladle &amp; ladle / transfer car</t>
        </is>
      </c>
      <c r="G249" s="15" t="inlineStr">
        <is>
          <t>LCP – Slide gate leakage</t>
        </is>
      </c>
    </row>
    <row r="250">
      <c r="F250" s="15" t="inlineStr">
        <is>
          <t>Ladle &amp; ladle / transfer car</t>
        </is>
      </c>
      <c r="G250" s="15" t="inlineStr">
        <is>
          <t>FTS – Car fails to travel</t>
        </is>
      </c>
    </row>
    <row r="251">
      <c r="F251" s="15" t="inlineStr">
        <is>
          <t>Ladle &amp; ladle / transfer car</t>
        </is>
      </c>
      <c r="G251" s="15" t="inlineStr">
        <is>
          <t>OTH – Derailment / collision</t>
        </is>
      </c>
    </row>
    <row r="252">
      <c r="F252" s="15" t="inlineStr">
        <is>
          <t>Ladle &amp; ladle / transfer car</t>
        </is>
      </c>
      <c r="G252" s="15" t="inlineStr">
        <is>
          <t>BRD – Breakout</t>
        </is>
      </c>
    </row>
    <row r="253">
      <c r="F253" s="15" t="inlineStr">
        <is>
          <t>Ladle &amp; ladle / transfer car</t>
        </is>
      </c>
      <c r="G253" s="15" t="inlineStr">
        <is>
          <t>OTH – Other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2" customWidth="1" min="3" max="3"/>
    <col width="70" customWidth="1" min="4" max="4"/>
    <col width="4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RATING SCALES</t>
        </is>
      </c>
    </row>
    <row r="2">
      <c r="A2" s="2" t="inlineStr">
        <is>
          <t>Typical process-plant scales – calibrate Occurrence with site failure history / reliability data and align Severity with the HAZOP risk matrix before the study.</t>
        </is>
      </c>
    </row>
    <row r="4">
      <c r="B4" s="7" t="inlineStr">
        <is>
          <t>Severity (S)</t>
        </is>
      </c>
      <c r="C4" s="7" t="inlineStr">
        <is>
          <t>Rank</t>
        </is>
      </c>
      <c r="D4" s="7" t="inlineStr">
        <is>
          <t>Criteria</t>
        </is>
      </c>
    </row>
    <row r="5">
      <c r="B5" s="10" t="inlineStr">
        <is>
          <t>10 – Hazardous – without warning</t>
        </is>
      </c>
      <c r="C5" s="12" t="inlineStr">
        <is>
          <t>Hazardous – without warning</t>
        </is>
      </c>
      <c r="D5" s="12" t="inlineStr">
        <is>
          <t>Failure can cause fatality, major fire / explosion or major environmental release without warning</t>
        </is>
      </c>
    </row>
    <row r="6">
      <c r="B6" s="10" t="inlineStr">
        <is>
          <t>9 – Hazardous – with warning</t>
        </is>
      </c>
      <c r="C6" s="12" t="inlineStr">
        <is>
          <t>Hazardous – with warning</t>
        </is>
      </c>
      <c r="D6" s="12" t="inlineStr">
        <is>
          <t>Failure can cause fatality, serious injury or major release, with some warning</t>
        </is>
      </c>
    </row>
    <row r="7">
      <c r="B7" s="10" t="inlineStr">
        <is>
          <t>8 – Very high</t>
        </is>
      </c>
      <c r="C7" s="12" t="inlineStr">
        <is>
          <t>Very high</t>
        </is>
      </c>
      <c r="D7" s="12" t="inlineStr">
        <is>
          <t>Loss of primary function; plant / unit shutdown &gt; 1 week or major equipment damage</t>
        </is>
      </c>
    </row>
    <row r="8">
      <c r="B8" s="10" t="inlineStr">
        <is>
          <t>7 – High</t>
        </is>
      </c>
      <c r="C8" s="12" t="inlineStr">
        <is>
          <t>High</t>
        </is>
      </c>
      <c r="D8" s="12" t="inlineStr">
        <is>
          <t>Loss of function; unit shutdown or major production loss of several days</t>
        </is>
      </c>
    </row>
    <row r="9">
      <c r="B9" s="10" t="inlineStr">
        <is>
          <t>6 – Moderate</t>
        </is>
      </c>
      <c r="C9" s="12" t="inlineStr">
        <is>
          <t>Moderate</t>
        </is>
      </c>
      <c r="D9" s="12" t="inlineStr">
        <is>
          <t>Partial loss of function; reduced throughput or quality; significant repair cost</t>
        </is>
      </c>
    </row>
    <row r="10">
      <c r="B10" s="10" t="inlineStr">
        <is>
          <t>5 – Low</t>
        </is>
      </c>
      <c r="C10" s="12" t="inlineStr">
        <is>
          <t>Low</t>
        </is>
      </c>
      <c r="D10" s="12" t="inlineStr">
        <is>
          <t>Reduced performance; repair without shutdown at notable cost; minor reportable incident</t>
        </is>
      </c>
    </row>
    <row r="11">
      <c r="B11" s="10" t="inlineStr">
        <is>
          <t>4 – Very low</t>
        </is>
      </c>
      <c r="C11" s="12" t="inlineStr">
        <is>
          <t>Very low</t>
        </is>
      </c>
      <c r="D11" s="12" t="inlineStr">
        <is>
          <t>Minor performance degradation noticed by operators; routine repair</t>
        </is>
      </c>
    </row>
    <row r="12">
      <c r="B12" s="10" t="inlineStr">
        <is>
          <t>3 – Minor</t>
        </is>
      </c>
      <c r="C12" s="12" t="inlineStr">
        <is>
          <t>Minor</t>
        </is>
      </c>
      <c r="D12" s="12" t="inlineStr">
        <is>
          <t>Minor effect on performance; repair at next opportunity</t>
        </is>
      </c>
    </row>
    <row r="13">
      <c r="B13" s="10" t="inlineStr">
        <is>
          <t>2 – Very minor</t>
        </is>
      </c>
      <c r="C13" s="12" t="inlineStr">
        <is>
          <t>Very minor</t>
        </is>
      </c>
      <c r="D13" s="12" t="inlineStr">
        <is>
          <t>Negligible effect; cosmetic or nuisance</t>
        </is>
      </c>
    </row>
    <row r="14">
      <c r="B14" s="10" t="inlineStr">
        <is>
          <t>1 – None</t>
        </is>
      </c>
      <c r="C14" s="12" t="inlineStr">
        <is>
          <t>None</t>
        </is>
      </c>
      <c r="D14" s="12" t="inlineStr">
        <is>
          <t>No discernible effect</t>
        </is>
      </c>
    </row>
    <row r="16">
      <c r="B16" s="7" t="inlineStr">
        <is>
          <t>Occurrence (O)</t>
        </is>
      </c>
      <c r="C16" s="7" t="inlineStr">
        <is>
          <t>Rank</t>
        </is>
      </c>
      <c r="D16" s="7" t="inlineStr">
        <is>
          <t>Criteria</t>
        </is>
      </c>
    </row>
    <row r="17">
      <c r="B17" s="10" t="inlineStr">
        <is>
          <t>10 – Very high</t>
        </is>
      </c>
      <c r="C17" s="12" t="inlineStr">
        <is>
          <t>Very high</t>
        </is>
      </c>
      <c r="D17" s="12" t="inlineStr">
        <is>
          <t>More than once per month</t>
        </is>
      </c>
    </row>
    <row r="18">
      <c r="B18" s="10" t="inlineStr">
        <is>
          <t>9 – Very high</t>
        </is>
      </c>
      <c r="C18" s="12" t="inlineStr">
        <is>
          <t>Very high</t>
        </is>
      </c>
      <c r="D18" s="12" t="inlineStr">
        <is>
          <t>Once per 1–3 months</t>
        </is>
      </c>
    </row>
    <row r="19">
      <c r="B19" s="10" t="inlineStr">
        <is>
          <t>8 – High</t>
        </is>
      </c>
      <c r="C19" s="12" t="inlineStr">
        <is>
          <t>High</t>
        </is>
      </c>
      <c r="D19" s="12" t="inlineStr">
        <is>
          <t>Once per 3–6 months</t>
        </is>
      </c>
    </row>
    <row r="20">
      <c r="B20" s="10" t="inlineStr">
        <is>
          <t>7 – High</t>
        </is>
      </c>
      <c r="C20" s="12" t="inlineStr">
        <is>
          <t>High</t>
        </is>
      </c>
      <c r="D20" s="12" t="inlineStr">
        <is>
          <t>Once per 6–12 months</t>
        </is>
      </c>
    </row>
    <row r="21">
      <c r="B21" s="10" t="inlineStr">
        <is>
          <t>6 – Moderate</t>
        </is>
      </c>
      <c r="C21" s="12" t="inlineStr">
        <is>
          <t>Moderate</t>
        </is>
      </c>
      <c r="D21" s="12" t="inlineStr">
        <is>
          <t>Once per 1–2 years</t>
        </is>
      </c>
    </row>
    <row r="22">
      <c r="B22" s="10" t="inlineStr">
        <is>
          <t>5 – Moderate</t>
        </is>
      </c>
      <c r="C22" s="12" t="inlineStr">
        <is>
          <t>Moderate</t>
        </is>
      </c>
      <c r="D22" s="12" t="inlineStr">
        <is>
          <t>Once per 2–5 years</t>
        </is>
      </c>
    </row>
    <row r="23">
      <c r="B23" s="10" t="inlineStr">
        <is>
          <t>4 – Low</t>
        </is>
      </c>
      <c r="C23" s="12" t="inlineStr">
        <is>
          <t>Low</t>
        </is>
      </c>
      <c r="D23" s="12" t="inlineStr">
        <is>
          <t>Once per 5–10 years</t>
        </is>
      </c>
    </row>
    <row r="24">
      <c r="B24" s="10" t="inlineStr">
        <is>
          <t>3 – Low</t>
        </is>
      </c>
      <c r="C24" s="12" t="inlineStr">
        <is>
          <t>Low</t>
        </is>
      </c>
      <c r="D24" s="12" t="inlineStr">
        <is>
          <t>Once per 10–20 years</t>
        </is>
      </c>
    </row>
    <row r="25">
      <c r="B25" s="10" t="inlineStr">
        <is>
          <t>2 – Remote</t>
        </is>
      </c>
      <c r="C25" s="12" t="inlineStr">
        <is>
          <t>Remote</t>
        </is>
      </c>
      <c r="D25" s="12" t="inlineStr">
        <is>
          <t>Once per 20–50 years</t>
        </is>
      </c>
    </row>
    <row r="26">
      <c r="B26" s="10" t="inlineStr">
        <is>
          <t>1 – Extremely remote</t>
        </is>
      </c>
      <c r="C26" s="12" t="inlineStr">
        <is>
          <t>Extremely remote</t>
        </is>
      </c>
      <c r="D26" s="12" t="inlineStr">
        <is>
          <t>Less than once per 50 years</t>
        </is>
      </c>
    </row>
    <row r="28">
      <c r="B28" s="7" t="inlineStr">
        <is>
          <t>Detection (D)</t>
        </is>
      </c>
      <c r="C28" s="7" t="inlineStr">
        <is>
          <t>Rank</t>
        </is>
      </c>
      <c r="D28" s="7" t="inlineStr">
        <is>
          <t>Criteria</t>
        </is>
      </c>
    </row>
    <row r="29">
      <c r="B29" s="10" t="inlineStr">
        <is>
          <t>10 – Absolute uncertainty</t>
        </is>
      </c>
      <c r="C29" s="12" t="inlineStr">
        <is>
          <t>Absolute uncertainty</t>
        </is>
      </c>
      <c r="D29" s="12" t="inlineStr">
        <is>
          <t>Hidden failure – no means of detection before demand / functional failure</t>
        </is>
      </c>
    </row>
    <row r="30">
      <c r="B30" s="10" t="inlineStr">
        <is>
          <t>9 – Very remote</t>
        </is>
      </c>
      <c r="C30" s="12" t="inlineStr">
        <is>
          <t>Very remote</t>
        </is>
      </c>
      <c r="D30" s="12" t="inlineStr">
        <is>
          <t>Detected only after functional failure has occurred</t>
        </is>
      </c>
    </row>
    <row r="31">
      <c r="B31" s="10" t="inlineStr">
        <is>
          <t>8 – Remote</t>
        </is>
      </c>
      <c r="C31" s="12" t="inlineStr">
        <is>
          <t>Remote</t>
        </is>
      </c>
      <c r="D31" s="12" t="inlineStr">
        <is>
          <t>Detected only at proof test or shutdown inspection</t>
        </is>
      </c>
    </row>
    <row r="32">
      <c r="B32" s="10" t="inlineStr">
        <is>
          <t>7 – Very low</t>
        </is>
      </c>
      <c r="C32" s="12" t="inlineStr">
        <is>
          <t>Very low</t>
        </is>
      </c>
      <c r="D32" s="12" t="inlineStr">
        <is>
          <t>Detected only by operator senses (sight, sound, smell) on rounds</t>
        </is>
      </c>
    </row>
    <row r="33">
      <c r="B33" s="10" t="inlineStr">
        <is>
          <t>6 – Low</t>
        </is>
      </c>
      <c r="C33" s="12" t="inlineStr">
        <is>
          <t>Low</t>
        </is>
      </c>
      <c r="D33" s="12" t="inlineStr">
        <is>
          <t>Periodic inspection with limited ability to detect the failure mechanism</t>
        </is>
      </c>
    </row>
    <row r="34">
      <c r="B34" s="10" t="inlineStr">
        <is>
          <t>5 – Moderate</t>
        </is>
      </c>
      <c r="C34" s="12" t="inlineStr">
        <is>
          <t>Moderate</t>
        </is>
      </c>
      <c r="D34" s="12" t="inlineStr">
        <is>
          <t>Periodic condition monitoring (e.g. quarterly) or instrumented operator rounds</t>
        </is>
      </c>
    </row>
    <row r="35">
      <c r="B35" s="10" t="inlineStr">
        <is>
          <t>4 – Moderately high</t>
        </is>
      </c>
      <c r="C35" s="12" t="inlineStr">
        <is>
          <t>Moderately high</t>
        </is>
      </c>
      <c r="D35" s="12" t="inlineStr">
        <is>
          <t>Frequent condition monitoring (e.g. monthly) with good detection capability</t>
        </is>
      </c>
    </row>
    <row r="36">
      <c r="B36" s="10" t="inlineStr">
        <is>
          <t>3 – High</t>
        </is>
      </c>
      <c r="C36" s="12" t="inlineStr">
        <is>
          <t>High</t>
        </is>
      </c>
      <c r="D36" s="12" t="inlineStr">
        <is>
          <t>Online monitoring with alarm; detection with time to act</t>
        </is>
      </c>
    </row>
    <row r="37">
      <c r="B37" s="10" t="inlineStr">
        <is>
          <t>2 – Very high</t>
        </is>
      </c>
      <c r="C37" s="12" t="inlineStr">
        <is>
          <t>Very high</t>
        </is>
      </c>
      <c r="D37" s="12" t="inlineStr">
        <is>
          <t>Online monitoring with alarm and automatic protection; early detection</t>
        </is>
      </c>
    </row>
    <row r="38">
      <c r="B38" s="10" t="inlineStr">
        <is>
          <t>1 – Almost certain</t>
        </is>
      </c>
      <c r="C38" s="12" t="inlineStr">
        <is>
          <t>Almost certain</t>
        </is>
      </c>
      <c r="D38" s="12" t="inlineStr">
        <is>
          <t>Failure mechanism prevented or detected continuously well before functional failure</t>
        </is>
      </c>
    </row>
    <row r="40">
      <c r="B40" s="7" t="inlineStr">
        <is>
          <t>Action thresholds (editable)</t>
        </is>
      </c>
      <c r="C40" s="7" t="inlineStr">
        <is>
          <t>Value</t>
        </is>
      </c>
      <c r="D40" s="7" t="inlineStr">
        <is>
          <t>Meaning</t>
        </is>
      </c>
    </row>
    <row r="41">
      <c r="B41" s="10" t="inlineStr">
        <is>
          <t>Severity threshold</t>
        </is>
      </c>
      <c r="C41" s="16" t="n">
        <v>9</v>
      </c>
      <c r="D41" s="12" t="inlineStr">
        <is>
          <t>Action required for any failure mode with S at or above this value</t>
        </is>
      </c>
    </row>
    <row r="42">
      <c r="B42" s="10" t="inlineStr">
        <is>
          <t>RPN threshold</t>
        </is>
      </c>
      <c r="C42" s="16" t="n">
        <v>125</v>
      </c>
      <c r="D42" s="12" t="inlineStr">
        <is>
          <t>Action required for any failure mode with RPN at or above this value</t>
        </is>
      </c>
    </row>
    <row r="43">
      <c r="B43" s="10" t="inlineStr">
        <is>
          <t>Action Priority</t>
        </is>
      </c>
      <c r="C43" s="16" t="inlineStr">
        <is>
          <t>H</t>
        </is>
      </c>
      <c r="D43" s="12" t="inlineStr">
        <is>
          <t>Action required for every failure mode with Action Priority H (and justify M items left without action)</t>
        </is>
      </c>
    </row>
    <row r="46">
      <c r="B46" s="17" t="inlineStr">
        <is>
          <t>ACTION PRIORITY (AP) TABLE</t>
        </is>
      </c>
    </row>
    <row r="47">
      <c r="B47" s="18" t="inlineStr">
        <is>
          <t>Based on the AIAG-VDA FMEA Handbook (2019) Action Priority logic. Editable – verify against your licensed copy / company standard.</t>
        </is>
      </c>
    </row>
    <row r="49">
      <c r="B49" s="7" t="inlineStr">
        <is>
          <t>Severity band</t>
        </is>
      </c>
      <c r="C49" s="7" t="inlineStr">
        <is>
          <t>Occurrence band</t>
        </is>
      </c>
      <c r="D49" s="7" t="inlineStr">
        <is>
          <t>Detection band →</t>
        </is>
      </c>
      <c r="E49" s="7" t="inlineStr">
        <is>
          <t>D 7–10</t>
        </is>
      </c>
      <c r="F49" s="7" t="inlineStr">
        <is>
          <t>D 5–6</t>
        </is>
      </c>
      <c r="G49" s="7" t="inlineStr">
        <is>
          <t>D 2–4</t>
        </is>
      </c>
      <c r="H49" s="7" t="inlineStr">
        <is>
          <t>D 1</t>
        </is>
      </c>
    </row>
    <row r="50">
      <c r="B50" s="10" t="inlineStr">
        <is>
          <t>S 9–10</t>
        </is>
      </c>
      <c r="C50" s="6" t="inlineStr">
        <is>
          <t>O 8–10</t>
        </is>
      </c>
      <c r="E50" s="19" t="inlineStr">
        <is>
          <t>H</t>
        </is>
      </c>
      <c r="F50" s="19" t="inlineStr">
        <is>
          <t>H</t>
        </is>
      </c>
      <c r="G50" s="19" t="inlineStr">
        <is>
          <t>H</t>
        </is>
      </c>
      <c r="H50" s="19" t="inlineStr">
        <is>
          <t>H</t>
        </is>
      </c>
    </row>
    <row r="51">
      <c r="B51" s="10" t="inlineStr">
        <is>
          <t>S 9–10</t>
        </is>
      </c>
      <c r="C51" s="6" t="inlineStr">
        <is>
          <t>O 6–7</t>
        </is>
      </c>
      <c r="E51" s="19" t="inlineStr">
        <is>
          <t>H</t>
        </is>
      </c>
      <c r="F51" s="19" t="inlineStr">
        <is>
          <t>H</t>
        </is>
      </c>
      <c r="G51" s="19" t="inlineStr">
        <is>
          <t>H</t>
        </is>
      </c>
      <c r="H51" s="19" t="inlineStr">
        <is>
          <t>H</t>
        </is>
      </c>
    </row>
    <row r="52">
      <c r="B52" s="10" t="inlineStr">
        <is>
          <t>S 9–10</t>
        </is>
      </c>
      <c r="C52" s="6" t="inlineStr">
        <is>
          <t>O 4–5</t>
        </is>
      </c>
      <c r="E52" s="19" t="inlineStr">
        <is>
          <t>H</t>
        </is>
      </c>
      <c r="F52" s="19" t="inlineStr">
        <is>
          <t>H</t>
        </is>
      </c>
      <c r="G52" s="19" t="inlineStr">
        <is>
          <t>H</t>
        </is>
      </c>
      <c r="H52" s="19" t="inlineStr">
        <is>
          <t>M</t>
        </is>
      </c>
    </row>
    <row r="53">
      <c r="B53" s="10" t="inlineStr">
        <is>
          <t>S 9–10</t>
        </is>
      </c>
      <c r="C53" s="6" t="inlineStr">
        <is>
          <t>O 2–3</t>
        </is>
      </c>
      <c r="E53" s="19" t="inlineStr">
        <is>
          <t>H</t>
        </is>
      </c>
      <c r="F53" s="19" t="inlineStr">
        <is>
          <t>M</t>
        </is>
      </c>
      <c r="G53" s="19" t="inlineStr">
        <is>
          <t>L</t>
        </is>
      </c>
      <c r="H53" s="19" t="inlineStr">
        <is>
          <t>L</t>
        </is>
      </c>
    </row>
    <row r="54">
      <c r="B54" s="10" t="inlineStr">
        <is>
          <t>S 9–10</t>
        </is>
      </c>
      <c r="C54" s="6" t="inlineStr">
        <is>
          <t>O 1</t>
        </is>
      </c>
      <c r="E54" s="19" t="inlineStr">
        <is>
          <t>L</t>
        </is>
      </c>
      <c r="F54" s="19" t="inlineStr">
        <is>
          <t>L</t>
        </is>
      </c>
      <c r="G54" s="19" t="inlineStr">
        <is>
          <t>L</t>
        </is>
      </c>
      <c r="H54" s="19" t="inlineStr">
        <is>
          <t>L</t>
        </is>
      </c>
    </row>
    <row r="55">
      <c r="B55" s="10" t="inlineStr">
        <is>
          <t>S 7–8</t>
        </is>
      </c>
      <c r="C55" s="6" t="inlineStr">
        <is>
          <t>O 8–10</t>
        </is>
      </c>
      <c r="E55" s="19" t="inlineStr">
        <is>
          <t>H</t>
        </is>
      </c>
      <c r="F55" s="19" t="inlineStr">
        <is>
          <t>H</t>
        </is>
      </c>
      <c r="G55" s="19" t="inlineStr">
        <is>
          <t>H</t>
        </is>
      </c>
      <c r="H55" s="19" t="inlineStr">
        <is>
          <t>H</t>
        </is>
      </c>
    </row>
    <row r="56">
      <c r="B56" s="10" t="inlineStr">
        <is>
          <t>S 7–8</t>
        </is>
      </c>
      <c r="C56" s="6" t="inlineStr">
        <is>
          <t>O 6–7</t>
        </is>
      </c>
      <c r="E56" s="19" t="inlineStr">
        <is>
          <t>H</t>
        </is>
      </c>
      <c r="F56" s="19" t="inlineStr">
        <is>
          <t>H</t>
        </is>
      </c>
      <c r="G56" s="19" t="inlineStr">
        <is>
          <t>H</t>
        </is>
      </c>
      <c r="H56" s="19" t="inlineStr">
        <is>
          <t>M</t>
        </is>
      </c>
    </row>
    <row r="57">
      <c r="B57" s="10" t="inlineStr">
        <is>
          <t>S 7–8</t>
        </is>
      </c>
      <c r="C57" s="6" t="inlineStr">
        <is>
          <t>O 4–5</t>
        </is>
      </c>
      <c r="E57" s="19" t="inlineStr">
        <is>
          <t>H</t>
        </is>
      </c>
      <c r="F57" s="19" t="inlineStr">
        <is>
          <t>M</t>
        </is>
      </c>
      <c r="G57" s="19" t="inlineStr">
        <is>
          <t>M</t>
        </is>
      </c>
      <c r="H57" s="19" t="inlineStr">
        <is>
          <t>M</t>
        </is>
      </c>
    </row>
    <row r="58">
      <c r="B58" s="10" t="inlineStr">
        <is>
          <t>S 7–8</t>
        </is>
      </c>
      <c r="C58" s="6" t="inlineStr">
        <is>
          <t>O 2–3</t>
        </is>
      </c>
      <c r="E58" s="19" t="inlineStr">
        <is>
          <t>M</t>
        </is>
      </c>
      <c r="F58" s="19" t="inlineStr">
        <is>
          <t>M</t>
        </is>
      </c>
      <c r="G58" s="19" t="inlineStr">
        <is>
          <t>L</t>
        </is>
      </c>
      <c r="H58" s="19" t="inlineStr">
        <is>
          <t>L</t>
        </is>
      </c>
    </row>
    <row r="59">
      <c r="B59" s="10" t="inlineStr">
        <is>
          <t>S 7–8</t>
        </is>
      </c>
      <c r="C59" s="6" t="inlineStr">
        <is>
          <t>O 1</t>
        </is>
      </c>
      <c r="E59" s="19" t="inlineStr">
        <is>
          <t>L</t>
        </is>
      </c>
      <c r="F59" s="19" t="inlineStr">
        <is>
          <t>L</t>
        </is>
      </c>
      <c r="G59" s="19" t="inlineStr">
        <is>
          <t>L</t>
        </is>
      </c>
      <c r="H59" s="19" t="inlineStr">
        <is>
          <t>L</t>
        </is>
      </c>
    </row>
    <row r="60">
      <c r="B60" s="10" t="inlineStr">
        <is>
          <t>S 4–6</t>
        </is>
      </c>
      <c r="C60" s="6" t="inlineStr">
        <is>
          <t>O 8–10</t>
        </is>
      </c>
      <c r="E60" s="19" t="inlineStr">
        <is>
          <t>H</t>
        </is>
      </c>
      <c r="F60" s="19" t="inlineStr">
        <is>
          <t>H</t>
        </is>
      </c>
      <c r="G60" s="19" t="inlineStr">
        <is>
          <t>M</t>
        </is>
      </c>
      <c r="H60" s="19" t="inlineStr">
        <is>
          <t>M</t>
        </is>
      </c>
    </row>
    <row r="61">
      <c r="B61" s="10" t="inlineStr">
        <is>
          <t>S 4–6</t>
        </is>
      </c>
      <c r="C61" s="6" t="inlineStr">
        <is>
          <t>O 6–7</t>
        </is>
      </c>
      <c r="E61" s="19" t="inlineStr">
        <is>
          <t>M</t>
        </is>
      </c>
      <c r="F61" s="19" t="inlineStr">
        <is>
          <t>M</t>
        </is>
      </c>
      <c r="G61" s="19" t="inlineStr">
        <is>
          <t>M</t>
        </is>
      </c>
      <c r="H61" s="19" t="inlineStr">
        <is>
          <t>L</t>
        </is>
      </c>
    </row>
    <row r="62">
      <c r="B62" s="10" t="inlineStr">
        <is>
          <t>S 4–6</t>
        </is>
      </c>
      <c r="C62" s="6" t="inlineStr">
        <is>
          <t>O 4–5</t>
        </is>
      </c>
      <c r="E62" s="19" t="inlineStr">
        <is>
          <t>M</t>
        </is>
      </c>
      <c r="F62" s="19" t="inlineStr">
        <is>
          <t>L</t>
        </is>
      </c>
      <c r="G62" s="19" t="inlineStr">
        <is>
          <t>L</t>
        </is>
      </c>
      <c r="H62" s="19" t="inlineStr">
        <is>
          <t>L</t>
        </is>
      </c>
    </row>
    <row r="63">
      <c r="B63" s="10" t="inlineStr">
        <is>
          <t>S 4–6</t>
        </is>
      </c>
      <c r="C63" s="6" t="inlineStr">
        <is>
          <t>O 2–3</t>
        </is>
      </c>
      <c r="E63" s="19" t="inlineStr">
        <is>
          <t>L</t>
        </is>
      </c>
      <c r="F63" s="19" t="inlineStr">
        <is>
          <t>L</t>
        </is>
      </c>
      <c r="G63" s="19" t="inlineStr">
        <is>
          <t>L</t>
        </is>
      </c>
      <c r="H63" s="19" t="inlineStr">
        <is>
          <t>L</t>
        </is>
      </c>
    </row>
    <row r="64">
      <c r="B64" s="10" t="inlineStr">
        <is>
          <t>S 4–6</t>
        </is>
      </c>
      <c r="C64" s="6" t="inlineStr">
        <is>
          <t>O 1</t>
        </is>
      </c>
      <c r="E64" s="19" t="inlineStr">
        <is>
          <t>L</t>
        </is>
      </c>
      <c r="F64" s="19" t="inlineStr">
        <is>
          <t>L</t>
        </is>
      </c>
      <c r="G64" s="19" t="inlineStr">
        <is>
          <t>L</t>
        </is>
      </c>
      <c r="H64" s="19" t="inlineStr">
        <is>
          <t>L</t>
        </is>
      </c>
    </row>
    <row r="65">
      <c r="B65" s="10" t="inlineStr">
        <is>
          <t>S 2–3</t>
        </is>
      </c>
      <c r="C65" s="6" t="inlineStr">
        <is>
          <t>O 8–10</t>
        </is>
      </c>
      <c r="E65" s="19" t="inlineStr">
        <is>
          <t>M</t>
        </is>
      </c>
      <c r="F65" s="19" t="inlineStr">
        <is>
          <t>M</t>
        </is>
      </c>
      <c r="G65" s="19" t="inlineStr">
        <is>
          <t>L</t>
        </is>
      </c>
      <c r="H65" s="19" t="inlineStr">
        <is>
          <t>L</t>
        </is>
      </c>
    </row>
    <row r="66">
      <c r="B66" s="10" t="inlineStr">
        <is>
          <t>S 2–3</t>
        </is>
      </c>
      <c r="C66" s="6" t="inlineStr">
        <is>
          <t>O 6–7</t>
        </is>
      </c>
      <c r="E66" s="19" t="inlineStr">
        <is>
          <t>L</t>
        </is>
      </c>
      <c r="F66" s="19" t="inlineStr">
        <is>
          <t>L</t>
        </is>
      </c>
      <c r="G66" s="19" t="inlineStr">
        <is>
          <t>L</t>
        </is>
      </c>
      <c r="H66" s="19" t="inlineStr">
        <is>
          <t>L</t>
        </is>
      </c>
    </row>
    <row r="67">
      <c r="B67" s="10" t="inlineStr">
        <is>
          <t>S 2–3</t>
        </is>
      </c>
      <c r="C67" s="6" t="inlineStr">
        <is>
          <t>O 4–5</t>
        </is>
      </c>
      <c r="E67" s="19" t="inlineStr">
        <is>
          <t>L</t>
        </is>
      </c>
      <c r="F67" s="19" t="inlineStr">
        <is>
          <t>L</t>
        </is>
      </c>
      <c r="G67" s="19" t="inlineStr">
        <is>
          <t>L</t>
        </is>
      </c>
      <c r="H67" s="19" t="inlineStr">
        <is>
          <t>L</t>
        </is>
      </c>
    </row>
    <row r="68">
      <c r="B68" s="10" t="inlineStr">
        <is>
          <t>S 2–3</t>
        </is>
      </c>
      <c r="C68" s="6" t="inlineStr">
        <is>
          <t>O 2–3</t>
        </is>
      </c>
      <c r="E68" s="19" t="inlineStr">
        <is>
          <t>L</t>
        </is>
      </c>
      <c r="F68" s="19" t="inlineStr">
        <is>
          <t>L</t>
        </is>
      </c>
      <c r="G68" s="19" t="inlineStr">
        <is>
          <t>L</t>
        </is>
      </c>
      <c r="H68" s="19" t="inlineStr">
        <is>
          <t>L</t>
        </is>
      </c>
    </row>
    <row r="69">
      <c r="B69" s="10" t="inlineStr">
        <is>
          <t>S 2–3</t>
        </is>
      </c>
      <c r="C69" s="6" t="inlineStr">
        <is>
          <t>O 1</t>
        </is>
      </c>
      <c r="E69" s="19" t="inlineStr">
        <is>
          <t>L</t>
        </is>
      </c>
      <c r="F69" s="19" t="inlineStr">
        <is>
          <t>L</t>
        </is>
      </c>
      <c r="G69" s="19" t="inlineStr">
        <is>
          <t>L</t>
        </is>
      </c>
      <c r="H69" s="19" t="inlineStr">
        <is>
          <t>L</t>
        </is>
      </c>
    </row>
    <row r="70">
      <c r="B70" s="10" t="inlineStr">
        <is>
          <t>S 1</t>
        </is>
      </c>
      <c r="C70" s="6" t="inlineStr">
        <is>
          <t>O 8–10</t>
        </is>
      </c>
      <c r="E70" s="19" t="inlineStr">
        <is>
          <t>L</t>
        </is>
      </c>
      <c r="F70" s="19" t="inlineStr">
        <is>
          <t>L</t>
        </is>
      </c>
      <c r="G70" s="19" t="inlineStr">
        <is>
          <t>L</t>
        </is>
      </c>
      <c r="H70" s="19" t="inlineStr">
        <is>
          <t>L</t>
        </is>
      </c>
    </row>
    <row r="71">
      <c r="B71" s="10" t="inlineStr">
        <is>
          <t>S 1</t>
        </is>
      </c>
      <c r="C71" s="6" t="inlineStr">
        <is>
          <t>O 6–7</t>
        </is>
      </c>
      <c r="E71" s="19" t="inlineStr">
        <is>
          <t>L</t>
        </is>
      </c>
      <c r="F71" s="19" t="inlineStr">
        <is>
          <t>L</t>
        </is>
      </c>
      <c r="G71" s="19" t="inlineStr">
        <is>
          <t>L</t>
        </is>
      </c>
      <c r="H71" s="19" t="inlineStr">
        <is>
          <t>L</t>
        </is>
      </c>
    </row>
    <row r="72">
      <c r="B72" s="10" t="inlineStr">
        <is>
          <t>S 1</t>
        </is>
      </c>
      <c r="C72" s="6" t="inlineStr">
        <is>
          <t>O 4–5</t>
        </is>
      </c>
      <c r="E72" s="19" t="inlineStr">
        <is>
          <t>L</t>
        </is>
      </c>
      <c r="F72" s="19" t="inlineStr">
        <is>
          <t>L</t>
        </is>
      </c>
      <c r="G72" s="19" t="inlineStr">
        <is>
          <t>L</t>
        </is>
      </c>
      <c r="H72" s="19" t="inlineStr">
        <is>
          <t>L</t>
        </is>
      </c>
    </row>
    <row r="73">
      <c r="B73" s="10" t="inlineStr">
        <is>
          <t>S 1</t>
        </is>
      </c>
      <c r="C73" s="6" t="inlineStr">
        <is>
          <t>O 2–3</t>
        </is>
      </c>
      <c r="E73" s="19" t="inlineStr">
        <is>
          <t>L</t>
        </is>
      </c>
      <c r="F73" s="19" t="inlineStr">
        <is>
          <t>L</t>
        </is>
      </c>
      <c r="G73" s="19" t="inlineStr">
        <is>
          <t>L</t>
        </is>
      </c>
      <c r="H73" s="19" t="inlineStr">
        <is>
          <t>L</t>
        </is>
      </c>
    </row>
    <row r="74">
      <c r="B74" s="10" t="inlineStr">
        <is>
          <t>S 1</t>
        </is>
      </c>
      <c r="C74" s="6" t="inlineStr">
        <is>
          <t>O 1</t>
        </is>
      </c>
      <c r="E74" s="19" t="inlineStr">
        <is>
          <t>L</t>
        </is>
      </c>
      <c r="F74" s="19" t="inlineStr">
        <is>
          <t>L</t>
        </is>
      </c>
      <c r="G74" s="19" t="inlineStr">
        <is>
          <t>L</t>
        </is>
      </c>
      <c r="H74" s="19" t="inlineStr">
        <is>
          <t>L</t>
        </is>
      </c>
    </row>
    <row r="76">
      <c r="B76" s="3" t="inlineStr">
        <is>
          <t>Band lower limits (used by the AP look-up – keep in descending band order as in the table above)</t>
        </is>
      </c>
    </row>
    <row r="77">
      <c r="B77" s="10" t="inlineStr">
        <is>
          <t>S band lower limits</t>
        </is>
      </c>
      <c r="E77" s="16" t="n">
        <v>9</v>
      </c>
      <c r="F77" s="16" t="n">
        <v>7</v>
      </c>
      <c r="G77" s="16" t="n">
        <v>4</v>
      </c>
      <c r="H77" s="16" t="n">
        <v>2</v>
      </c>
      <c r="I77" s="16" t="n">
        <v>1</v>
      </c>
    </row>
    <row r="78">
      <c r="B78" s="10" t="inlineStr">
        <is>
          <t>O band lower limits</t>
        </is>
      </c>
      <c r="E78" s="16" t="n">
        <v>8</v>
      </c>
      <c r="F78" s="16" t="n">
        <v>6</v>
      </c>
      <c r="G78" s="16" t="n">
        <v>4</v>
      </c>
      <c r="H78" s="16" t="n">
        <v>2</v>
      </c>
      <c r="I78" s="16" t="n">
        <v>1</v>
      </c>
    </row>
    <row r="79">
      <c r="B79" s="10" t="inlineStr">
        <is>
          <t>D band lower limits</t>
        </is>
      </c>
      <c r="E79" s="16" t="n">
        <v>7</v>
      </c>
      <c r="F79" s="16" t="n">
        <v>5</v>
      </c>
      <c r="G79" s="16" t="n">
        <v>2</v>
      </c>
      <c r="H79" s="16" t="n">
        <v>1</v>
      </c>
    </row>
  </sheetData>
  <conditionalFormatting sqref="E50:H74">
    <cfRule type="expression" priority="1" dxfId="0">
      <formula>E50="H"</formula>
    </cfRule>
    <cfRule type="expression" priority="2" dxfId="1">
      <formula>E50="M"</formula>
    </cfRule>
    <cfRule type="expression" priority="3" dxfId="2">
      <formula>E50="L"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1" customWidth="1" min="9" max="9"/>
    <col width="11" customWidth="1" min="10" max="10"/>
  </cols>
  <sheetData>
    <row r="1">
      <c r="A1" s="1" t="inlineStr">
        <is>
          <t>FMECA SUMMARY</t>
        </is>
      </c>
    </row>
    <row r="2">
      <c r="A2" s="2" t="inlineStr">
        <is>
          <t>Counts per system worksheet (calculated).</t>
        </is>
      </c>
    </row>
    <row r="4">
      <c r="A4" s="7" t="inlineStr">
        <is>
          <t>Worksheet</t>
        </is>
      </c>
      <c r="B4" s="7" t="inlineStr">
        <is>
          <t>System</t>
        </is>
      </c>
      <c r="C4" s="7" t="inlineStr">
        <is>
          <t>Failure modes</t>
        </is>
      </c>
      <c r="D4" s="7" t="inlineStr">
        <is>
          <t>AP – High</t>
        </is>
      </c>
      <c r="E4" s="7" t="inlineStr">
        <is>
          <t>AP – Medium</t>
        </is>
      </c>
      <c r="F4" s="7" t="inlineStr">
        <is>
          <t>AP – Low</t>
        </is>
      </c>
      <c r="G4" s="7" t="inlineStr">
        <is>
          <t>Highest RPN</t>
        </is>
      </c>
      <c r="H4" s="7" t="inlineStr">
        <is>
          <t>Actions required</t>
        </is>
      </c>
      <c r="I4" s="7" t="inlineStr">
        <is>
          <t>Actions without owner</t>
        </is>
      </c>
      <c r="J4" s="7" t="inlineStr">
        <is>
          <t>AP High after action</t>
        </is>
      </c>
    </row>
    <row r="5">
      <c r="A5" s="12" t="inlineStr">
        <is>
          <t>System 01</t>
        </is>
      </c>
      <c r="B5" s="5">
        <f>IF('System 01'!$D$3="","",'System 01'!$D$3)</f>
        <v/>
      </c>
      <c r="C5" s="20">
        <f>COUNTIF('System 01'!$F$14:$F$113,"?*")</f>
        <v/>
      </c>
      <c r="D5" s="20">
        <f>COUNTIF('System 01'!$T$14:$T$113,"H")</f>
        <v/>
      </c>
      <c r="E5" s="20">
        <f>COUNTIF('System 01'!$T$14:$T$113,"M")</f>
        <v/>
      </c>
      <c r="F5" s="20">
        <f>COUNTIF('System 01'!$T$14:$T$113,"L")</f>
        <v/>
      </c>
      <c r="G5" s="20">
        <f>IF(COUNT('System 01'!$S$14:$S$113)=0,"",MAX('System 01'!$S$14:$S$113))</f>
        <v/>
      </c>
      <c r="H5" s="20">
        <f>COUNTIF('System 01'!$U$14:$U$113,"Yes")</f>
        <v/>
      </c>
      <c r="I5" s="20">
        <f>COUNTIFS('System 01'!$U$14:$U$113,"Yes",'System 01'!$X$14:$X$113,"")</f>
        <v/>
      </c>
      <c r="J5" s="20">
        <f>COUNTIF('System 01'!$AD$14:$AD$113,"H")</f>
        <v/>
      </c>
    </row>
    <row r="6">
      <c r="A6" s="12" t="inlineStr">
        <is>
          <t>System 02</t>
        </is>
      </c>
      <c r="B6" s="5">
        <f>IF('System 02'!$D$3="","",'System 02'!$D$3)</f>
        <v/>
      </c>
      <c r="C6" s="20">
        <f>COUNTIF('System 02'!$F$14:$F$113,"?*")</f>
        <v/>
      </c>
      <c r="D6" s="20">
        <f>COUNTIF('System 02'!$T$14:$T$113,"H")</f>
        <v/>
      </c>
      <c r="E6" s="20">
        <f>COUNTIF('System 02'!$T$14:$T$113,"M")</f>
        <v/>
      </c>
      <c r="F6" s="20">
        <f>COUNTIF('System 02'!$T$14:$T$113,"L")</f>
        <v/>
      </c>
      <c r="G6" s="20">
        <f>IF(COUNT('System 02'!$S$14:$S$113)=0,"",MAX('System 02'!$S$14:$S$113))</f>
        <v/>
      </c>
      <c r="H6" s="20">
        <f>COUNTIF('System 02'!$U$14:$U$113,"Yes")</f>
        <v/>
      </c>
      <c r="I6" s="20">
        <f>COUNTIFS('System 02'!$U$14:$U$113,"Yes",'System 02'!$X$14:$X$113,"")</f>
        <v/>
      </c>
      <c r="J6" s="20">
        <f>COUNTIF('System 02'!$AD$14:$AD$113,"H")</f>
        <v/>
      </c>
    </row>
    <row r="7">
      <c r="A7" s="12" t="inlineStr">
        <is>
          <t>System 03</t>
        </is>
      </c>
      <c r="B7" s="5">
        <f>IF('System 03'!$D$3="","",'System 03'!$D$3)</f>
        <v/>
      </c>
      <c r="C7" s="20">
        <f>COUNTIF('System 03'!$F$14:$F$113,"?*")</f>
        <v/>
      </c>
      <c r="D7" s="20">
        <f>COUNTIF('System 03'!$T$14:$T$113,"H")</f>
        <v/>
      </c>
      <c r="E7" s="20">
        <f>COUNTIF('System 03'!$T$14:$T$113,"M")</f>
        <v/>
      </c>
      <c r="F7" s="20">
        <f>COUNTIF('System 03'!$T$14:$T$113,"L")</f>
        <v/>
      </c>
      <c r="G7" s="20">
        <f>IF(COUNT('System 03'!$S$14:$S$113)=0,"",MAX('System 03'!$S$14:$S$113))</f>
        <v/>
      </c>
      <c r="H7" s="20">
        <f>COUNTIF('System 03'!$U$14:$U$113,"Yes")</f>
        <v/>
      </c>
      <c r="I7" s="20">
        <f>COUNTIFS('System 03'!$U$14:$U$113,"Yes",'System 03'!$X$14:$X$113,"")</f>
        <v/>
      </c>
      <c r="J7" s="20">
        <f>COUNTIF('System 03'!$AD$14:$AD$113,"H")</f>
        <v/>
      </c>
    </row>
    <row r="8">
      <c r="A8" s="12" t="inlineStr">
        <is>
          <t>System 04</t>
        </is>
      </c>
      <c r="B8" s="5">
        <f>IF('System 04'!$D$3="","",'System 04'!$D$3)</f>
        <v/>
      </c>
      <c r="C8" s="20">
        <f>COUNTIF('System 04'!$F$14:$F$113,"?*")</f>
        <v/>
      </c>
      <c r="D8" s="20">
        <f>COUNTIF('System 04'!$T$14:$T$113,"H")</f>
        <v/>
      </c>
      <c r="E8" s="20">
        <f>COUNTIF('System 04'!$T$14:$T$113,"M")</f>
        <v/>
      </c>
      <c r="F8" s="20">
        <f>COUNTIF('System 04'!$T$14:$T$113,"L")</f>
        <v/>
      </c>
      <c r="G8" s="20">
        <f>IF(COUNT('System 04'!$S$14:$S$113)=0,"",MAX('System 04'!$S$14:$S$113))</f>
        <v/>
      </c>
      <c r="H8" s="20">
        <f>COUNTIF('System 04'!$U$14:$U$113,"Yes")</f>
        <v/>
      </c>
      <c r="I8" s="20">
        <f>COUNTIFS('System 04'!$U$14:$U$113,"Yes",'System 04'!$X$14:$X$113,"")</f>
        <v/>
      </c>
      <c r="J8" s="20">
        <f>COUNTIF('System 04'!$AD$14:$AD$113,"H")</f>
        <v/>
      </c>
    </row>
    <row r="9">
      <c r="A9" s="12" t="inlineStr">
        <is>
          <t>System 05</t>
        </is>
      </c>
      <c r="B9" s="5">
        <f>IF('System 05'!$D$3="","",'System 05'!$D$3)</f>
        <v/>
      </c>
      <c r="C9" s="20">
        <f>COUNTIF('System 05'!$F$14:$F$113,"?*")</f>
        <v/>
      </c>
      <c r="D9" s="20">
        <f>COUNTIF('System 05'!$T$14:$T$113,"H")</f>
        <v/>
      </c>
      <c r="E9" s="20">
        <f>COUNTIF('System 05'!$T$14:$T$113,"M")</f>
        <v/>
      </c>
      <c r="F9" s="20">
        <f>COUNTIF('System 05'!$T$14:$T$113,"L")</f>
        <v/>
      </c>
      <c r="G9" s="20">
        <f>IF(COUNT('System 05'!$S$14:$S$113)=0,"",MAX('System 05'!$S$14:$S$113))</f>
        <v/>
      </c>
      <c r="H9" s="20">
        <f>COUNTIF('System 05'!$U$14:$U$113,"Yes")</f>
        <v/>
      </c>
      <c r="I9" s="20">
        <f>COUNTIFS('System 05'!$U$14:$U$113,"Yes",'System 05'!$X$14:$X$113,"")</f>
        <v/>
      </c>
      <c r="J9" s="20">
        <f>COUNTIF('System 05'!$AD$14:$AD$113,"H")</f>
        <v/>
      </c>
    </row>
    <row r="10">
      <c r="A10" s="12" t="inlineStr">
        <is>
          <t>System 06</t>
        </is>
      </c>
      <c r="B10" s="5">
        <f>IF('System 06'!$D$3="","",'System 06'!$D$3)</f>
        <v/>
      </c>
      <c r="C10" s="20">
        <f>COUNTIF('System 06'!$F$14:$F$113,"?*")</f>
        <v/>
      </c>
      <c r="D10" s="20">
        <f>COUNTIF('System 06'!$T$14:$T$113,"H")</f>
        <v/>
      </c>
      <c r="E10" s="20">
        <f>COUNTIF('System 06'!$T$14:$T$113,"M")</f>
        <v/>
      </c>
      <c r="F10" s="20">
        <f>COUNTIF('System 06'!$T$14:$T$113,"L")</f>
        <v/>
      </c>
      <c r="G10" s="20">
        <f>IF(COUNT('System 06'!$S$14:$S$113)=0,"",MAX('System 06'!$S$14:$S$113))</f>
        <v/>
      </c>
      <c r="H10" s="20">
        <f>COUNTIF('System 06'!$U$14:$U$113,"Yes")</f>
        <v/>
      </c>
      <c r="I10" s="20">
        <f>COUNTIFS('System 06'!$U$14:$U$113,"Yes",'System 06'!$X$14:$X$113,"")</f>
        <v/>
      </c>
      <c r="J10" s="20">
        <f>COUNTIF('System 06'!$AD$14:$AD$113,"H")</f>
        <v/>
      </c>
    </row>
    <row r="11">
      <c r="A11" s="12" t="inlineStr">
        <is>
          <t>System 07</t>
        </is>
      </c>
      <c r="B11" s="5">
        <f>IF('System 07'!$D$3="","",'System 07'!$D$3)</f>
        <v/>
      </c>
      <c r="C11" s="20">
        <f>COUNTIF('System 07'!$F$14:$F$113,"?*")</f>
        <v/>
      </c>
      <c r="D11" s="20">
        <f>COUNTIF('System 07'!$T$14:$T$113,"H")</f>
        <v/>
      </c>
      <c r="E11" s="20">
        <f>COUNTIF('System 07'!$T$14:$T$113,"M")</f>
        <v/>
      </c>
      <c r="F11" s="20">
        <f>COUNTIF('System 07'!$T$14:$T$113,"L")</f>
        <v/>
      </c>
      <c r="G11" s="20">
        <f>IF(COUNT('System 07'!$S$14:$S$113)=0,"",MAX('System 07'!$S$14:$S$113))</f>
        <v/>
      </c>
      <c r="H11" s="20">
        <f>COUNTIF('System 07'!$U$14:$U$113,"Yes")</f>
        <v/>
      </c>
      <c r="I11" s="20">
        <f>COUNTIFS('System 07'!$U$14:$U$113,"Yes",'System 07'!$X$14:$X$113,"")</f>
        <v/>
      </c>
      <c r="J11" s="20">
        <f>COUNTIF('System 07'!$AD$14:$AD$113,"H")</f>
        <v/>
      </c>
    </row>
    <row r="12">
      <c r="A12" s="12" t="inlineStr">
        <is>
          <t>System 08</t>
        </is>
      </c>
      <c r="B12" s="5">
        <f>IF('System 08'!$D$3="","",'System 08'!$D$3)</f>
        <v/>
      </c>
      <c r="C12" s="20">
        <f>COUNTIF('System 08'!$F$14:$F$113,"?*")</f>
        <v/>
      </c>
      <c r="D12" s="20">
        <f>COUNTIF('System 08'!$T$14:$T$113,"H")</f>
        <v/>
      </c>
      <c r="E12" s="20">
        <f>COUNTIF('System 08'!$T$14:$T$113,"M")</f>
        <v/>
      </c>
      <c r="F12" s="20">
        <f>COUNTIF('System 08'!$T$14:$T$113,"L")</f>
        <v/>
      </c>
      <c r="G12" s="20">
        <f>IF(COUNT('System 08'!$S$14:$S$113)=0,"",MAX('System 08'!$S$14:$S$113))</f>
        <v/>
      </c>
      <c r="H12" s="20">
        <f>COUNTIF('System 08'!$U$14:$U$113,"Yes")</f>
        <v/>
      </c>
      <c r="I12" s="20">
        <f>COUNTIFS('System 08'!$U$14:$U$113,"Yes",'System 08'!$X$14:$X$113,"")</f>
        <v/>
      </c>
      <c r="J12" s="20">
        <f>COUNTIF('System 08'!$AD$14:$AD$113,"H")</f>
        <v/>
      </c>
    </row>
    <row r="13">
      <c r="A13" s="12" t="inlineStr">
        <is>
          <t>System 09</t>
        </is>
      </c>
      <c r="B13" s="5">
        <f>IF('System 09'!$D$3="","",'System 09'!$D$3)</f>
        <v/>
      </c>
      <c r="C13" s="20">
        <f>COUNTIF('System 09'!$F$14:$F$113,"?*")</f>
        <v/>
      </c>
      <c r="D13" s="20">
        <f>COUNTIF('System 09'!$T$14:$T$113,"H")</f>
        <v/>
      </c>
      <c r="E13" s="20">
        <f>COUNTIF('System 09'!$T$14:$T$113,"M")</f>
        <v/>
      </c>
      <c r="F13" s="20">
        <f>COUNTIF('System 09'!$T$14:$T$113,"L")</f>
        <v/>
      </c>
      <c r="G13" s="20">
        <f>IF(COUNT('System 09'!$S$14:$S$113)=0,"",MAX('System 09'!$S$14:$S$113))</f>
        <v/>
      </c>
      <c r="H13" s="20">
        <f>COUNTIF('System 09'!$U$14:$U$113,"Yes")</f>
        <v/>
      </c>
      <c r="I13" s="20">
        <f>COUNTIFS('System 09'!$U$14:$U$113,"Yes",'System 09'!$X$14:$X$113,"")</f>
        <v/>
      </c>
      <c r="J13" s="20">
        <f>COUNTIF('System 09'!$AD$14:$AD$113,"H")</f>
        <v/>
      </c>
    </row>
    <row r="14">
      <c r="A14" s="12" t="inlineStr">
        <is>
          <t>System 10</t>
        </is>
      </c>
      <c r="B14" s="5">
        <f>IF('System 10'!$D$3="","",'System 10'!$D$3)</f>
        <v/>
      </c>
      <c r="C14" s="20">
        <f>COUNTIF('System 10'!$F$14:$F$113,"?*")</f>
        <v/>
      </c>
      <c r="D14" s="20">
        <f>COUNTIF('System 10'!$T$14:$T$113,"H")</f>
        <v/>
      </c>
      <c r="E14" s="20">
        <f>COUNTIF('System 10'!$T$14:$T$113,"M")</f>
        <v/>
      </c>
      <c r="F14" s="20">
        <f>COUNTIF('System 10'!$T$14:$T$113,"L")</f>
        <v/>
      </c>
      <c r="G14" s="20">
        <f>IF(COUNT('System 10'!$S$14:$S$113)=0,"",MAX('System 10'!$S$14:$S$113))</f>
        <v/>
      </c>
      <c r="H14" s="20">
        <f>COUNTIF('System 10'!$U$14:$U$113,"Yes")</f>
        <v/>
      </c>
      <c r="I14" s="20">
        <f>COUNTIFS('System 10'!$U$14:$U$113,"Yes",'System 10'!$X$14:$X$113,"")</f>
        <v/>
      </c>
      <c r="J14" s="20">
        <f>COUNTIF('System 10'!$AD$14:$AD$113,"H")</f>
        <v/>
      </c>
    </row>
    <row r="15">
      <c r="A15" s="10" t="inlineStr">
        <is>
          <t>TOTAL</t>
        </is>
      </c>
      <c r="B15" s="6" t="n"/>
      <c r="C15" s="21">
        <f>SUM(C5:C14)</f>
        <v/>
      </c>
      <c r="D15" s="21">
        <f>SUM(D5:D14)</f>
        <v/>
      </c>
      <c r="E15" s="21">
        <f>SUM(E5:E14)</f>
        <v/>
      </c>
      <c r="F15" s="21">
        <f>SUM(F5:F14)</f>
        <v/>
      </c>
      <c r="G15" s="21">
        <f>MAX(G5:G14)</f>
        <v/>
      </c>
      <c r="H15" s="21">
        <f>SUM(H5:H14)</f>
        <v/>
      </c>
      <c r="I15" s="21">
        <f>SUM(I5:I14)</f>
        <v/>
      </c>
      <c r="J15" s="21">
        <f>SUM(J5:J14)</f>
        <v/>
      </c>
    </row>
    <row r="17">
      <c r="A17" s="18" t="inlineStr">
        <is>
          <t>Add rows here if you copy further System worksheets.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H113"/>
  <sheetViews>
    <sheetView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22" customWidth="1" min="4" max="4"/>
    <col width="26" customWidth="1" min="5" max="5"/>
    <col width="26" customWidth="1" min="6" max="6"/>
    <col outlineLevel="1" width="26" customWidth="1" min="7" max="9"/>
    <col width="38" customWidth="1" min="10" max="10"/>
    <col width="28" customWidth="1" min="11" max="11"/>
    <col width="28" customWidth="1" min="12" max="12"/>
    <col width="32" customWidth="1" min="13" max="13"/>
    <col width="18" customWidth="1" min="14" max="14"/>
    <col width="30" customWidth="1" min="15" max="15"/>
    <col width="18" customWidth="1" min="16" max="16"/>
    <col width="28" customWidth="1" min="17" max="17"/>
    <col width="18" customWidth="1" min="18" max="18"/>
    <col width="7" customWidth="1" min="19" max="19"/>
    <col width="6" customWidth="1" min="20" max="20"/>
    <col width="9" customWidth="1" min="21" max="21"/>
    <col width="34" customWidth="1" min="22" max="22"/>
    <col width="22" customWidth="1" min="23" max="23"/>
    <col width="14" customWidth="1" min="24" max="24"/>
    <col width="12" customWidth="1" min="25" max="25"/>
    <col width="18" customWidth="1" min="26" max="26"/>
    <col width="18" customWidth="1" min="27" max="27"/>
    <col width="18" customWidth="1" min="28" max="28"/>
    <col width="7" customWidth="1" min="29" max="29"/>
    <col width="6" customWidth="1" min="30" max="30"/>
    <col width="12" customWidth="1" min="31" max="31"/>
    <col width="24" customWidth="1" min="32" max="32"/>
    <col hidden="1" width="13" customWidth="1" min="34" max="34"/>
  </cols>
  <sheetData>
    <row r="1">
      <c r="A1" s="22" t="inlineStr">
        <is>
          <t>FMECA WORKSHEET</t>
        </is>
      </c>
      <c r="F1" s="23">
        <f>Cover!B7</f>
        <v/>
      </c>
    </row>
    <row r="3">
      <c r="A3" s="24" t="inlineStr">
        <is>
          <t>Select system ▸</t>
        </is>
      </c>
      <c r="B3" s="8" t="n"/>
      <c r="C3" s="9" t="n"/>
      <c r="D3" s="25" t="inlineStr">
        <is>
          <t>S01 – Hot DRI transfer conveyor</t>
        </is>
      </c>
      <c r="K3" s="24" t="inlineStr">
        <is>
          <t>Session date</t>
        </is>
      </c>
      <c r="L3" s="13" t="n"/>
      <c r="N3" s="24" t="inlineStr">
        <is>
          <t>Equipment items</t>
        </is>
      </c>
      <c r="O3" s="20">
        <f>IF($D$3="","",COUNTIFS(EqSys,$D$3,EqTag,"?*"))</f>
        <v/>
      </c>
    </row>
    <row r="4" ht="16" customHeight="1">
      <c r="A4" s="10" t="inlineStr">
        <is>
          <t>System title</t>
        </is>
      </c>
      <c r="D4" s="6">
        <f>IF($D$3="","",IFERROR(INDEX(Systems!$B$5:$B$34,MATCH($D$3,Systems!$C$5:$C$34,0))&amp;"",""))</f>
        <v/>
      </c>
    </row>
    <row r="5" ht="30" customHeight="1">
      <c r="A5" s="10" t="inlineStr">
        <is>
          <t>Function / performance standard</t>
        </is>
      </c>
      <c r="D5" s="6">
        <f>IF($D$3="","",IFERROR(INDEX(Systems!$D$5:$D$34,MATCH($D$3,Systems!$C$5:$C$34,0))&amp;"",""))</f>
        <v/>
      </c>
    </row>
    <row r="6" ht="30" customHeight="1">
      <c r="A6" s="10" t="inlineStr">
        <is>
          <t>Operating context</t>
        </is>
      </c>
      <c r="D6" s="6">
        <f>IF($D$3="","",IFERROR(INDEX(Systems!$E$5:$E$34,MATCH($D$3,Systems!$C$5:$C$34,0))&amp;"",""))</f>
        <v/>
      </c>
    </row>
    <row r="7" ht="30" customHeight="1">
      <c r="A7" s="10" t="inlineStr">
        <is>
          <t>System boundaries</t>
        </is>
      </c>
      <c r="D7" s="6">
        <f>IF($D$3="","",IFERROR(INDEX(Systems!$F$5:$F$34,MATCH($D$3,Systems!$C$5:$C$34,0))&amp;"",""))</f>
        <v/>
      </c>
    </row>
    <row r="8" ht="16" customHeight="1">
      <c r="A8" s="10" t="inlineStr">
        <is>
          <t>P&amp;IDs / drawings</t>
        </is>
      </c>
      <c r="D8" s="6">
        <f>IF($D$3="","",IFERROR(INDEX(Systems!$G$5:$G$34,MATCH($D$3,Systems!$C$5:$C$34,0))&amp;"",""))</f>
        <v/>
      </c>
    </row>
    <row r="9" ht="16" customHeight="1">
      <c r="A9" s="10" t="inlineStr">
        <is>
          <t>Related HAZOP node(s)</t>
        </is>
      </c>
      <c r="D9" s="6">
        <f>IF($D$3="","",IFERROR(INDEX(Systems!$H$5:$H$34,MATCH($D$3,Systems!$C$5:$C$34,0))&amp;"",""))</f>
        <v/>
      </c>
    </row>
    <row r="11" ht="26" customHeight="1">
      <c r="A11" s="26" t="inlineStr">
        <is>
          <t>ONE ROW PER FAILURE MODE. Pick the equipment tag (tags of the selected system), component and failure mode; pick up to 3 causes (listed line by line in 'Failure causes / mechanisms'). Rate S, O, D – RPN, Action Priority and 'Action required?' are calculated. Rate again after the recommended action. Use the [–] button above the Cause columns to collapse them.</t>
        </is>
      </c>
    </row>
    <row r="12">
      <c r="A12" s="7" t="inlineStr">
        <is>
          <t>ITEM / FAILURE MODE</t>
        </is>
      </c>
      <c r="B12" s="27" t="n"/>
      <c r="C12" s="27" t="n"/>
      <c r="D12" s="27" t="n"/>
      <c r="E12" s="27" t="n"/>
      <c r="F12" s="27" t="n"/>
      <c r="G12" s="7" t="inlineStr">
        <is>
          <t>CAUSE PICK-LIST</t>
        </is>
      </c>
      <c r="H12" s="27" t="n"/>
      <c r="I12" s="27" t="n"/>
      <c r="J12" s="7" t="inlineStr">
        <is>
          <t>CAUSES &amp; EFFECTS</t>
        </is>
      </c>
      <c r="K12" s="27" t="n"/>
      <c r="L12" s="27" t="n"/>
      <c r="M12" s="27" t="n"/>
      <c r="N12" s="7" t="inlineStr">
        <is>
          <t>CRITICALITY – CURRENT</t>
        </is>
      </c>
      <c r="O12" s="27" t="n"/>
      <c r="P12" s="27" t="n"/>
      <c r="Q12" s="27" t="n"/>
      <c r="R12" s="27" t="n"/>
      <c r="S12" s="27" t="n"/>
      <c r="T12" s="27" t="n"/>
      <c r="U12" s="27" t="n"/>
      <c r="V12" s="7" t="inlineStr">
        <is>
          <t>RECOMMENDED ACTIONS</t>
        </is>
      </c>
      <c r="W12" s="27" t="n"/>
      <c r="X12" s="27" t="n"/>
      <c r="Y12" s="27" t="n"/>
      <c r="Z12" s="7" t="inlineStr">
        <is>
          <t>CRITICALITY – AFTER ACTION</t>
        </is>
      </c>
      <c r="AA12" s="27" t="n"/>
      <c r="AB12" s="27" t="n"/>
      <c r="AC12" s="27" t="n"/>
      <c r="AD12" s="27" t="n"/>
      <c r="AE12" s="7" t="inlineStr">
        <is>
          <t>LINKS</t>
        </is>
      </c>
      <c r="AF12" s="27" t="n"/>
    </row>
    <row r="13" ht="42" customHeight="1">
      <c r="A13" s="7" t="inlineStr">
        <is>
          <t>Ref</t>
        </is>
      </c>
      <c r="B13" s="7" t="inlineStr">
        <is>
          <t>Equipment tag</t>
        </is>
      </c>
      <c r="C13" s="7" t="inlineStr">
        <is>
          <t>Equipment type (auto)</t>
        </is>
      </c>
      <c r="D13" s="7" t="inlineStr">
        <is>
          <t>Component / maintainable item</t>
        </is>
      </c>
      <c r="E13" s="7" t="inlineStr">
        <is>
          <t>Function of item</t>
        </is>
      </c>
      <c r="F13" s="7" t="inlineStr">
        <is>
          <t>Failure mode</t>
        </is>
      </c>
      <c r="G13" s="28" t="inlineStr">
        <is>
          <t>Cause 1</t>
        </is>
      </c>
      <c r="H13" s="28" t="inlineStr">
        <is>
          <t>Cause 2</t>
        </is>
      </c>
      <c r="I13" s="28" t="inlineStr">
        <is>
          <t>Cause 3</t>
        </is>
      </c>
      <c r="J13" s="7" t="inlineStr">
        <is>
          <t>Failure causes / mechanisms</t>
        </is>
      </c>
      <c r="K13" s="7" t="inlineStr">
        <is>
          <t>Local effect</t>
        </is>
      </c>
      <c r="L13" s="7" t="inlineStr">
        <is>
          <t>System effect</t>
        </is>
      </c>
      <c r="M13" s="7" t="inlineStr">
        <is>
          <t>End effect (safety / environment / production)</t>
        </is>
      </c>
      <c r="N13" s="7" t="inlineStr">
        <is>
          <t>Severity (S)</t>
        </is>
      </c>
      <c r="O13" s="7" t="inlineStr">
        <is>
          <t>Current prevention controls</t>
        </is>
      </c>
      <c r="P13" s="7" t="inlineStr">
        <is>
          <t>Occurrence (O)</t>
        </is>
      </c>
      <c r="Q13" s="7" t="inlineStr">
        <is>
          <t>Current detection method</t>
        </is>
      </c>
      <c r="R13" s="7" t="inlineStr">
        <is>
          <t>Detection (D)</t>
        </is>
      </c>
      <c r="S13" s="7" t="inlineStr">
        <is>
          <t>RPN</t>
        </is>
      </c>
      <c r="T13" s="7" t="inlineStr">
        <is>
          <t>AP</t>
        </is>
      </c>
      <c r="U13" s="7" t="inlineStr">
        <is>
          <t>Action required?</t>
        </is>
      </c>
      <c r="V13" s="7" t="inlineStr">
        <is>
          <t>Recommended action</t>
        </is>
      </c>
      <c r="W13" s="7" t="inlineStr">
        <is>
          <t>Action / task type</t>
        </is>
      </c>
      <c r="X13" s="7" t="inlineStr">
        <is>
          <t>Action by</t>
        </is>
      </c>
      <c r="Y13" s="7" t="inlineStr">
        <is>
          <t>Due date</t>
        </is>
      </c>
      <c r="Z13" s="7" t="inlineStr">
        <is>
          <t>Severity (S)</t>
        </is>
      </c>
      <c r="AA13" s="7" t="inlineStr">
        <is>
          <t>Occurrence (O)</t>
        </is>
      </c>
      <c r="AB13" s="7" t="inlineStr">
        <is>
          <t>Detection (D)</t>
        </is>
      </c>
      <c r="AC13" s="7" t="inlineStr">
        <is>
          <t>RPN after</t>
        </is>
      </c>
      <c r="AD13" s="7" t="inlineStr">
        <is>
          <t>AP after</t>
        </is>
      </c>
      <c r="AE13" s="7" t="inlineStr">
        <is>
          <t>HAZOP ref.</t>
        </is>
      </c>
      <c r="AF13" s="7" t="inlineStr">
        <is>
          <t>Comments</t>
        </is>
      </c>
    </row>
    <row r="14" ht="75" customHeight="1">
      <c r="A14" s="20">
        <f>IF(F14="","",LEFT($D$3,3)&amp;"-"&amp;TEXT(COUNTIF(F$14:F14,"?*"),"00"))</f>
        <v/>
      </c>
      <c r="B14" s="4" t="inlineStr">
        <is>
          <t>CV-201</t>
        </is>
      </c>
      <c r="C14" s="5">
        <f>IF(B14="","",IFERROR(INDEX(EqTypeCol,MATCH(B14,EqTag,0)),"Tag not in register"))</f>
        <v/>
      </c>
      <c r="D14" s="4" t="inlineStr">
        <is>
          <t>Belt</t>
        </is>
      </c>
      <c r="E14" s="4" t="inlineStr">
        <is>
          <t>Carry hot DRI in the enclosed hood</t>
        </is>
      </c>
      <c r="F14" s="4" t="inlineStr">
        <is>
          <t>STD – Belt tear / damage</t>
        </is>
      </c>
      <c r="G14" s="4" t="inlineStr">
        <is>
          <t>2.7 Overheating</t>
        </is>
      </c>
      <c r="H14" s="4" t="inlineStr">
        <is>
          <t>Abrasive wear (ore, sinter, DRI, slag)</t>
        </is>
      </c>
      <c r="I14" s="4" t="inlineStr">
        <is>
          <t>Incorrect maintenance / reassembly</t>
        </is>
      </c>
      <c r="J14" s="5">
        <f>_xlfn.TEXTJOIN(CHAR(10),TRUE,IF(G14="","","• "&amp;G14),IF(H14="","","• "&amp;H14),IF(I14="","","• "&amp;I14))</f>
        <v/>
      </c>
      <c r="K14" s="4" t="inlineStr">
        <is>
          <t>Belt cover burned or torn; spillage of hot DRI in the hood</t>
        </is>
      </c>
      <c r="L14" s="4" t="inlineStr">
        <is>
          <t>Conveyor trip under load – hot DRI stationary on the belt (HAZOP N01-01)</t>
        </is>
      </c>
      <c r="M14" s="4" t="inlineStr">
        <is>
          <t>Fire risk on the stationary DRI; loss of hot DRI transfer to the EAF</t>
        </is>
      </c>
      <c r="N14" s="16" t="inlineStr">
        <is>
          <t>7 – High</t>
        </is>
      </c>
      <c r="O14" s="4" t="inlineStr">
        <is>
          <t>Belt rated for hot DRI service; belt condition inspection</t>
        </is>
      </c>
      <c r="P14" s="16" t="inlineStr">
        <is>
          <t>5 – Moderate</t>
        </is>
      </c>
      <c r="Q14" s="4" t="inlineStr">
        <is>
          <t>Operator rounds – visual / sensory</t>
        </is>
      </c>
      <c r="R14" s="16" t="inlineStr">
        <is>
          <t>6 – Low</t>
        </is>
      </c>
      <c r="S14" s="20">
        <f>IF(OR(N14="",P14="",R14=""),"",(--TRIM(LEFT(N14,2)))*(--TRIM(LEFT(P14,2)))*(--TRIM(LEFT(R14,2))))</f>
        <v/>
      </c>
      <c r="T14" s="20">
        <f>IF(OR(N14="",P14="",R14=""),"",INDEX(APGrid,COUNTIF(APS,"&gt;"&amp;(--TRIM(LEFT(N14,2))))*5+COUNTIF(APO,"&gt;"&amp;(--TRIM(LEFT(P14,2))))+1,COUNTIF(APD,"&gt;"&amp;(--TRIM(LEFT(R14,2))))+1))</f>
        <v/>
      </c>
      <c r="U14" s="20">
        <f>IF(S14="","",IF(OR((--TRIM(LEFT(N14,2)))&gt;=SThr,S14&gt;=RPNThr,T14="H"),"Yes","No"))</f>
        <v/>
      </c>
      <c r="V14" s="4" t="inlineStr">
        <is>
          <t>Monthly belt thermography and cover-thickness measurement; confirm belt temperature rating against the design DRI discharge temperature (HAZOP R-004)</t>
        </is>
      </c>
      <c r="W14" s="4" t="inlineStr">
        <is>
          <t>Condition monitoring task</t>
        </is>
      </c>
      <c r="X14" s="4" t="inlineStr">
        <is>
          <t>Maintenance planner</t>
        </is>
      </c>
      <c r="Y14" s="29" t="n"/>
      <c r="Z14" s="16" t="inlineStr">
        <is>
          <t>7 – High</t>
        </is>
      </c>
      <c r="AA14" s="16" t="inlineStr">
        <is>
          <t>4 – Low</t>
        </is>
      </c>
      <c r="AB14" s="16" t="inlineStr">
        <is>
          <t>3 – High</t>
        </is>
      </c>
      <c r="AC14" s="20">
        <f>IF(OR(Z14="",AA14="",AB14=""),"",(--TRIM(LEFT(Z14,2)))*(--TRIM(LEFT(AA14,2)))*(--TRIM(LEFT(AB14,2))))</f>
        <v/>
      </c>
      <c r="AD14" s="20">
        <f>IF(OR(Z14="",AA14="",AB14=""),"",INDEX(APGrid,COUNTIF(APS,"&gt;"&amp;(--TRIM(LEFT(Z14,2))))*5+COUNTIF(APO,"&gt;"&amp;(--TRIM(LEFT(AA14,2))))+1,COUNTIF(APD,"&gt;"&amp;(--TRIM(LEFT(AB14,2))))+1))</f>
        <v/>
      </c>
      <c r="AE14" s="4" t="inlineStr">
        <is>
          <t>HAZOP N01-01</t>
        </is>
      </c>
      <c r="AF14" s="4" t="n"/>
      <c r="AG14" s="30" t="inlineStr">
        <is>
          <t>◂ Example row – delete before use</t>
        </is>
      </c>
      <c r="AH14">
        <f>IFERROR(INDEX(EqTag,_xlfn.AGGREGATE(15,6,(ROW(EqTag)-4)/((EqSys=$D$3)*(EqTag&lt;&gt;"")),ROWS($AH$14:AH14))),"")</f>
        <v/>
      </c>
    </row>
    <row r="15">
      <c r="A15" s="20">
        <f>IF(F15="","",LEFT($D$3,3)&amp;"-"&amp;TEXT(COUNTIF(F$14:F15,"?*"),"00"))</f>
        <v/>
      </c>
      <c r="B15" s="4" t="n"/>
      <c r="C15" s="5">
        <f>IF(B15="","",IFERROR(INDEX(EqTypeCol,MATCH(B15,EqTag,0)),"Tag not in register"))</f>
        <v/>
      </c>
      <c r="D15" s="4" t="n"/>
      <c r="E15" s="4" t="n"/>
      <c r="F15" s="4" t="n"/>
      <c r="G15" s="4" t="n"/>
      <c r="H15" s="4" t="n"/>
      <c r="I15" s="4" t="n"/>
      <c r="J15" s="5">
        <f>_xlfn.TEXTJOIN(CHAR(10),TRUE,IF(G15="","","• "&amp;G15),IF(H15="","","• "&amp;H15),IF(I15="","","• "&amp;I15))</f>
        <v/>
      </c>
      <c r="K15" s="4" t="n"/>
      <c r="L15" s="4" t="n"/>
      <c r="M15" s="4" t="n"/>
      <c r="N15" s="16" t="n"/>
      <c r="O15" s="4" t="n"/>
      <c r="P15" s="16" t="n"/>
      <c r="Q15" s="4" t="n"/>
      <c r="R15" s="16" t="n"/>
      <c r="S15" s="20">
        <f>IF(OR(N15="",P15="",R15=""),"",(--TRIM(LEFT(N15,2)))*(--TRIM(LEFT(P15,2)))*(--TRIM(LEFT(R15,2))))</f>
        <v/>
      </c>
      <c r="T15" s="20">
        <f>IF(OR(N15="",P15="",R15=""),"",INDEX(APGrid,COUNTIF(APS,"&gt;"&amp;(--TRIM(LEFT(N15,2))))*5+COUNTIF(APO,"&gt;"&amp;(--TRIM(LEFT(P15,2))))+1,COUNTIF(APD,"&gt;"&amp;(--TRIM(LEFT(R15,2))))+1))</f>
        <v/>
      </c>
      <c r="U15" s="20">
        <f>IF(S15="","",IF(OR((--TRIM(LEFT(N15,2)))&gt;=SThr,S15&gt;=RPNThr,T15="H"),"Yes","No"))</f>
        <v/>
      </c>
      <c r="V15" s="4" t="n"/>
      <c r="W15" s="4" t="n"/>
      <c r="X15" s="4" t="n"/>
      <c r="Y15" s="29" t="n"/>
      <c r="Z15" s="16" t="n"/>
      <c r="AA15" s="16" t="n"/>
      <c r="AB15" s="16" t="n"/>
      <c r="AC15" s="20">
        <f>IF(OR(Z15="",AA15="",AB15=""),"",(--TRIM(LEFT(Z15,2)))*(--TRIM(LEFT(AA15,2)))*(--TRIM(LEFT(AB15,2))))</f>
        <v/>
      </c>
      <c r="AD15" s="20">
        <f>IF(OR(Z15="",AA15="",AB15=""),"",INDEX(APGrid,COUNTIF(APS,"&gt;"&amp;(--TRIM(LEFT(Z15,2))))*5+COUNTIF(APO,"&gt;"&amp;(--TRIM(LEFT(AA15,2))))+1,COUNTIF(APD,"&gt;"&amp;(--TRIM(LEFT(AB15,2))))+1))</f>
        <v/>
      </c>
      <c r="AE15" s="4" t="n"/>
      <c r="AF15" s="4" t="n"/>
      <c r="AH15">
        <f>IFERROR(INDEX(EqTag,_xlfn.AGGREGATE(15,6,(ROW(EqTag)-4)/((EqSys=$D$3)*(EqTag&lt;&gt;"")),ROWS($AH$14:AH15))),"")</f>
        <v/>
      </c>
    </row>
    <row r="16">
      <c r="A16" s="20">
        <f>IF(F16="","",LEFT($D$3,3)&amp;"-"&amp;TEXT(COUNTIF(F$14:F16,"?*"),"00"))</f>
        <v/>
      </c>
      <c r="B16" s="4" t="n"/>
      <c r="C16" s="5">
        <f>IF(B16="","",IFERROR(INDEX(EqTypeCol,MATCH(B16,EqTag,0)),"Tag not in register"))</f>
        <v/>
      </c>
      <c r="D16" s="4" t="n"/>
      <c r="E16" s="4" t="n"/>
      <c r="F16" s="4" t="n"/>
      <c r="G16" s="4" t="n"/>
      <c r="H16" s="4" t="n"/>
      <c r="I16" s="4" t="n"/>
      <c r="J16" s="5">
        <f>_xlfn.TEXTJOIN(CHAR(10),TRUE,IF(G16="","","• "&amp;G16),IF(H16="","","• "&amp;H16),IF(I16="","","• "&amp;I16))</f>
        <v/>
      </c>
      <c r="K16" s="4" t="n"/>
      <c r="L16" s="4" t="n"/>
      <c r="M16" s="4" t="n"/>
      <c r="N16" s="16" t="n"/>
      <c r="O16" s="4" t="n"/>
      <c r="P16" s="16" t="n"/>
      <c r="Q16" s="4" t="n"/>
      <c r="R16" s="16" t="n"/>
      <c r="S16" s="20">
        <f>IF(OR(N16="",P16="",R16=""),"",(--TRIM(LEFT(N16,2)))*(--TRIM(LEFT(P16,2)))*(--TRIM(LEFT(R16,2))))</f>
        <v/>
      </c>
      <c r="T16" s="20">
        <f>IF(OR(N16="",P16="",R16=""),"",INDEX(APGrid,COUNTIF(APS,"&gt;"&amp;(--TRIM(LEFT(N16,2))))*5+COUNTIF(APO,"&gt;"&amp;(--TRIM(LEFT(P16,2))))+1,COUNTIF(APD,"&gt;"&amp;(--TRIM(LEFT(R16,2))))+1))</f>
        <v/>
      </c>
      <c r="U16" s="20">
        <f>IF(S16="","",IF(OR((--TRIM(LEFT(N16,2)))&gt;=SThr,S16&gt;=RPNThr,T16="H"),"Yes","No"))</f>
        <v/>
      </c>
      <c r="V16" s="4" t="n"/>
      <c r="W16" s="4" t="n"/>
      <c r="X16" s="4" t="n"/>
      <c r="Y16" s="29" t="n"/>
      <c r="Z16" s="16" t="n"/>
      <c r="AA16" s="16" t="n"/>
      <c r="AB16" s="16" t="n"/>
      <c r="AC16" s="20">
        <f>IF(OR(Z16="",AA16="",AB16=""),"",(--TRIM(LEFT(Z16,2)))*(--TRIM(LEFT(AA16,2)))*(--TRIM(LEFT(AB16,2))))</f>
        <v/>
      </c>
      <c r="AD16" s="20">
        <f>IF(OR(Z16="",AA16="",AB16=""),"",INDEX(APGrid,COUNTIF(APS,"&gt;"&amp;(--TRIM(LEFT(Z16,2))))*5+COUNTIF(APO,"&gt;"&amp;(--TRIM(LEFT(AA16,2))))+1,COUNTIF(APD,"&gt;"&amp;(--TRIM(LEFT(AB16,2))))+1))</f>
        <v/>
      </c>
      <c r="AE16" s="4" t="n"/>
      <c r="AF16" s="4" t="n"/>
      <c r="AH16">
        <f>IFERROR(INDEX(EqTag,_xlfn.AGGREGATE(15,6,(ROW(EqTag)-4)/((EqSys=$D$3)*(EqTag&lt;&gt;"")),ROWS($AH$14:AH16))),"")</f>
        <v/>
      </c>
    </row>
    <row r="17">
      <c r="A17" s="20">
        <f>IF(F17="","",LEFT($D$3,3)&amp;"-"&amp;TEXT(COUNTIF(F$14:F17,"?*"),"00"))</f>
        <v/>
      </c>
      <c r="B17" s="4" t="n"/>
      <c r="C17" s="5">
        <f>IF(B17="","",IFERROR(INDEX(EqTypeCol,MATCH(B17,EqTag,0)),"Tag not in register"))</f>
        <v/>
      </c>
      <c r="D17" s="4" t="n"/>
      <c r="E17" s="4" t="n"/>
      <c r="F17" s="4" t="n"/>
      <c r="G17" s="4" t="n"/>
      <c r="H17" s="4" t="n"/>
      <c r="I17" s="4" t="n"/>
      <c r="J17" s="5">
        <f>_xlfn.TEXTJOIN(CHAR(10),TRUE,IF(G17="","","• "&amp;G17),IF(H17="","","• "&amp;H17),IF(I17="","","• "&amp;I17))</f>
        <v/>
      </c>
      <c r="K17" s="4" t="n"/>
      <c r="L17" s="4" t="n"/>
      <c r="M17" s="4" t="n"/>
      <c r="N17" s="16" t="n"/>
      <c r="O17" s="4" t="n"/>
      <c r="P17" s="16" t="n"/>
      <c r="Q17" s="4" t="n"/>
      <c r="R17" s="16" t="n"/>
      <c r="S17" s="20">
        <f>IF(OR(N17="",P17="",R17=""),"",(--TRIM(LEFT(N17,2)))*(--TRIM(LEFT(P17,2)))*(--TRIM(LEFT(R17,2))))</f>
        <v/>
      </c>
      <c r="T17" s="20">
        <f>IF(OR(N17="",P17="",R17=""),"",INDEX(APGrid,COUNTIF(APS,"&gt;"&amp;(--TRIM(LEFT(N17,2))))*5+COUNTIF(APO,"&gt;"&amp;(--TRIM(LEFT(P17,2))))+1,COUNTIF(APD,"&gt;"&amp;(--TRIM(LEFT(R17,2))))+1))</f>
        <v/>
      </c>
      <c r="U17" s="20">
        <f>IF(S17="","",IF(OR((--TRIM(LEFT(N17,2)))&gt;=SThr,S17&gt;=RPNThr,T17="H"),"Yes","No"))</f>
        <v/>
      </c>
      <c r="V17" s="4" t="n"/>
      <c r="W17" s="4" t="n"/>
      <c r="X17" s="4" t="n"/>
      <c r="Y17" s="29" t="n"/>
      <c r="Z17" s="16" t="n"/>
      <c r="AA17" s="16" t="n"/>
      <c r="AB17" s="16" t="n"/>
      <c r="AC17" s="20">
        <f>IF(OR(Z17="",AA17="",AB17=""),"",(--TRIM(LEFT(Z17,2)))*(--TRIM(LEFT(AA17,2)))*(--TRIM(LEFT(AB17,2))))</f>
        <v/>
      </c>
      <c r="AD17" s="20">
        <f>IF(OR(Z17="",AA17="",AB17=""),"",INDEX(APGrid,COUNTIF(APS,"&gt;"&amp;(--TRIM(LEFT(Z17,2))))*5+COUNTIF(APO,"&gt;"&amp;(--TRIM(LEFT(AA17,2))))+1,COUNTIF(APD,"&gt;"&amp;(--TRIM(LEFT(AB17,2))))+1))</f>
        <v/>
      </c>
      <c r="AE17" s="4" t="n"/>
      <c r="AF17" s="4" t="n"/>
      <c r="AH17">
        <f>IFERROR(INDEX(EqTag,_xlfn.AGGREGATE(15,6,(ROW(EqTag)-4)/((EqSys=$D$3)*(EqTag&lt;&gt;"")),ROWS($AH$14:AH17))),"")</f>
        <v/>
      </c>
    </row>
    <row r="18">
      <c r="A18" s="20">
        <f>IF(F18="","",LEFT($D$3,3)&amp;"-"&amp;TEXT(COUNTIF(F$14:F18,"?*"),"00"))</f>
        <v/>
      </c>
      <c r="B18" s="4" t="n"/>
      <c r="C18" s="5">
        <f>IF(B18="","",IFERROR(INDEX(EqTypeCol,MATCH(B18,EqTag,0)),"Tag not in register"))</f>
        <v/>
      </c>
      <c r="D18" s="4" t="n"/>
      <c r="E18" s="4" t="n"/>
      <c r="F18" s="4" t="n"/>
      <c r="G18" s="4" t="n"/>
      <c r="H18" s="4" t="n"/>
      <c r="I18" s="4" t="n"/>
      <c r="J18" s="5">
        <f>_xlfn.TEXTJOIN(CHAR(10),TRUE,IF(G18="","","• "&amp;G18),IF(H18="","","• "&amp;H18),IF(I18="","","• "&amp;I18))</f>
        <v/>
      </c>
      <c r="K18" s="4" t="n"/>
      <c r="L18" s="4" t="n"/>
      <c r="M18" s="4" t="n"/>
      <c r="N18" s="16" t="n"/>
      <c r="O18" s="4" t="n"/>
      <c r="P18" s="16" t="n"/>
      <c r="Q18" s="4" t="n"/>
      <c r="R18" s="16" t="n"/>
      <c r="S18" s="20">
        <f>IF(OR(N18="",P18="",R18=""),"",(--TRIM(LEFT(N18,2)))*(--TRIM(LEFT(P18,2)))*(--TRIM(LEFT(R18,2))))</f>
        <v/>
      </c>
      <c r="T18" s="20">
        <f>IF(OR(N18="",P18="",R18=""),"",INDEX(APGrid,COUNTIF(APS,"&gt;"&amp;(--TRIM(LEFT(N18,2))))*5+COUNTIF(APO,"&gt;"&amp;(--TRIM(LEFT(P18,2))))+1,COUNTIF(APD,"&gt;"&amp;(--TRIM(LEFT(R18,2))))+1))</f>
        <v/>
      </c>
      <c r="U18" s="20">
        <f>IF(S18="","",IF(OR((--TRIM(LEFT(N18,2)))&gt;=SThr,S18&gt;=RPNThr,T18="H"),"Yes","No"))</f>
        <v/>
      </c>
      <c r="V18" s="4" t="n"/>
      <c r="W18" s="4" t="n"/>
      <c r="X18" s="4" t="n"/>
      <c r="Y18" s="29" t="n"/>
      <c r="Z18" s="16" t="n"/>
      <c r="AA18" s="16" t="n"/>
      <c r="AB18" s="16" t="n"/>
      <c r="AC18" s="20">
        <f>IF(OR(Z18="",AA18="",AB18=""),"",(--TRIM(LEFT(Z18,2)))*(--TRIM(LEFT(AA18,2)))*(--TRIM(LEFT(AB18,2))))</f>
        <v/>
      </c>
      <c r="AD18" s="20">
        <f>IF(OR(Z18="",AA18="",AB18=""),"",INDEX(APGrid,COUNTIF(APS,"&gt;"&amp;(--TRIM(LEFT(Z18,2))))*5+COUNTIF(APO,"&gt;"&amp;(--TRIM(LEFT(AA18,2))))+1,COUNTIF(APD,"&gt;"&amp;(--TRIM(LEFT(AB18,2))))+1))</f>
        <v/>
      </c>
      <c r="AE18" s="4" t="n"/>
      <c r="AF18" s="4" t="n"/>
      <c r="AH18">
        <f>IFERROR(INDEX(EqTag,_xlfn.AGGREGATE(15,6,(ROW(EqTag)-4)/((EqSys=$D$3)*(EqTag&lt;&gt;"")),ROWS($AH$14:AH18))),"")</f>
        <v/>
      </c>
    </row>
    <row r="19">
      <c r="A19" s="20">
        <f>IF(F19="","",LEFT($D$3,3)&amp;"-"&amp;TEXT(COUNTIF(F$14:F19,"?*"),"00"))</f>
        <v/>
      </c>
      <c r="B19" s="4" t="n"/>
      <c r="C19" s="5">
        <f>IF(B19="","",IFERROR(INDEX(EqTypeCol,MATCH(B19,EqTag,0)),"Tag not in register"))</f>
        <v/>
      </c>
      <c r="D19" s="4" t="n"/>
      <c r="E19" s="4" t="n"/>
      <c r="F19" s="4" t="n"/>
      <c r="G19" s="4" t="n"/>
      <c r="H19" s="4" t="n"/>
      <c r="I19" s="4" t="n"/>
      <c r="J19" s="5">
        <f>_xlfn.TEXTJOIN(CHAR(10),TRUE,IF(G19="","","• "&amp;G19),IF(H19="","","• "&amp;H19),IF(I19="","","• "&amp;I19))</f>
        <v/>
      </c>
      <c r="K19" s="4" t="n"/>
      <c r="L19" s="4" t="n"/>
      <c r="M19" s="4" t="n"/>
      <c r="N19" s="16" t="n"/>
      <c r="O19" s="4" t="n"/>
      <c r="P19" s="16" t="n"/>
      <c r="Q19" s="4" t="n"/>
      <c r="R19" s="16" t="n"/>
      <c r="S19" s="20">
        <f>IF(OR(N19="",P19="",R19=""),"",(--TRIM(LEFT(N19,2)))*(--TRIM(LEFT(P19,2)))*(--TRIM(LEFT(R19,2))))</f>
        <v/>
      </c>
      <c r="T19" s="20">
        <f>IF(OR(N19="",P19="",R19=""),"",INDEX(APGrid,COUNTIF(APS,"&gt;"&amp;(--TRIM(LEFT(N19,2))))*5+COUNTIF(APO,"&gt;"&amp;(--TRIM(LEFT(P19,2))))+1,COUNTIF(APD,"&gt;"&amp;(--TRIM(LEFT(R19,2))))+1))</f>
        <v/>
      </c>
      <c r="U19" s="20">
        <f>IF(S19="","",IF(OR((--TRIM(LEFT(N19,2)))&gt;=SThr,S19&gt;=RPNThr,T19="H"),"Yes","No"))</f>
        <v/>
      </c>
      <c r="V19" s="4" t="n"/>
      <c r="W19" s="4" t="n"/>
      <c r="X19" s="4" t="n"/>
      <c r="Y19" s="29" t="n"/>
      <c r="Z19" s="16" t="n"/>
      <c r="AA19" s="16" t="n"/>
      <c r="AB19" s="16" t="n"/>
      <c r="AC19" s="20">
        <f>IF(OR(Z19="",AA19="",AB19=""),"",(--TRIM(LEFT(Z19,2)))*(--TRIM(LEFT(AA19,2)))*(--TRIM(LEFT(AB19,2))))</f>
        <v/>
      </c>
      <c r="AD19" s="20">
        <f>IF(OR(Z19="",AA19="",AB19=""),"",INDEX(APGrid,COUNTIF(APS,"&gt;"&amp;(--TRIM(LEFT(Z19,2))))*5+COUNTIF(APO,"&gt;"&amp;(--TRIM(LEFT(AA19,2))))+1,COUNTIF(APD,"&gt;"&amp;(--TRIM(LEFT(AB19,2))))+1))</f>
        <v/>
      </c>
      <c r="AE19" s="4" t="n"/>
      <c r="AF19" s="4" t="n"/>
      <c r="AH19">
        <f>IFERROR(INDEX(EqTag,_xlfn.AGGREGATE(15,6,(ROW(EqTag)-4)/((EqSys=$D$3)*(EqTag&lt;&gt;"")),ROWS($AH$14:AH19))),"")</f>
        <v/>
      </c>
    </row>
    <row r="20">
      <c r="A20" s="20">
        <f>IF(F20="","",LEFT($D$3,3)&amp;"-"&amp;TEXT(COUNTIF(F$14:F20,"?*"),"00"))</f>
        <v/>
      </c>
      <c r="B20" s="4" t="n"/>
      <c r="C20" s="5">
        <f>IF(B20="","",IFERROR(INDEX(EqTypeCol,MATCH(B20,EqTag,0)),"Tag not in register"))</f>
        <v/>
      </c>
      <c r="D20" s="4" t="n"/>
      <c r="E20" s="4" t="n"/>
      <c r="F20" s="4" t="n"/>
      <c r="G20" s="4" t="n"/>
      <c r="H20" s="4" t="n"/>
      <c r="I20" s="4" t="n"/>
      <c r="J20" s="5">
        <f>_xlfn.TEXTJOIN(CHAR(10),TRUE,IF(G20="","","• "&amp;G20),IF(H20="","","• "&amp;H20),IF(I20="","","• "&amp;I20))</f>
        <v/>
      </c>
      <c r="K20" s="4" t="n"/>
      <c r="L20" s="4" t="n"/>
      <c r="M20" s="4" t="n"/>
      <c r="N20" s="16" t="n"/>
      <c r="O20" s="4" t="n"/>
      <c r="P20" s="16" t="n"/>
      <c r="Q20" s="4" t="n"/>
      <c r="R20" s="16" t="n"/>
      <c r="S20" s="20">
        <f>IF(OR(N20="",P20="",R20=""),"",(--TRIM(LEFT(N20,2)))*(--TRIM(LEFT(P20,2)))*(--TRIM(LEFT(R20,2))))</f>
        <v/>
      </c>
      <c r="T20" s="20">
        <f>IF(OR(N20="",P20="",R20=""),"",INDEX(APGrid,COUNTIF(APS,"&gt;"&amp;(--TRIM(LEFT(N20,2))))*5+COUNTIF(APO,"&gt;"&amp;(--TRIM(LEFT(P20,2))))+1,COUNTIF(APD,"&gt;"&amp;(--TRIM(LEFT(R20,2))))+1))</f>
        <v/>
      </c>
      <c r="U20" s="20">
        <f>IF(S20="","",IF(OR((--TRIM(LEFT(N20,2)))&gt;=SThr,S20&gt;=RPNThr,T20="H"),"Yes","No"))</f>
        <v/>
      </c>
      <c r="V20" s="4" t="n"/>
      <c r="W20" s="4" t="n"/>
      <c r="X20" s="4" t="n"/>
      <c r="Y20" s="29" t="n"/>
      <c r="Z20" s="16" t="n"/>
      <c r="AA20" s="16" t="n"/>
      <c r="AB20" s="16" t="n"/>
      <c r="AC20" s="20">
        <f>IF(OR(Z20="",AA20="",AB20=""),"",(--TRIM(LEFT(Z20,2)))*(--TRIM(LEFT(AA20,2)))*(--TRIM(LEFT(AB20,2))))</f>
        <v/>
      </c>
      <c r="AD20" s="20">
        <f>IF(OR(Z20="",AA20="",AB20=""),"",INDEX(APGrid,COUNTIF(APS,"&gt;"&amp;(--TRIM(LEFT(Z20,2))))*5+COUNTIF(APO,"&gt;"&amp;(--TRIM(LEFT(AA20,2))))+1,COUNTIF(APD,"&gt;"&amp;(--TRIM(LEFT(AB20,2))))+1))</f>
        <v/>
      </c>
      <c r="AE20" s="4" t="n"/>
      <c r="AF20" s="4" t="n"/>
      <c r="AH20">
        <f>IFERROR(INDEX(EqTag,_xlfn.AGGREGATE(15,6,(ROW(EqTag)-4)/((EqSys=$D$3)*(EqTag&lt;&gt;"")),ROWS($AH$14:AH20))),"")</f>
        <v/>
      </c>
    </row>
    <row r="21">
      <c r="A21" s="20">
        <f>IF(F21="","",LEFT($D$3,3)&amp;"-"&amp;TEXT(COUNTIF(F$14:F21,"?*"),"00"))</f>
        <v/>
      </c>
      <c r="B21" s="4" t="n"/>
      <c r="C21" s="5">
        <f>IF(B21="","",IFERROR(INDEX(EqTypeCol,MATCH(B21,EqTag,0)),"Tag not in register"))</f>
        <v/>
      </c>
      <c r="D21" s="4" t="n"/>
      <c r="E21" s="4" t="n"/>
      <c r="F21" s="4" t="n"/>
      <c r="G21" s="4" t="n"/>
      <c r="H21" s="4" t="n"/>
      <c r="I21" s="4" t="n"/>
      <c r="J21" s="5">
        <f>_xlfn.TEXTJOIN(CHAR(10),TRUE,IF(G21="","","• "&amp;G21),IF(H21="","","• "&amp;H21),IF(I21="","","• "&amp;I21))</f>
        <v/>
      </c>
      <c r="K21" s="4" t="n"/>
      <c r="L21" s="4" t="n"/>
      <c r="M21" s="4" t="n"/>
      <c r="N21" s="16" t="n"/>
      <c r="O21" s="4" t="n"/>
      <c r="P21" s="16" t="n"/>
      <c r="Q21" s="4" t="n"/>
      <c r="R21" s="16" t="n"/>
      <c r="S21" s="20">
        <f>IF(OR(N21="",P21="",R21=""),"",(--TRIM(LEFT(N21,2)))*(--TRIM(LEFT(P21,2)))*(--TRIM(LEFT(R21,2))))</f>
        <v/>
      </c>
      <c r="T21" s="20">
        <f>IF(OR(N21="",P21="",R21=""),"",INDEX(APGrid,COUNTIF(APS,"&gt;"&amp;(--TRIM(LEFT(N21,2))))*5+COUNTIF(APO,"&gt;"&amp;(--TRIM(LEFT(P21,2))))+1,COUNTIF(APD,"&gt;"&amp;(--TRIM(LEFT(R21,2))))+1))</f>
        <v/>
      </c>
      <c r="U21" s="20">
        <f>IF(S21="","",IF(OR((--TRIM(LEFT(N21,2)))&gt;=SThr,S21&gt;=RPNThr,T21="H"),"Yes","No"))</f>
        <v/>
      </c>
      <c r="V21" s="4" t="n"/>
      <c r="W21" s="4" t="n"/>
      <c r="X21" s="4" t="n"/>
      <c r="Y21" s="29" t="n"/>
      <c r="Z21" s="16" t="n"/>
      <c r="AA21" s="16" t="n"/>
      <c r="AB21" s="16" t="n"/>
      <c r="AC21" s="20">
        <f>IF(OR(Z21="",AA21="",AB21=""),"",(--TRIM(LEFT(Z21,2)))*(--TRIM(LEFT(AA21,2)))*(--TRIM(LEFT(AB21,2))))</f>
        <v/>
      </c>
      <c r="AD21" s="20">
        <f>IF(OR(Z21="",AA21="",AB21=""),"",INDEX(APGrid,COUNTIF(APS,"&gt;"&amp;(--TRIM(LEFT(Z21,2))))*5+COUNTIF(APO,"&gt;"&amp;(--TRIM(LEFT(AA21,2))))+1,COUNTIF(APD,"&gt;"&amp;(--TRIM(LEFT(AB21,2))))+1))</f>
        <v/>
      </c>
      <c r="AE21" s="4" t="n"/>
      <c r="AF21" s="4" t="n"/>
      <c r="AH21">
        <f>IFERROR(INDEX(EqTag,_xlfn.AGGREGATE(15,6,(ROW(EqTag)-4)/((EqSys=$D$3)*(EqTag&lt;&gt;"")),ROWS($AH$14:AH21))),"")</f>
        <v/>
      </c>
    </row>
    <row r="22">
      <c r="A22" s="20">
        <f>IF(F22="","",LEFT($D$3,3)&amp;"-"&amp;TEXT(COUNTIF(F$14:F22,"?*"),"00"))</f>
        <v/>
      </c>
      <c r="B22" s="4" t="n"/>
      <c r="C22" s="5">
        <f>IF(B22="","",IFERROR(INDEX(EqTypeCol,MATCH(B22,EqTag,0)),"Tag not in register"))</f>
        <v/>
      </c>
      <c r="D22" s="4" t="n"/>
      <c r="E22" s="4" t="n"/>
      <c r="F22" s="4" t="n"/>
      <c r="G22" s="4" t="n"/>
      <c r="H22" s="4" t="n"/>
      <c r="I22" s="4" t="n"/>
      <c r="J22" s="5">
        <f>_xlfn.TEXTJOIN(CHAR(10),TRUE,IF(G22="","","• "&amp;G22),IF(H22="","","• "&amp;H22),IF(I22="","","• "&amp;I22))</f>
        <v/>
      </c>
      <c r="K22" s="4" t="n"/>
      <c r="L22" s="4" t="n"/>
      <c r="M22" s="4" t="n"/>
      <c r="N22" s="16" t="n"/>
      <c r="O22" s="4" t="n"/>
      <c r="P22" s="16" t="n"/>
      <c r="Q22" s="4" t="n"/>
      <c r="R22" s="16" t="n"/>
      <c r="S22" s="20">
        <f>IF(OR(N22="",P22="",R22=""),"",(--TRIM(LEFT(N22,2)))*(--TRIM(LEFT(P22,2)))*(--TRIM(LEFT(R22,2))))</f>
        <v/>
      </c>
      <c r="T22" s="20">
        <f>IF(OR(N22="",P22="",R22=""),"",INDEX(APGrid,COUNTIF(APS,"&gt;"&amp;(--TRIM(LEFT(N22,2))))*5+COUNTIF(APO,"&gt;"&amp;(--TRIM(LEFT(P22,2))))+1,COUNTIF(APD,"&gt;"&amp;(--TRIM(LEFT(R22,2))))+1))</f>
        <v/>
      </c>
      <c r="U22" s="20">
        <f>IF(S22="","",IF(OR((--TRIM(LEFT(N22,2)))&gt;=SThr,S22&gt;=RPNThr,T22="H"),"Yes","No"))</f>
        <v/>
      </c>
      <c r="V22" s="4" t="n"/>
      <c r="W22" s="4" t="n"/>
      <c r="X22" s="4" t="n"/>
      <c r="Y22" s="29" t="n"/>
      <c r="Z22" s="16" t="n"/>
      <c r="AA22" s="16" t="n"/>
      <c r="AB22" s="16" t="n"/>
      <c r="AC22" s="20">
        <f>IF(OR(Z22="",AA22="",AB22=""),"",(--TRIM(LEFT(Z22,2)))*(--TRIM(LEFT(AA22,2)))*(--TRIM(LEFT(AB22,2))))</f>
        <v/>
      </c>
      <c r="AD22" s="20">
        <f>IF(OR(Z22="",AA22="",AB22=""),"",INDEX(APGrid,COUNTIF(APS,"&gt;"&amp;(--TRIM(LEFT(Z22,2))))*5+COUNTIF(APO,"&gt;"&amp;(--TRIM(LEFT(AA22,2))))+1,COUNTIF(APD,"&gt;"&amp;(--TRIM(LEFT(AB22,2))))+1))</f>
        <v/>
      </c>
      <c r="AE22" s="4" t="n"/>
      <c r="AF22" s="4" t="n"/>
      <c r="AH22">
        <f>IFERROR(INDEX(EqTag,_xlfn.AGGREGATE(15,6,(ROW(EqTag)-4)/((EqSys=$D$3)*(EqTag&lt;&gt;"")),ROWS($AH$14:AH22))),"")</f>
        <v/>
      </c>
    </row>
    <row r="23">
      <c r="A23" s="20">
        <f>IF(F23="","",LEFT($D$3,3)&amp;"-"&amp;TEXT(COUNTIF(F$14:F23,"?*"),"00"))</f>
        <v/>
      </c>
      <c r="B23" s="4" t="n"/>
      <c r="C23" s="5">
        <f>IF(B23="","",IFERROR(INDEX(EqTypeCol,MATCH(B23,EqTag,0)),"Tag not in register"))</f>
        <v/>
      </c>
      <c r="D23" s="4" t="n"/>
      <c r="E23" s="4" t="n"/>
      <c r="F23" s="4" t="n"/>
      <c r="G23" s="4" t="n"/>
      <c r="H23" s="4" t="n"/>
      <c r="I23" s="4" t="n"/>
      <c r="J23" s="5">
        <f>_xlfn.TEXTJOIN(CHAR(10),TRUE,IF(G23="","","• "&amp;G23),IF(H23="","","• "&amp;H23),IF(I23="","","• "&amp;I23))</f>
        <v/>
      </c>
      <c r="K23" s="4" t="n"/>
      <c r="L23" s="4" t="n"/>
      <c r="M23" s="4" t="n"/>
      <c r="N23" s="16" t="n"/>
      <c r="O23" s="4" t="n"/>
      <c r="P23" s="16" t="n"/>
      <c r="Q23" s="4" t="n"/>
      <c r="R23" s="16" t="n"/>
      <c r="S23" s="20">
        <f>IF(OR(N23="",P23="",R23=""),"",(--TRIM(LEFT(N23,2)))*(--TRIM(LEFT(P23,2)))*(--TRIM(LEFT(R23,2))))</f>
        <v/>
      </c>
      <c r="T23" s="20">
        <f>IF(OR(N23="",P23="",R23=""),"",INDEX(APGrid,COUNTIF(APS,"&gt;"&amp;(--TRIM(LEFT(N23,2))))*5+COUNTIF(APO,"&gt;"&amp;(--TRIM(LEFT(P23,2))))+1,COUNTIF(APD,"&gt;"&amp;(--TRIM(LEFT(R23,2))))+1))</f>
        <v/>
      </c>
      <c r="U23" s="20">
        <f>IF(S23="","",IF(OR((--TRIM(LEFT(N23,2)))&gt;=SThr,S23&gt;=RPNThr,T23="H"),"Yes","No"))</f>
        <v/>
      </c>
      <c r="V23" s="4" t="n"/>
      <c r="W23" s="4" t="n"/>
      <c r="X23" s="4" t="n"/>
      <c r="Y23" s="29" t="n"/>
      <c r="Z23" s="16" t="n"/>
      <c r="AA23" s="16" t="n"/>
      <c r="AB23" s="16" t="n"/>
      <c r="AC23" s="20">
        <f>IF(OR(Z23="",AA23="",AB23=""),"",(--TRIM(LEFT(Z23,2)))*(--TRIM(LEFT(AA23,2)))*(--TRIM(LEFT(AB23,2))))</f>
        <v/>
      </c>
      <c r="AD23" s="20">
        <f>IF(OR(Z23="",AA23="",AB23=""),"",INDEX(APGrid,COUNTIF(APS,"&gt;"&amp;(--TRIM(LEFT(Z23,2))))*5+COUNTIF(APO,"&gt;"&amp;(--TRIM(LEFT(AA23,2))))+1,COUNTIF(APD,"&gt;"&amp;(--TRIM(LEFT(AB23,2))))+1))</f>
        <v/>
      </c>
      <c r="AE23" s="4" t="n"/>
      <c r="AF23" s="4" t="n"/>
      <c r="AH23">
        <f>IFERROR(INDEX(EqTag,_xlfn.AGGREGATE(15,6,(ROW(EqTag)-4)/((EqSys=$D$3)*(EqTag&lt;&gt;"")),ROWS($AH$14:AH23))),"")</f>
        <v/>
      </c>
    </row>
    <row r="24">
      <c r="A24" s="20">
        <f>IF(F24="","",LEFT($D$3,3)&amp;"-"&amp;TEXT(COUNTIF(F$14:F24,"?*"),"00"))</f>
        <v/>
      </c>
      <c r="B24" s="4" t="n"/>
      <c r="C24" s="5">
        <f>IF(B24="","",IFERROR(INDEX(EqTypeCol,MATCH(B24,EqTag,0)),"Tag not in register"))</f>
        <v/>
      </c>
      <c r="D24" s="4" t="n"/>
      <c r="E24" s="4" t="n"/>
      <c r="F24" s="4" t="n"/>
      <c r="G24" s="4" t="n"/>
      <c r="H24" s="4" t="n"/>
      <c r="I24" s="4" t="n"/>
      <c r="J24" s="5">
        <f>_xlfn.TEXTJOIN(CHAR(10),TRUE,IF(G24="","","• "&amp;G24),IF(H24="","","• "&amp;H24),IF(I24="","","• "&amp;I24))</f>
        <v/>
      </c>
      <c r="K24" s="4" t="n"/>
      <c r="L24" s="4" t="n"/>
      <c r="M24" s="4" t="n"/>
      <c r="N24" s="16" t="n"/>
      <c r="O24" s="4" t="n"/>
      <c r="P24" s="16" t="n"/>
      <c r="Q24" s="4" t="n"/>
      <c r="R24" s="16" t="n"/>
      <c r="S24" s="20">
        <f>IF(OR(N24="",P24="",R24=""),"",(--TRIM(LEFT(N24,2)))*(--TRIM(LEFT(P24,2)))*(--TRIM(LEFT(R24,2))))</f>
        <v/>
      </c>
      <c r="T24" s="20">
        <f>IF(OR(N24="",P24="",R24=""),"",INDEX(APGrid,COUNTIF(APS,"&gt;"&amp;(--TRIM(LEFT(N24,2))))*5+COUNTIF(APO,"&gt;"&amp;(--TRIM(LEFT(P24,2))))+1,COUNTIF(APD,"&gt;"&amp;(--TRIM(LEFT(R24,2))))+1))</f>
        <v/>
      </c>
      <c r="U24" s="20">
        <f>IF(S24="","",IF(OR((--TRIM(LEFT(N24,2)))&gt;=SThr,S24&gt;=RPNThr,T24="H"),"Yes","No"))</f>
        <v/>
      </c>
      <c r="V24" s="4" t="n"/>
      <c r="W24" s="4" t="n"/>
      <c r="X24" s="4" t="n"/>
      <c r="Y24" s="29" t="n"/>
      <c r="Z24" s="16" t="n"/>
      <c r="AA24" s="16" t="n"/>
      <c r="AB24" s="16" t="n"/>
      <c r="AC24" s="20">
        <f>IF(OR(Z24="",AA24="",AB24=""),"",(--TRIM(LEFT(Z24,2)))*(--TRIM(LEFT(AA24,2)))*(--TRIM(LEFT(AB24,2))))</f>
        <v/>
      </c>
      <c r="AD24" s="20">
        <f>IF(OR(Z24="",AA24="",AB24=""),"",INDEX(APGrid,COUNTIF(APS,"&gt;"&amp;(--TRIM(LEFT(Z24,2))))*5+COUNTIF(APO,"&gt;"&amp;(--TRIM(LEFT(AA24,2))))+1,COUNTIF(APD,"&gt;"&amp;(--TRIM(LEFT(AB24,2))))+1))</f>
        <v/>
      </c>
      <c r="AE24" s="4" t="n"/>
      <c r="AF24" s="4" t="n"/>
      <c r="AH24">
        <f>IFERROR(INDEX(EqTag,_xlfn.AGGREGATE(15,6,(ROW(EqTag)-4)/((EqSys=$D$3)*(EqTag&lt;&gt;"")),ROWS($AH$14:AH24))),"")</f>
        <v/>
      </c>
    </row>
    <row r="25">
      <c r="A25" s="20">
        <f>IF(F25="","",LEFT($D$3,3)&amp;"-"&amp;TEXT(COUNTIF(F$14:F25,"?*"),"00"))</f>
        <v/>
      </c>
      <c r="B25" s="4" t="n"/>
      <c r="C25" s="5">
        <f>IF(B25="","",IFERROR(INDEX(EqTypeCol,MATCH(B25,EqTag,0)),"Tag not in register"))</f>
        <v/>
      </c>
      <c r="D25" s="4" t="n"/>
      <c r="E25" s="4" t="n"/>
      <c r="F25" s="4" t="n"/>
      <c r="G25" s="4" t="n"/>
      <c r="H25" s="4" t="n"/>
      <c r="I25" s="4" t="n"/>
      <c r="J25" s="5">
        <f>_xlfn.TEXTJOIN(CHAR(10),TRUE,IF(G25="","","• "&amp;G25),IF(H25="","","• "&amp;H25),IF(I25="","","• "&amp;I25))</f>
        <v/>
      </c>
      <c r="K25" s="4" t="n"/>
      <c r="L25" s="4" t="n"/>
      <c r="M25" s="4" t="n"/>
      <c r="N25" s="16" t="n"/>
      <c r="O25" s="4" t="n"/>
      <c r="P25" s="16" t="n"/>
      <c r="Q25" s="4" t="n"/>
      <c r="R25" s="16" t="n"/>
      <c r="S25" s="20">
        <f>IF(OR(N25="",P25="",R25=""),"",(--TRIM(LEFT(N25,2)))*(--TRIM(LEFT(P25,2)))*(--TRIM(LEFT(R25,2))))</f>
        <v/>
      </c>
      <c r="T25" s="20">
        <f>IF(OR(N25="",P25="",R25=""),"",INDEX(APGrid,COUNTIF(APS,"&gt;"&amp;(--TRIM(LEFT(N25,2))))*5+COUNTIF(APO,"&gt;"&amp;(--TRIM(LEFT(P25,2))))+1,COUNTIF(APD,"&gt;"&amp;(--TRIM(LEFT(R25,2))))+1))</f>
        <v/>
      </c>
      <c r="U25" s="20">
        <f>IF(S25="","",IF(OR((--TRIM(LEFT(N25,2)))&gt;=SThr,S25&gt;=RPNThr,T25="H"),"Yes","No"))</f>
        <v/>
      </c>
      <c r="V25" s="4" t="n"/>
      <c r="W25" s="4" t="n"/>
      <c r="X25" s="4" t="n"/>
      <c r="Y25" s="29" t="n"/>
      <c r="Z25" s="16" t="n"/>
      <c r="AA25" s="16" t="n"/>
      <c r="AB25" s="16" t="n"/>
      <c r="AC25" s="20">
        <f>IF(OR(Z25="",AA25="",AB25=""),"",(--TRIM(LEFT(Z25,2)))*(--TRIM(LEFT(AA25,2)))*(--TRIM(LEFT(AB25,2))))</f>
        <v/>
      </c>
      <c r="AD25" s="20">
        <f>IF(OR(Z25="",AA25="",AB25=""),"",INDEX(APGrid,COUNTIF(APS,"&gt;"&amp;(--TRIM(LEFT(Z25,2))))*5+COUNTIF(APO,"&gt;"&amp;(--TRIM(LEFT(AA25,2))))+1,COUNTIF(APD,"&gt;"&amp;(--TRIM(LEFT(AB25,2))))+1))</f>
        <v/>
      </c>
      <c r="AE25" s="4" t="n"/>
      <c r="AF25" s="4" t="n"/>
      <c r="AH25">
        <f>IFERROR(INDEX(EqTag,_xlfn.AGGREGATE(15,6,(ROW(EqTag)-4)/((EqSys=$D$3)*(EqTag&lt;&gt;"")),ROWS($AH$14:AH25))),"")</f>
        <v/>
      </c>
    </row>
    <row r="26">
      <c r="A26" s="20">
        <f>IF(F26="","",LEFT($D$3,3)&amp;"-"&amp;TEXT(COUNTIF(F$14:F26,"?*"),"00"))</f>
        <v/>
      </c>
      <c r="B26" s="4" t="n"/>
      <c r="C26" s="5">
        <f>IF(B26="","",IFERROR(INDEX(EqTypeCol,MATCH(B26,EqTag,0)),"Tag not in register"))</f>
        <v/>
      </c>
      <c r="D26" s="4" t="n"/>
      <c r="E26" s="4" t="n"/>
      <c r="F26" s="4" t="n"/>
      <c r="G26" s="4" t="n"/>
      <c r="H26" s="4" t="n"/>
      <c r="I26" s="4" t="n"/>
      <c r="J26" s="5">
        <f>_xlfn.TEXTJOIN(CHAR(10),TRUE,IF(G26="","","• "&amp;G26),IF(H26="","","• "&amp;H26),IF(I26="","","• "&amp;I26))</f>
        <v/>
      </c>
      <c r="K26" s="4" t="n"/>
      <c r="L26" s="4" t="n"/>
      <c r="M26" s="4" t="n"/>
      <c r="N26" s="16" t="n"/>
      <c r="O26" s="4" t="n"/>
      <c r="P26" s="16" t="n"/>
      <c r="Q26" s="4" t="n"/>
      <c r="R26" s="16" t="n"/>
      <c r="S26" s="20">
        <f>IF(OR(N26="",P26="",R26=""),"",(--TRIM(LEFT(N26,2)))*(--TRIM(LEFT(P26,2)))*(--TRIM(LEFT(R26,2))))</f>
        <v/>
      </c>
      <c r="T26" s="20">
        <f>IF(OR(N26="",P26="",R26=""),"",INDEX(APGrid,COUNTIF(APS,"&gt;"&amp;(--TRIM(LEFT(N26,2))))*5+COUNTIF(APO,"&gt;"&amp;(--TRIM(LEFT(P26,2))))+1,COUNTIF(APD,"&gt;"&amp;(--TRIM(LEFT(R26,2))))+1))</f>
        <v/>
      </c>
      <c r="U26" s="20">
        <f>IF(S26="","",IF(OR((--TRIM(LEFT(N26,2)))&gt;=SThr,S26&gt;=RPNThr,T26="H"),"Yes","No"))</f>
        <v/>
      </c>
      <c r="V26" s="4" t="n"/>
      <c r="W26" s="4" t="n"/>
      <c r="X26" s="4" t="n"/>
      <c r="Y26" s="29" t="n"/>
      <c r="Z26" s="16" t="n"/>
      <c r="AA26" s="16" t="n"/>
      <c r="AB26" s="16" t="n"/>
      <c r="AC26" s="20">
        <f>IF(OR(Z26="",AA26="",AB26=""),"",(--TRIM(LEFT(Z26,2)))*(--TRIM(LEFT(AA26,2)))*(--TRIM(LEFT(AB26,2))))</f>
        <v/>
      </c>
      <c r="AD26" s="20">
        <f>IF(OR(Z26="",AA26="",AB26=""),"",INDEX(APGrid,COUNTIF(APS,"&gt;"&amp;(--TRIM(LEFT(Z26,2))))*5+COUNTIF(APO,"&gt;"&amp;(--TRIM(LEFT(AA26,2))))+1,COUNTIF(APD,"&gt;"&amp;(--TRIM(LEFT(AB26,2))))+1))</f>
        <v/>
      </c>
      <c r="AE26" s="4" t="n"/>
      <c r="AF26" s="4" t="n"/>
      <c r="AH26">
        <f>IFERROR(INDEX(EqTag,_xlfn.AGGREGATE(15,6,(ROW(EqTag)-4)/((EqSys=$D$3)*(EqTag&lt;&gt;"")),ROWS($AH$14:AH26))),"")</f>
        <v/>
      </c>
    </row>
    <row r="27">
      <c r="A27" s="20">
        <f>IF(F27="","",LEFT($D$3,3)&amp;"-"&amp;TEXT(COUNTIF(F$14:F27,"?*"),"00"))</f>
        <v/>
      </c>
      <c r="B27" s="4" t="n"/>
      <c r="C27" s="5">
        <f>IF(B27="","",IFERROR(INDEX(EqTypeCol,MATCH(B27,EqTag,0)),"Tag not in register"))</f>
        <v/>
      </c>
      <c r="D27" s="4" t="n"/>
      <c r="E27" s="4" t="n"/>
      <c r="F27" s="4" t="n"/>
      <c r="G27" s="4" t="n"/>
      <c r="H27" s="4" t="n"/>
      <c r="I27" s="4" t="n"/>
      <c r="J27" s="5">
        <f>_xlfn.TEXTJOIN(CHAR(10),TRUE,IF(G27="","","• "&amp;G27),IF(H27="","","• "&amp;H27),IF(I27="","","• "&amp;I27))</f>
        <v/>
      </c>
      <c r="K27" s="4" t="n"/>
      <c r="L27" s="4" t="n"/>
      <c r="M27" s="4" t="n"/>
      <c r="N27" s="16" t="n"/>
      <c r="O27" s="4" t="n"/>
      <c r="P27" s="16" t="n"/>
      <c r="Q27" s="4" t="n"/>
      <c r="R27" s="16" t="n"/>
      <c r="S27" s="20">
        <f>IF(OR(N27="",P27="",R27=""),"",(--TRIM(LEFT(N27,2)))*(--TRIM(LEFT(P27,2)))*(--TRIM(LEFT(R27,2))))</f>
        <v/>
      </c>
      <c r="T27" s="20">
        <f>IF(OR(N27="",P27="",R27=""),"",INDEX(APGrid,COUNTIF(APS,"&gt;"&amp;(--TRIM(LEFT(N27,2))))*5+COUNTIF(APO,"&gt;"&amp;(--TRIM(LEFT(P27,2))))+1,COUNTIF(APD,"&gt;"&amp;(--TRIM(LEFT(R27,2))))+1))</f>
        <v/>
      </c>
      <c r="U27" s="20">
        <f>IF(S27="","",IF(OR((--TRIM(LEFT(N27,2)))&gt;=SThr,S27&gt;=RPNThr,T27="H"),"Yes","No"))</f>
        <v/>
      </c>
      <c r="V27" s="4" t="n"/>
      <c r="W27" s="4" t="n"/>
      <c r="X27" s="4" t="n"/>
      <c r="Y27" s="29" t="n"/>
      <c r="Z27" s="16" t="n"/>
      <c r="AA27" s="16" t="n"/>
      <c r="AB27" s="16" t="n"/>
      <c r="AC27" s="20">
        <f>IF(OR(Z27="",AA27="",AB27=""),"",(--TRIM(LEFT(Z27,2)))*(--TRIM(LEFT(AA27,2)))*(--TRIM(LEFT(AB27,2))))</f>
        <v/>
      </c>
      <c r="AD27" s="20">
        <f>IF(OR(Z27="",AA27="",AB27=""),"",INDEX(APGrid,COUNTIF(APS,"&gt;"&amp;(--TRIM(LEFT(Z27,2))))*5+COUNTIF(APO,"&gt;"&amp;(--TRIM(LEFT(AA27,2))))+1,COUNTIF(APD,"&gt;"&amp;(--TRIM(LEFT(AB27,2))))+1))</f>
        <v/>
      </c>
      <c r="AE27" s="4" t="n"/>
      <c r="AF27" s="4" t="n"/>
      <c r="AH27">
        <f>IFERROR(INDEX(EqTag,_xlfn.AGGREGATE(15,6,(ROW(EqTag)-4)/((EqSys=$D$3)*(EqTag&lt;&gt;"")),ROWS($AH$14:AH27))),"")</f>
        <v/>
      </c>
    </row>
    <row r="28">
      <c r="A28" s="20">
        <f>IF(F28="","",LEFT($D$3,3)&amp;"-"&amp;TEXT(COUNTIF(F$14:F28,"?*"),"00"))</f>
        <v/>
      </c>
      <c r="B28" s="4" t="n"/>
      <c r="C28" s="5">
        <f>IF(B28="","",IFERROR(INDEX(EqTypeCol,MATCH(B28,EqTag,0)),"Tag not in register"))</f>
        <v/>
      </c>
      <c r="D28" s="4" t="n"/>
      <c r="E28" s="4" t="n"/>
      <c r="F28" s="4" t="n"/>
      <c r="G28" s="4" t="n"/>
      <c r="H28" s="4" t="n"/>
      <c r="I28" s="4" t="n"/>
      <c r="J28" s="5">
        <f>_xlfn.TEXTJOIN(CHAR(10),TRUE,IF(G28="","","• "&amp;G28),IF(H28="","","• "&amp;H28),IF(I28="","","• "&amp;I28))</f>
        <v/>
      </c>
      <c r="K28" s="4" t="n"/>
      <c r="L28" s="4" t="n"/>
      <c r="M28" s="4" t="n"/>
      <c r="N28" s="16" t="n"/>
      <c r="O28" s="4" t="n"/>
      <c r="P28" s="16" t="n"/>
      <c r="Q28" s="4" t="n"/>
      <c r="R28" s="16" t="n"/>
      <c r="S28" s="20">
        <f>IF(OR(N28="",P28="",R28=""),"",(--TRIM(LEFT(N28,2)))*(--TRIM(LEFT(P28,2)))*(--TRIM(LEFT(R28,2))))</f>
        <v/>
      </c>
      <c r="T28" s="20">
        <f>IF(OR(N28="",P28="",R28=""),"",INDEX(APGrid,COUNTIF(APS,"&gt;"&amp;(--TRIM(LEFT(N28,2))))*5+COUNTIF(APO,"&gt;"&amp;(--TRIM(LEFT(P28,2))))+1,COUNTIF(APD,"&gt;"&amp;(--TRIM(LEFT(R28,2))))+1))</f>
        <v/>
      </c>
      <c r="U28" s="20">
        <f>IF(S28="","",IF(OR((--TRIM(LEFT(N28,2)))&gt;=SThr,S28&gt;=RPNThr,T28="H"),"Yes","No"))</f>
        <v/>
      </c>
      <c r="V28" s="4" t="n"/>
      <c r="W28" s="4" t="n"/>
      <c r="X28" s="4" t="n"/>
      <c r="Y28" s="29" t="n"/>
      <c r="Z28" s="16" t="n"/>
      <c r="AA28" s="16" t="n"/>
      <c r="AB28" s="16" t="n"/>
      <c r="AC28" s="20">
        <f>IF(OR(Z28="",AA28="",AB28=""),"",(--TRIM(LEFT(Z28,2)))*(--TRIM(LEFT(AA28,2)))*(--TRIM(LEFT(AB28,2))))</f>
        <v/>
      </c>
      <c r="AD28" s="20">
        <f>IF(OR(Z28="",AA28="",AB28=""),"",INDEX(APGrid,COUNTIF(APS,"&gt;"&amp;(--TRIM(LEFT(Z28,2))))*5+COUNTIF(APO,"&gt;"&amp;(--TRIM(LEFT(AA28,2))))+1,COUNTIF(APD,"&gt;"&amp;(--TRIM(LEFT(AB28,2))))+1))</f>
        <v/>
      </c>
      <c r="AE28" s="4" t="n"/>
      <c r="AF28" s="4" t="n"/>
      <c r="AH28">
        <f>IFERROR(INDEX(EqTag,_xlfn.AGGREGATE(15,6,(ROW(EqTag)-4)/((EqSys=$D$3)*(EqTag&lt;&gt;"")),ROWS($AH$14:AH28))),"")</f>
        <v/>
      </c>
    </row>
    <row r="29">
      <c r="A29" s="20">
        <f>IF(F29="","",LEFT($D$3,3)&amp;"-"&amp;TEXT(COUNTIF(F$14:F29,"?*"),"00"))</f>
        <v/>
      </c>
      <c r="B29" s="4" t="n"/>
      <c r="C29" s="5">
        <f>IF(B29="","",IFERROR(INDEX(EqTypeCol,MATCH(B29,EqTag,0)),"Tag not in register"))</f>
        <v/>
      </c>
      <c r="D29" s="4" t="n"/>
      <c r="E29" s="4" t="n"/>
      <c r="F29" s="4" t="n"/>
      <c r="G29" s="4" t="n"/>
      <c r="H29" s="4" t="n"/>
      <c r="I29" s="4" t="n"/>
      <c r="J29" s="5">
        <f>_xlfn.TEXTJOIN(CHAR(10),TRUE,IF(G29="","","• "&amp;G29),IF(H29="","","• "&amp;H29),IF(I29="","","• "&amp;I29))</f>
        <v/>
      </c>
      <c r="K29" s="4" t="n"/>
      <c r="L29" s="4" t="n"/>
      <c r="M29" s="4" t="n"/>
      <c r="N29" s="16" t="n"/>
      <c r="O29" s="4" t="n"/>
      <c r="P29" s="16" t="n"/>
      <c r="Q29" s="4" t="n"/>
      <c r="R29" s="16" t="n"/>
      <c r="S29" s="20">
        <f>IF(OR(N29="",P29="",R29=""),"",(--TRIM(LEFT(N29,2)))*(--TRIM(LEFT(P29,2)))*(--TRIM(LEFT(R29,2))))</f>
        <v/>
      </c>
      <c r="T29" s="20">
        <f>IF(OR(N29="",P29="",R29=""),"",INDEX(APGrid,COUNTIF(APS,"&gt;"&amp;(--TRIM(LEFT(N29,2))))*5+COUNTIF(APO,"&gt;"&amp;(--TRIM(LEFT(P29,2))))+1,COUNTIF(APD,"&gt;"&amp;(--TRIM(LEFT(R29,2))))+1))</f>
        <v/>
      </c>
      <c r="U29" s="20">
        <f>IF(S29="","",IF(OR((--TRIM(LEFT(N29,2)))&gt;=SThr,S29&gt;=RPNThr,T29="H"),"Yes","No"))</f>
        <v/>
      </c>
      <c r="V29" s="4" t="n"/>
      <c r="W29" s="4" t="n"/>
      <c r="X29" s="4" t="n"/>
      <c r="Y29" s="29" t="n"/>
      <c r="Z29" s="16" t="n"/>
      <c r="AA29" s="16" t="n"/>
      <c r="AB29" s="16" t="n"/>
      <c r="AC29" s="20">
        <f>IF(OR(Z29="",AA29="",AB29=""),"",(--TRIM(LEFT(Z29,2)))*(--TRIM(LEFT(AA29,2)))*(--TRIM(LEFT(AB29,2))))</f>
        <v/>
      </c>
      <c r="AD29" s="20">
        <f>IF(OR(Z29="",AA29="",AB29=""),"",INDEX(APGrid,COUNTIF(APS,"&gt;"&amp;(--TRIM(LEFT(Z29,2))))*5+COUNTIF(APO,"&gt;"&amp;(--TRIM(LEFT(AA29,2))))+1,COUNTIF(APD,"&gt;"&amp;(--TRIM(LEFT(AB29,2))))+1))</f>
        <v/>
      </c>
      <c r="AE29" s="4" t="n"/>
      <c r="AF29" s="4" t="n"/>
      <c r="AH29">
        <f>IFERROR(INDEX(EqTag,_xlfn.AGGREGATE(15,6,(ROW(EqTag)-4)/((EqSys=$D$3)*(EqTag&lt;&gt;"")),ROWS($AH$14:AH29))),"")</f>
        <v/>
      </c>
    </row>
    <row r="30">
      <c r="A30" s="20">
        <f>IF(F30="","",LEFT($D$3,3)&amp;"-"&amp;TEXT(COUNTIF(F$14:F30,"?*"),"00"))</f>
        <v/>
      </c>
      <c r="B30" s="4" t="n"/>
      <c r="C30" s="5">
        <f>IF(B30="","",IFERROR(INDEX(EqTypeCol,MATCH(B30,EqTag,0)),"Tag not in register"))</f>
        <v/>
      </c>
      <c r="D30" s="4" t="n"/>
      <c r="E30" s="4" t="n"/>
      <c r="F30" s="4" t="n"/>
      <c r="G30" s="4" t="n"/>
      <c r="H30" s="4" t="n"/>
      <c r="I30" s="4" t="n"/>
      <c r="J30" s="5">
        <f>_xlfn.TEXTJOIN(CHAR(10),TRUE,IF(G30="","","• "&amp;G30),IF(H30="","","• "&amp;H30),IF(I30="","","• "&amp;I30))</f>
        <v/>
      </c>
      <c r="K30" s="4" t="n"/>
      <c r="L30" s="4" t="n"/>
      <c r="M30" s="4" t="n"/>
      <c r="N30" s="16" t="n"/>
      <c r="O30" s="4" t="n"/>
      <c r="P30" s="16" t="n"/>
      <c r="Q30" s="4" t="n"/>
      <c r="R30" s="16" t="n"/>
      <c r="S30" s="20">
        <f>IF(OR(N30="",P30="",R30=""),"",(--TRIM(LEFT(N30,2)))*(--TRIM(LEFT(P30,2)))*(--TRIM(LEFT(R30,2))))</f>
        <v/>
      </c>
      <c r="T30" s="20">
        <f>IF(OR(N30="",P30="",R30=""),"",INDEX(APGrid,COUNTIF(APS,"&gt;"&amp;(--TRIM(LEFT(N30,2))))*5+COUNTIF(APO,"&gt;"&amp;(--TRIM(LEFT(P30,2))))+1,COUNTIF(APD,"&gt;"&amp;(--TRIM(LEFT(R30,2))))+1))</f>
        <v/>
      </c>
      <c r="U30" s="20">
        <f>IF(S30="","",IF(OR((--TRIM(LEFT(N30,2)))&gt;=SThr,S30&gt;=RPNThr,T30="H"),"Yes","No"))</f>
        <v/>
      </c>
      <c r="V30" s="4" t="n"/>
      <c r="W30" s="4" t="n"/>
      <c r="X30" s="4" t="n"/>
      <c r="Y30" s="29" t="n"/>
      <c r="Z30" s="16" t="n"/>
      <c r="AA30" s="16" t="n"/>
      <c r="AB30" s="16" t="n"/>
      <c r="AC30" s="20">
        <f>IF(OR(Z30="",AA30="",AB30=""),"",(--TRIM(LEFT(Z30,2)))*(--TRIM(LEFT(AA30,2)))*(--TRIM(LEFT(AB30,2))))</f>
        <v/>
      </c>
      <c r="AD30" s="20">
        <f>IF(OR(Z30="",AA30="",AB30=""),"",INDEX(APGrid,COUNTIF(APS,"&gt;"&amp;(--TRIM(LEFT(Z30,2))))*5+COUNTIF(APO,"&gt;"&amp;(--TRIM(LEFT(AA30,2))))+1,COUNTIF(APD,"&gt;"&amp;(--TRIM(LEFT(AB30,2))))+1))</f>
        <v/>
      </c>
      <c r="AE30" s="4" t="n"/>
      <c r="AF30" s="4" t="n"/>
      <c r="AH30">
        <f>IFERROR(INDEX(EqTag,_xlfn.AGGREGATE(15,6,(ROW(EqTag)-4)/((EqSys=$D$3)*(EqTag&lt;&gt;"")),ROWS($AH$14:AH30))),"")</f>
        <v/>
      </c>
    </row>
    <row r="31">
      <c r="A31" s="20">
        <f>IF(F31="","",LEFT($D$3,3)&amp;"-"&amp;TEXT(COUNTIF(F$14:F31,"?*"),"00"))</f>
        <v/>
      </c>
      <c r="B31" s="4" t="n"/>
      <c r="C31" s="5">
        <f>IF(B31="","",IFERROR(INDEX(EqTypeCol,MATCH(B31,EqTag,0)),"Tag not in register"))</f>
        <v/>
      </c>
      <c r="D31" s="4" t="n"/>
      <c r="E31" s="4" t="n"/>
      <c r="F31" s="4" t="n"/>
      <c r="G31" s="4" t="n"/>
      <c r="H31" s="4" t="n"/>
      <c r="I31" s="4" t="n"/>
      <c r="J31" s="5">
        <f>_xlfn.TEXTJOIN(CHAR(10),TRUE,IF(G31="","","• "&amp;G31),IF(H31="","","• "&amp;H31),IF(I31="","","• "&amp;I31))</f>
        <v/>
      </c>
      <c r="K31" s="4" t="n"/>
      <c r="L31" s="4" t="n"/>
      <c r="M31" s="4" t="n"/>
      <c r="N31" s="16" t="n"/>
      <c r="O31" s="4" t="n"/>
      <c r="P31" s="16" t="n"/>
      <c r="Q31" s="4" t="n"/>
      <c r="R31" s="16" t="n"/>
      <c r="S31" s="20">
        <f>IF(OR(N31="",P31="",R31=""),"",(--TRIM(LEFT(N31,2)))*(--TRIM(LEFT(P31,2)))*(--TRIM(LEFT(R31,2))))</f>
        <v/>
      </c>
      <c r="T31" s="20">
        <f>IF(OR(N31="",P31="",R31=""),"",INDEX(APGrid,COUNTIF(APS,"&gt;"&amp;(--TRIM(LEFT(N31,2))))*5+COUNTIF(APO,"&gt;"&amp;(--TRIM(LEFT(P31,2))))+1,COUNTIF(APD,"&gt;"&amp;(--TRIM(LEFT(R31,2))))+1))</f>
        <v/>
      </c>
      <c r="U31" s="20">
        <f>IF(S31="","",IF(OR((--TRIM(LEFT(N31,2)))&gt;=SThr,S31&gt;=RPNThr,T31="H"),"Yes","No"))</f>
        <v/>
      </c>
      <c r="V31" s="4" t="n"/>
      <c r="W31" s="4" t="n"/>
      <c r="X31" s="4" t="n"/>
      <c r="Y31" s="29" t="n"/>
      <c r="Z31" s="16" t="n"/>
      <c r="AA31" s="16" t="n"/>
      <c r="AB31" s="16" t="n"/>
      <c r="AC31" s="20">
        <f>IF(OR(Z31="",AA31="",AB31=""),"",(--TRIM(LEFT(Z31,2)))*(--TRIM(LEFT(AA31,2)))*(--TRIM(LEFT(AB31,2))))</f>
        <v/>
      </c>
      <c r="AD31" s="20">
        <f>IF(OR(Z31="",AA31="",AB31=""),"",INDEX(APGrid,COUNTIF(APS,"&gt;"&amp;(--TRIM(LEFT(Z31,2))))*5+COUNTIF(APO,"&gt;"&amp;(--TRIM(LEFT(AA31,2))))+1,COUNTIF(APD,"&gt;"&amp;(--TRIM(LEFT(AB31,2))))+1))</f>
        <v/>
      </c>
      <c r="AE31" s="4" t="n"/>
      <c r="AF31" s="4" t="n"/>
      <c r="AH31">
        <f>IFERROR(INDEX(EqTag,_xlfn.AGGREGATE(15,6,(ROW(EqTag)-4)/((EqSys=$D$3)*(EqTag&lt;&gt;"")),ROWS($AH$14:AH31))),"")</f>
        <v/>
      </c>
    </row>
    <row r="32">
      <c r="A32" s="20">
        <f>IF(F32="","",LEFT($D$3,3)&amp;"-"&amp;TEXT(COUNTIF(F$14:F32,"?*"),"00"))</f>
        <v/>
      </c>
      <c r="B32" s="4" t="n"/>
      <c r="C32" s="5">
        <f>IF(B32="","",IFERROR(INDEX(EqTypeCol,MATCH(B32,EqTag,0)),"Tag not in register"))</f>
        <v/>
      </c>
      <c r="D32" s="4" t="n"/>
      <c r="E32" s="4" t="n"/>
      <c r="F32" s="4" t="n"/>
      <c r="G32" s="4" t="n"/>
      <c r="H32" s="4" t="n"/>
      <c r="I32" s="4" t="n"/>
      <c r="J32" s="5">
        <f>_xlfn.TEXTJOIN(CHAR(10),TRUE,IF(G32="","","• "&amp;G32),IF(H32="","","• "&amp;H32),IF(I32="","","• "&amp;I32))</f>
        <v/>
      </c>
      <c r="K32" s="4" t="n"/>
      <c r="L32" s="4" t="n"/>
      <c r="M32" s="4" t="n"/>
      <c r="N32" s="16" t="n"/>
      <c r="O32" s="4" t="n"/>
      <c r="P32" s="16" t="n"/>
      <c r="Q32" s="4" t="n"/>
      <c r="R32" s="16" t="n"/>
      <c r="S32" s="20">
        <f>IF(OR(N32="",P32="",R32=""),"",(--TRIM(LEFT(N32,2)))*(--TRIM(LEFT(P32,2)))*(--TRIM(LEFT(R32,2))))</f>
        <v/>
      </c>
      <c r="T32" s="20">
        <f>IF(OR(N32="",P32="",R32=""),"",INDEX(APGrid,COUNTIF(APS,"&gt;"&amp;(--TRIM(LEFT(N32,2))))*5+COUNTIF(APO,"&gt;"&amp;(--TRIM(LEFT(P32,2))))+1,COUNTIF(APD,"&gt;"&amp;(--TRIM(LEFT(R32,2))))+1))</f>
        <v/>
      </c>
      <c r="U32" s="20">
        <f>IF(S32="","",IF(OR((--TRIM(LEFT(N32,2)))&gt;=SThr,S32&gt;=RPNThr,T32="H"),"Yes","No"))</f>
        <v/>
      </c>
      <c r="V32" s="4" t="n"/>
      <c r="W32" s="4" t="n"/>
      <c r="X32" s="4" t="n"/>
      <c r="Y32" s="29" t="n"/>
      <c r="Z32" s="16" t="n"/>
      <c r="AA32" s="16" t="n"/>
      <c r="AB32" s="16" t="n"/>
      <c r="AC32" s="20">
        <f>IF(OR(Z32="",AA32="",AB32=""),"",(--TRIM(LEFT(Z32,2)))*(--TRIM(LEFT(AA32,2)))*(--TRIM(LEFT(AB32,2))))</f>
        <v/>
      </c>
      <c r="AD32" s="20">
        <f>IF(OR(Z32="",AA32="",AB32=""),"",INDEX(APGrid,COUNTIF(APS,"&gt;"&amp;(--TRIM(LEFT(Z32,2))))*5+COUNTIF(APO,"&gt;"&amp;(--TRIM(LEFT(AA32,2))))+1,COUNTIF(APD,"&gt;"&amp;(--TRIM(LEFT(AB32,2))))+1))</f>
        <v/>
      </c>
      <c r="AE32" s="4" t="n"/>
      <c r="AF32" s="4" t="n"/>
      <c r="AH32">
        <f>IFERROR(INDEX(EqTag,_xlfn.AGGREGATE(15,6,(ROW(EqTag)-4)/((EqSys=$D$3)*(EqTag&lt;&gt;"")),ROWS($AH$14:AH32))),"")</f>
        <v/>
      </c>
    </row>
    <row r="33">
      <c r="A33" s="20">
        <f>IF(F33="","",LEFT($D$3,3)&amp;"-"&amp;TEXT(COUNTIF(F$14:F33,"?*"),"00"))</f>
        <v/>
      </c>
      <c r="B33" s="4" t="n"/>
      <c r="C33" s="5">
        <f>IF(B33="","",IFERROR(INDEX(EqTypeCol,MATCH(B33,EqTag,0)),"Tag not in register"))</f>
        <v/>
      </c>
      <c r="D33" s="4" t="n"/>
      <c r="E33" s="4" t="n"/>
      <c r="F33" s="4" t="n"/>
      <c r="G33" s="4" t="n"/>
      <c r="H33" s="4" t="n"/>
      <c r="I33" s="4" t="n"/>
      <c r="J33" s="5">
        <f>_xlfn.TEXTJOIN(CHAR(10),TRUE,IF(G33="","","• "&amp;G33),IF(H33="","","• "&amp;H33),IF(I33="","","• "&amp;I33))</f>
        <v/>
      </c>
      <c r="K33" s="4" t="n"/>
      <c r="L33" s="4" t="n"/>
      <c r="M33" s="4" t="n"/>
      <c r="N33" s="16" t="n"/>
      <c r="O33" s="4" t="n"/>
      <c r="P33" s="16" t="n"/>
      <c r="Q33" s="4" t="n"/>
      <c r="R33" s="16" t="n"/>
      <c r="S33" s="20">
        <f>IF(OR(N33="",P33="",R33=""),"",(--TRIM(LEFT(N33,2)))*(--TRIM(LEFT(P33,2)))*(--TRIM(LEFT(R33,2))))</f>
        <v/>
      </c>
      <c r="T33" s="20">
        <f>IF(OR(N33="",P33="",R33=""),"",INDEX(APGrid,COUNTIF(APS,"&gt;"&amp;(--TRIM(LEFT(N33,2))))*5+COUNTIF(APO,"&gt;"&amp;(--TRIM(LEFT(P33,2))))+1,COUNTIF(APD,"&gt;"&amp;(--TRIM(LEFT(R33,2))))+1))</f>
        <v/>
      </c>
      <c r="U33" s="20">
        <f>IF(S33="","",IF(OR((--TRIM(LEFT(N33,2)))&gt;=SThr,S33&gt;=RPNThr,T33="H"),"Yes","No"))</f>
        <v/>
      </c>
      <c r="V33" s="4" t="n"/>
      <c r="W33" s="4" t="n"/>
      <c r="X33" s="4" t="n"/>
      <c r="Y33" s="29" t="n"/>
      <c r="Z33" s="16" t="n"/>
      <c r="AA33" s="16" t="n"/>
      <c r="AB33" s="16" t="n"/>
      <c r="AC33" s="20">
        <f>IF(OR(Z33="",AA33="",AB33=""),"",(--TRIM(LEFT(Z33,2)))*(--TRIM(LEFT(AA33,2)))*(--TRIM(LEFT(AB33,2))))</f>
        <v/>
      </c>
      <c r="AD33" s="20">
        <f>IF(OR(Z33="",AA33="",AB33=""),"",INDEX(APGrid,COUNTIF(APS,"&gt;"&amp;(--TRIM(LEFT(Z33,2))))*5+COUNTIF(APO,"&gt;"&amp;(--TRIM(LEFT(AA33,2))))+1,COUNTIF(APD,"&gt;"&amp;(--TRIM(LEFT(AB33,2))))+1))</f>
        <v/>
      </c>
      <c r="AE33" s="4" t="n"/>
      <c r="AF33" s="4" t="n"/>
      <c r="AH33">
        <f>IFERROR(INDEX(EqTag,_xlfn.AGGREGATE(15,6,(ROW(EqTag)-4)/((EqSys=$D$3)*(EqTag&lt;&gt;"")),ROWS($AH$14:AH33))),"")</f>
        <v/>
      </c>
    </row>
    <row r="34">
      <c r="A34" s="20">
        <f>IF(F34="","",LEFT($D$3,3)&amp;"-"&amp;TEXT(COUNTIF(F$14:F34,"?*"),"00"))</f>
        <v/>
      </c>
      <c r="B34" s="4" t="n"/>
      <c r="C34" s="5">
        <f>IF(B34="","",IFERROR(INDEX(EqTypeCol,MATCH(B34,EqTag,0)),"Tag not in register"))</f>
        <v/>
      </c>
      <c r="D34" s="4" t="n"/>
      <c r="E34" s="4" t="n"/>
      <c r="F34" s="4" t="n"/>
      <c r="G34" s="4" t="n"/>
      <c r="H34" s="4" t="n"/>
      <c r="I34" s="4" t="n"/>
      <c r="J34" s="5">
        <f>_xlfn.TEXTJOIN(CHAR(10),TRUE,IF(G34="","","• "&amp;G34),IF(H34="","","• "&amp;H34),IF(I34="","","• "&amp;I34))</f>
        <v/>
      </c>
      <c r="K34" s="4" t="n"/>
      <c r="L34" s="4" t="n"/>
      <c r="M34" s="4" t="n"/>
      <c r="N34" s="16" t="n"/>
      <c r="O34" s="4" t="n"/>
      <c r="P34" s="16" t="n"/>
      <c r="Q34" s="4" t="n"/>
      <c r="R34" s="16" t="n"/>
      <c r="S34" s="20">
        <f>IF(OR(N34="",P34="",R34=""),"",(--TRIM(LEFT(N34,2)))*(--TRIM(LEFT(P34,2)))*(--TRIM(LEFT(R34,2))))</f>
        <v/>
      </c>
      <c r="T34" s="20">
        <f>IF(OR(N34="",P34="",R34=""),"",INDEX(APGrid,COUNTIF(APS,"&gt;"&amp;(--TRIM(LEFT(N34,2))))*5+COUNTIF(APO,"&gt;"&amp;(--TRIM(LEFT(P34,2))))+1,COUNTIF(APD,"&gt;"&amp;(--TRIM(LEFT(R34,2))))+1))</f>
        <v/>
      </c>
      <c r="U34" s="20">
        <f>IF(S34="","",IF(OR((--TRIM(LEFT(N34,2)))&gt;=SThr,S34&gt;=RPNThr,T34="H"),"Yes","No"))</f>
        <v/>
      </c>
      <c r="V34" s="4" t="n"/>
      <c r="W34" s="4" t="n"/>
      <c r="X34" s="4" t="n"/>
      <c r="Y34" s="29" t="n"/>
      <c r="Z34" s="16" t="n"/>
      <c r="AA34" s="16" t="n"/>
      <c r="AB34" s="16" t="n"/>
      <c r="AC34" s="20">
        <f>IF(OR(Z34="",AA34="",AB34=""),"",(--TRIM(LEFT(Z34,2)))*(--TRIM(LEFT(AA34,2)))*(--TRIM(LEFT(AB34,2))))</f>
        <v/>
      </c>
      <c r="AD34" s="20">
        <f>IF(OR(Z34="",AA34="",AB34=""),"",INDEX(APGrid,COUNTIF(APS,"&gt;"&amp;(--TRIM(LEFT(Z34,2))))*5+COUNTIF(APO,"&gt;"&amp;(--TRIM(LEFT(AA34,2))))+1,COUNTIF(APD,"&gt;"&amp;(--TRIM(LEFT(AB34,2))))+1))</f>
        <v/>
      </c>
      <c r="AE34" s="4" t="n"/>
      <c r="AF34" s="4" t="n"/>
      <c r="AH34">
        <f>IFERROR(INDEX(EqTag,_xlfn.AGGREGATE(15,6,(ROW(EqTag)-4)/((EqSys=$D$3)*(EqTag&lt;&gt;"")),ROWS($AH$14:AH34))),"")</f>
        <v/>
      </c>
    </row>
    <row r="35">
      <c r="A35" s="20">
        <f>IF(F35="","",LEFT($D$3,3)&amp;"-"&amp;TEXT(COUNTIF(F$14:F35,"?*"),"00"))</f>
        <v/>
      </c>
      <c r="B35" s="4" t="n"/>
      <c r="C35" s="5">
        <f>IF(B35="","",IFERROR(INDEX(EqTypeCol,MATCH(B35,EqTag,0)),"Tag not in register"))</f>
        <v/>
      </c>
      <c r="D35" s="4" t="n"/>
      <c r="E35" s="4" t="n"/>
      <c r="F35" s="4" t="n"/>
      <c r="G35" s="4" t="n"/>
      <c r="H35" s="4" t="n"/>
      <c r="I35" s="4" t="n"/>
      <c r="J35" s="5">
        <f>_xlfn.TEXTJOIN(CHAR(10),TRUE,IF(G35="","","• "&amp;G35),IF(H35="","","• "&amp;H35),IF(I35="","","• "&amp;I35))</f>
        <v/>
      </c>
      <c r="K35" s="4" t="n"/>
      <c r="L35" s="4" t="n"/>
      <c r="M35" s="4" t="n"/>
      <c r="N35" s="16" t="n"/>
      <c r="O35" s="4" t="n"/>
      <c r="P35" s="16" t="n"/>
      <c r="Q35" s="4" t="n"/>
      <c r="R35" s="16" t="n"/>
      <c r="S35" s="20">
        <f>IF(OR(N35="",P35="",R35=""),"",(--TRIM(LEFT(N35,2)))*(--TRIM(LEFT(P35,2)))*(--TRIM(LEFT(R35,2))))</f>
        <v/>
      </c>
      <c r="T35" s="20">
        <f>IF(OR(N35="",P35="",R35=""),"",INDEX(APGrid,COUNTIF(APS,"&gt;"&amp;(--TRIM(LEFT(N35,2))))*5+COUNTIF(APO,"&gt;"&amp;(--TRIM(LEFT(P35,2))))+1,COUNTIF(APD,"&gt;"&amp;(--TRIM(LEFT(R35,2))))+1))</f>
        <v/>
      </c>
      <c r="U35" s="20">
        <f>IF(S35="","",IF(OR((--TRIM(LEFT(N35,2)))&gt;=SThr,S35&gt;=RPNThr,T35="H"),"Yes","No"))</f>
        <v/>
      </c>
      <c r="V35" s="4" t="n"/>
      <c r="W35" s="4" t="n"/>
      <c r="X35" s="4" t="n"/>
      <c r="Y35" s="29" t="n"/>
      <c r="Z35" s="16" t="n"/>
      <c r="AA35" s="16" t="n"/>
      <c r="AB35" s="16" t="n"/>
      <c r="AC35" s="20">
        <f>IF(OR(Z35="",AA35="",AB35=""),"",(--TRIM(LEFT(Z35,2)))*(--TRIM(LEFT(AA35,2)))*(--TRIM(LEFT(AB35,2))))</f>
        <v/>
      </c>
      <c r="AD35" s="20">
        <f>IF(OR(Z35="",AA35="",AB35=""),"",INDEX(APGrid,COUNTIF(APS,"&gt;"&amp;(--TRIM(LEFT(Z35,2))))*5+COUNTIF(APO,"&gt;"&amp;(--TRIM(LEFT(AA35,2))))+1,COUNTIF(APD,"&gt;"&amp;(--TRIM(LEFT(AB35,2))))+1))</f>
        <v/>
      </c>
      <c r="AE35" s="4" t="n"/>
      <c r="AF35" s="4" t="n"/>
      <c r="AH35">
        <f>IFERROR(INDEX(EqTag,_xlfn.AGGREGATE(15,6,(ROW(EqTag)-4)/((EqSys=$D$3)*(EqTag&lt;&gt;"")),ROWS($AH$14:AH35))),"")</f>
        <v/>
      </c>
    </row>
    <row r="36">
      <c r="A36" s="20">
        <f>IF(F36="","",LEFT($D$3,3)&amp;"-"&amp;TEXT(COUNTIF(F$14:F36,"?*"),"00"))</f>
        <v/>
      </c>
      <c r="B36" s="4" t="n"/>
      <c r="C36" s="5">
        <f>IF(B36="","",IFERROR(INDEX(EqTypeCol,MATCH(B36,EqTag,0)),"Tag not in register"))</f>
        <v/>
      </c>
      <c r="D36" s="4" t="n"/>
      <c r="E36" s="4" t="n"/>
      <c r="F36" s="4" t="n"/>
      <c r="G36" s="4" t="n"/>
      <c r="H36" s="4" t="n"/>
      <c r="I36" s="4" t="n"/>
      <c r="J36" s="5">
        <f>_xlfn.TEXTJOIN(CHAR(10),TRUE,IF(G36="","","• "&amp;G36),IF(H36="","","• "&amp;H36),IF(I36="","","• "&amp;I36))</f>
        <v/>
      </c>
      <c r="K36" s="4" t="n"/>
      <c r="L36" s="4" t="n"/>
      <c r="M36" s="4" t="n"/>
      <c r="N36" s="16" t="n"/>
      <c r="O36" s="4" t="n"/>
      <c r="P36" s="16" t="n"/>
      <c r="Q36" s="4" t="n"/>
      <c r="R36" s="16" t="n"/>
      <c r="S36" s="20">
        <f>IF(OR(N36="",P36="",R36=""),"",(--TRIM(LEFT(N36,2)))*(--TRIM(LEFT(P36,2)))*(--TRIM(LEFT(R36,2))))</f>
        <v/>
      </c>
      <c r="T36" s="20">
        <f>IF(OR(N36="",P36="",R36=""),"",INDEX(APGrid,COUNTIF(APS,"&gt;"&amp;(--TRIM(LEFT(N36,2))))*5+COUNTIF(APO,"&gt;"&amp;(--TRIM(LEFT(P36,2))))+1,COUNTIF(APD,"&gt;"&amp;(--TRIM(LEFT(R36,2))))+1))</f>
        <v/>
      </c>
      <c r="U36" s="20">
        <f>IF(S36="","",IF(OR((--TRIM(LEFT(N36,2)))&gt;=SThr,S36&gt;=RPNThr,T36="H"),"Yes","No"))</f>
        <v/>
      </c>
      <c r="V36" s="4" t="n"/>
      <c r="W36" s="4" t="n"/>
      <c r="X36" s="4" t="n"/>
      <c r="Y36" s="29" t="n"/>
      <c r="Z36" s="16" t="n"/>
      <c r="AA36" s="16" t="n"/>
      <c r="AB36" s="16" t="n"/>
      <c r="AC36" s="20">
        <f>IF(OR(Z36="",AA36="",AB36=""),"",(--TRIM(LEFT(Z36,2)))*(--TRIM(LEFT(AA36,2)))*(--TRIM(LEFT(AB36,2))))</f>
        <v/>
      </c>
      <c r="AD36" s="20">
        <f>IF(OR(Z36="",AA36="",AB36=""),"",INDEX(APGrid,COUNTIF(APS,"&gt;"&amp;(--TRIM(LEFT(Z36,2))))*5+COUNTIF(APO,"&gt;"&amp;(--TRIM(LEFT(AA36,2))))+1,COUNTIF(APD,"&gt;"&amp;(--TRIM(LEFT(AB36,2))))+1))</f>
        <v/>
      </c>
      <c r="AE36" s="4" t="n"/>
      <c r="AF36" s="4" t="n"/>
      <c r="AH36">
        <f>IFERROR(INDEX(EqTag,_xlfn.AGGREGATE(15,6,(ROW(EqTag)-4)/((EqSys=$D$3)*(EqTag&lt;&gt;"")),ROWS($AH$14:AH36))),"")</f>
        <v/>
      </c>
    </row>
    <row r="37">
      <c r="A37" s="20">
        <f>IF(F37="","",LEFT($D$3,3)&amp;"-"&amp;TEXT(COUNTIF(F$14:F37,"?*"),"00"))</f>
        <v/>
      </c>
      <c r="B37" s="4" t="n"/>
      <c r="C37" s="5">
        <f>IF(B37="","",IFERROR(INDEX(EqTypeCol,MATCH(B37,EqTag,0)),"Tag not in register"))</f>
        <v/>
      </c>
      <c r="D37" s="4" t="n"/>
      <c r="E37" s="4" t="n"/>
      <c r="F37" s="4" t="n"/>
      <c r="G37" s="4" t="n"/>
      <c r="H37" s="4" t="n"/>
      <c r="I37" s="4" t="n"/>
      <c r="J37" s="5">
        <f>_xlfn.TEXTJOIN(CHAR(10),TRUE,IF(G37="","","• "&amp;G37),IF(H37="","","• "&amp;H37),IF(I37="","","• "&amp;I37))</f>
        <v/>
      </c>
      <c r="K37" s="4" t="n"/>
      <c r="L37" s="4" t="n"/>
      <c r="M37" s="4" t="n"/>
      <c r="N37" s="16" t="n"/>
      <c r="O37" s="4" t="n"/>
      <c r="P37" s="16" t="n"/>
      <c r="Q37" s="4" t="n"/>
      <c r="R37" s="16" t="n"/>
      <c r="S37" s="20">
        <f>IF(OR(N37="",P37="",R37=""),"",(--TRIM(LEFT(N37,2)))*(--TRIM(LEFT(P37,2)))*(--TRIM(LEFT(R37,2))))</f>
        <v/>
      </c>
      <c r="T37" s="20">
        <f>IF(OR(N37="",P37="",R37=""),"",INDEX(APGrid,COUNTIF(APS,"&gt;"&amp;(--TRIM(LEFT(N37,2))))*5+COUNTIF(APO,"&gt;"&amp;(--TRIM(LEFT(P37,2))))+1,COUNTIF(APD,"&gt;"&amp;(--TRIM(LEFT(R37,2))))+1))</f>
        <v/>
      </c>
      <c r="U37" s="20">
        <f>IF(S37="","",IF(OR((--TRIM(LEFT(N37,2)))&gt;=SThr,S37&gt;=RPNThr,T37="H"),"Yes","No"))</f>
        <v/>
      </c>
      <c r="V37" s="4" t="n"/>
      <c r="W37" s="4" t="n"/>
      <c r="X37" s="4" t="n"/>
      <c r="Y37" s="29" t="n"/>
      <c r="Z37" s="16" t="n"/>
      <c r="AA37" s="16" t="n"/>
      <c r="AB37" s="16" t="n"/>
      <c r="AC37" s="20">
        <f>IF(OR(Z37="",AA37="",AB37=""),"",(--TRIM(LEFT(Z37,2)))*(--TRIM(LEFT(AA37,2)))*(--TRIM(LEFT(AB37,2))))</f>
        <v/>
      </c>
      <c r="AD37" s="20">
        <f>IF(OR(Z37="",AA37="",AB37=""),"",INDEX(APGrid,COUNTIF(APS,"&gt;"&amp;(--TRIM(LEFT(Z37,2))))*5+COUNTIF(APO,"&gt;"&amp;(--TRIM(LEFT(AA37,2))))+1,COUNTIF(APD,"&gt;"&amp;(--TRIM(LEFT(AB37,2))))+1))</f>
        <v/>
      </c>
      <c r="AE37" s="4" t="n"/>
      <c r="AF37" s="4" t="n"/>
      <c r="AH37">
        <f>IFERROR(INDEX(EqTag,_xlfn.AGGREGATE(15,6,(ROW(EqTag)-4)/((EqSys=$D$3)*(EqTag&lt;&gt;"")),ROWS($AH$14:AH37))),"")</f>
        <v/>
      </c>
    </row>
    <row r="38">
      <c r="A38" s="20">
        <f>IF(F38="","",LEFT($D$3,3)&amp;"-"&amp;TEXT(COUNTIF(F$14:F38,"?*"),"00"))</f>
        <v/>
      </c>
      <c r="B38" s="4" t="n"/>
      <c r="C38" s="5">
        <f>IF(B38="","",IFERROR(INDEX(EqTypeCol,MATCH(B38,EqTag,0)),"Tag not in register"))</f>
        <v/>
      </c>
      <c r="D38" s="4" t="n"/>
      <c r="E38" s="4" t="n"/>
      <c r="F38" s="4" t="n"/>
      <c r="G38" s="4" t="n"/>
      <c r="H38" s="4" t="n"/>
      <c r="I38" s="4" t="n"/>
      <c r="J38" s="5">
        <f>_xlfn.TEXTJOIN(CHAR(10),TRUE,IF(G38="","","• "&amp;G38),IF(H38="","","• "&amp;H38),IF(I38="","","• "&amp;I38))</f>
        <v/>
      </c>
      <c r="K38" s="4" t="n"/>
      <c r="L38" s="4" t="n"/>
      <c r="M38" s="4" t="n"/>
      <c r="N38" s="16" t="n"/>
      <c r="O38" s="4" t="n"/>
      <c r="P38" s="16" t="n"/>
      <c r="Q38" s="4" t="n"/>
      <c r="R38" s="16" t="n"/>
      <c r="S38" s="20">
        <f>IF(OR(N38="",P38="",R38=""),"",(--TRIM(LEFT(N38,2)))*(--TRIM(LEFT(P38,2)))*(--TRIM(LEFT(R38,2))))</f>
        <v/>
      </c>
      <c r="T38" s="20">
        <f>IF(OR(N38="",P38="",R38=""),"",INDEX(APGrid,COUNTIF(APS,"&gt;"&amp;(--TRIM(LEFT(N38,2))))*5+COUNTIF(APO,"&gt;"&amp;(--TRIM(LEFT(P38,2))))+1,COUNTIF(APD,"&gt;"&amp;(--TRIM(LEFT(R38,2))))+1))</f>
        <v/>
      </c>
      <c r="U38" s="20">
        <f>IF(S38="","",IF(OR((--TRIM(LEFT(N38,2)))&gt;=SThr,S38&gt;=RPNThr,T38="H"),"Yes","No"))</f>
        <v/>
      </c>
      <c r="V38" s="4" t="n"/>
      <c r="W38" s="4" t="n"/>
      <c r="X38" s="4" t="n"/>
      <c r="Y38" s="29" t="n"/>
      <c r="Z38" s="16" t="n"/>
      <c r="AA38" s="16" t="n"/>
      <c r="AB38" s="16" t="n"/>
      <c r="AC38" s="20">
        <f>IF(OR(Z38="",AA38="",AB38=""),"",(--TRIM(LEFT(Z38,2)))*(--TRIM(LEFT(AA38,2)))*(--TRIM(LEFT(AB38,2))))</f>
        <v/>
      </c>
      <c r="AD38" s="20">
        <f>IF(OR(Z38="",AA38="",AB38=""),"",INDEX(APGrid,COUNTIF(APS,"&gt;"&amp;(--TRIM(LEFT(Z38,2))))*5+COUNTIF(APO,"&gt;"&amp;(--TRIM(LEFT(AA38,2))))+1,COUNTIF(APD,"&gt;"&amp;(--TRIM(LEFT(AB38,2))))+1))</f>
        <v/>
      </c>
      <c r="AE38" s="4" t="n"/>
      <c r="AF38" s="4" t="n"/>
      <c r="AH38">
        <f>IFERROR(INDEX(EqTag,_xlfn.AGGREGATE(15,6,(ROW(EqTag)-4)/((EqSys=$D$3)*(EqTag&lt;&gt;"")),ROWS($AH$14:AH38))),"")</f>
        <v/>
      </c>
    </row>
    <row r="39">
      <c r="A39" s="20">
        <f>IF(F39="","",LEFT($D$3,3)&amp;"-"&amp;TEXT(COUNTIF(F$14:F39,"?*"),"00"))</f>
        <v/>
      </c>
      <c r="B39" s="4" t="n"/>
      <c r="C39" s="5">
        <f>IF(B39="","",IFERROR(INDEX(EqTypeCol,MATCH(B39,EqTag,0)),"Tag not in register"))</f>
        <v/>
      </c>
      <c r="D39" s="4" t="n"/>
      <c r="E39" s="4" t="n"/>
      <c r="F39" s="4" t="n"/>
      <c r="G39" s="4" t="n"/>
      <c r="H39" s="4" t="n"/>
      <c r="I39" s="4" t="n"/>
      <c r="J39" s="5">
        <f>_xlfn.TEXTJOIN(CHAR(10),TRUE,IF(G39="","","• "&amp;G39),IF(H39="","","• "&amp;H39),IF(I39="","","• "&amp;I39))</f>
        <v/>
      </c>
      <c r="K39" s="4" t="n"/>
      <c r="L39" s="4" t="n"/>
      <c r="M39" s="4" t="n"/>
      <c r="N39" s="16" t="n"/>
      <c r="O39" s="4" t="n"/>
      <c r="P39" s="16" t="n"/>
      <c r="Q39" s="4" t="n"/>
      <c r="R39" s="16" t="n"/>
      <c r="S39" s="20">
        <f>IF(OR(N39="",P39="",R39=""),"",(--TRIM(LEFT(N39,2)))*(--TRIM(LEFT(P39,2)))*(--TRIM(LEFT(R39,2))))</f>
        <v/>
      </c>
      <c r="T39" s="20">
        <f>IF(OR(N39="",P39="",R39=""),"",INDEX(APGrid,COUNTIF(APS,"&gt;"&amp;(--TRIM(LEFT(N39,2))))*5+COUNTIF(APO,"&gt;"&amp;(--TRIM(LEFT(P39,2))))+1,COUNTIF(APD,"&gt;"&amp;(--TRIM(LEFT(R39,2))))+1))</f>
        <v/>
      </c>
      <c r="U39" s="20">
        <f>IF(S39="","",IF(OR((--TRIM(LEFT(N39,2)))&gt;=SThr,S39&gt;=RPNThr,T39="H"),"Yes","No"))</f>
        <v/>
      </c>
      <c r="V39" s="4" t="n"/>
      <c r="W39" s="4" t="n"/>
      <c r="X39" s="4" t="n"/>
      <c r="Y39" s="29" t="n"/>
      <c r="Z39" s="16" t="n"/>
      <c r="AA39" s="16" t="n"/>
      <c r="AB39" s="16" t="n"/>
      <c r="AC39" s="20">
        <f>IF(OR(Z39="",AA39="",AB39=""),"",(--TRIM(LEFT(Z39,2)))*(--TRIM(LEFT(AA39,2)))*(--TRIM(LEFT(AB39,2))))</f>
        <v/>
      </c>
      <c r="AD39" s="20">
        <f>IF(OR(Z39="",AA39="",AB39=""),"",INDEX(APGrid,COUNTIF(APS,"&gt;"&amp;(--TRIM(LEFT(Z39,2))))*5+COUNTIF(APO,"&gt;"&amp;(--TRIM(LEFT(AA39,2))))+1,COUNTIF(APD,"&gt;"&amp;(--TRIM(LEFT(AB39,2))))+1))</f>
        <v/>
      </c>
      <c r="AE39" s="4" t="n"/>
      <c r="AF39" s="4" t="n"/>
      <c r="AH39">
        <f>IFERROR(INDEX(EqTag,_xlfn.AGGREGATE(15,6,(ROW(EqTag)-4)/((EqSys=$D$3)*(EqTag&lt;&gt;"")),ROWS($AH$14:AH39))),"")</f>
        <v/>
      </c>
    </row>
    <row r="40">
      <c r="A40" s="20">
        <f>IF(F40="","",LEFT($D$3,3)&amp;"-"&amp;TEXT(COUNTIF(F$14:F40,"?*"),"00"))</f>
        <v/>
      </c>
      <c r="B40" s="4" t="n"/>
      <c r="C40" s="5">
        <f>IF(B40="","",IFERROR(INDEX(EqTypeCol,MATCH(B40,EqTag,0)),"Tag not in register"))</f>
        <v/>
      </c>
      <c r="D40" s="4" t="n"/>
      <c r="E40" s="4" t="n"/>
      <c r="F40" s="4" t="n"/>
      <c r="G40" s="4" t="n"/>
      <c r="H40" s="4" t="n"/>
      <c r="I40" s="4" t="n"/>
      <c r="J40" s="5">
        <f>_xlfn.TEXTJOIN(CHAR(10),TRUE,IF(G40="","","• "&amp;G40),IF(H40="","","• "&amp;H40),IF(I40="","","• "&amp;I40))</f>
        <v/>
      </c>
      <c r="K40" s="4" t="n"/>
      <c r="L40" s="4" t="n"/>
      <c r="M40" s="4" t="n"/>
      <c r="N40" s="16" t="n"/>
      <c r="O40" s="4" t="n"/>
      <c r="P40" s="16" t="n"/>
      <c r="Q40" s="4" t="n"/>
      <c r="R40" s="16" t="n"/>
      <c r="S40" s="20">
        <f>IF(OR(N40="",P40="",R40=""),"",(--TRIM(LEFT(N40,2)))*(--TRIM(LEFT(P40,2)))*(--TRIM(LEFT(R40,2))))</f>
        <v/>
      </c>
      <c r="T40" s="20">
        <f>IF(OR(N40="",P40="",R40=""),"",INDEX(APGrid,COUNTIF(APS,"&gt;"&amp;(--TRIM(LEFT(N40,2))))*5+COUNTIF(APO,"&gt;"&amp;(--TRIM(LEFT(P40,2))))+1,COUNTIF(APD,"&gt;"&amp;(--TRIM(LEFT(R40,2))))+1))</f>
        <v/>
      </c>
      <c r="U40" s="20">
        <f>IF(S40="","",IF(OR((--TRIM(LEFT(N40,2)))&gt;=SThr,S40&gt;=RPNThr,T40="H"),"Yes","No"))</f>
        <v/>
      </c>
      <c r="V40" s="4" t="n"/>
      <c r="W40" s="4" t="n"/>
      <c r="X40" s="4" t="n"/>
      <c r="Y40" s="29" t="n"/>
      <c r="Z40" s="16" t="n"/>
      <c r="AA40" s="16" t="n"/>
      <c r="AB40" s="16" t="n"/>
      <c r="AC40" s="20">
        <f>IF(OR(Z40="",AA40="",AB40=""),"",(--TRIM(LEFT(Z40,2)))*(--TRIM(LEFT(AA40,2)))*(--TRIM(LEFT(AB40,2))))</f>
        <v/>
      </c>
      <c r="AD40" s="20">
        <f>IF(OR(Z40="",AA40="",AB40=""),"",INDEX(APGrid,COUNTIF(APS,"&gt;"&amp;(--TRIM(LEFT(Z40,2))))*5+COUNTIF(APO,"&gt;"&amp;(--TRIM(LEFT(AA40,2))))+1,COUNTIF(APD,"&gt;"&amp;(--TRIM(LEFT(AB40,2))))+1))</f>
        <v/>
      </c>
      <c r="AE40" s="4" t="n"/>
      <c r="AF40" s="4" t="n"/>
      <c r="AH40">
        <f>IFERROR(INDEX(EqTag,_xlfn.AGGREGATE(15,6,(ROW(EqTag)-4)/((EqSys=$D$3)*(EqTag&lt;&gt;"")),ROWS($AH$14:AH40))),"")</f>
        <v/>
      </c>
    </row>
    <row r="41">
      <c r="A41" s="20">
        <f>IF(F41="","",LEFT($D$3,3)&amp;"-"&amp;TEXT(COUNTIF(F$14:F41,"?*"),"00"))</f>
        <v/>
      </c>
      <c r="B41" s="4" t="n"/>
      <c r="C41" s="5">
        <f>IF(B41="","",IFERROR(INDEX(EqTypeCol,MATCH(B41,EqTag,0)),"Tag not in register"))</f>
        <v/>
      </c>
      <c r="D41" s="4" t="n"/>
      <c r="E41" s="4" t="n"/>
      <c r="F41" s="4" t="n"/>
      <c r="G41" s="4" t="n"/>
      <c r="H41" s="4" t="n"/>
      <c r="I41" s="4" t="n"/>
      <c r="J41" s="5">
        <f>_xlfn.TEXTJOIN(CHAR(10),TRUE,IF(G41="","","• "&amp;G41),IF(H41="","","• "&amp;H41),IF(I41="","","• "&amp;I41))</f>
        <v/>
      </c>
      <c r="K41" s="4" t="n"/>
      <c r="L41" s="4" t="n"/>
      <c r="M41" s="4" t="n"/>
      <c r="N41" s="16" t="n"/>
      <c r="O41" s="4" t="n"/>
      <c r="P41" s="16" t="n"/>
      <c r="Q41" s="4" t="n"/>
      <c r="R41" s="16" t="n"/>
      <c r="S41" s="20">
        <f>IF(OR(N41="",P41="",R41=""),"",(--TRIM(LEFT(N41,2)))*(--TRIM(LEFT(P41,2)))*(--TRIM(LEFT(R41,2))))</f>
        <v/>
      </c>
      <c r="T41" s="20">
        <f>IF(OR(N41="",P41="",R41=""),"",INDEX(APGrid,COUNTIF(APS,"&gt;"&amp;(--TRIM(LEFT(N41,2))))*5+COUNTIF(APO,"&gt;"&amp;(--TRIM(LEFT(P41,2))))+1,COUNTIF(APD,"&gt;"&amp;(--TRIM(LEFT(R41,2))))+1))</f>
        <v/>
      </c>
      <c r="U41" s="20">
        <f>IF(S41="","",IF(OR((--TRIM(LEFT(N41,2)))&gt;=SThr,S41&gt;=RPNThr,T41="H"),"Yes","No"))</f>
        <v/>
      </c>
      <c r="V41" s="4" t="n"/>
      <c r="W41" s="4" t="n"/>
      <c r="X41" s="4" t="n"/>
      <c r="Y41" s="29" t="n"/>
      <c r="Z41" s="16" t="n"/>
      <c r="AA41" s="16" t="n"/>
      <c r="AB41" s="16" t="n"/>
      <c r="AC41" s="20">
        <f>IF(OR(Z41="",AA41="",AB41=""),"",(--TRIM(LEFT(Z41,2)))*(--TRIM(LEFT(AA41,2)))*(--TRIM(LEFT(AB41,2))))</f>
        <v/>
      </c>
      <c r="AD41" s="20">
        <f>IF(OR(Z41="",AA41="",AB41=""),"",INDEX(APGrid,COUNTIF(APS,"&gt;"&amp;(--TRIM(LEFT(Z41,2))))*5+COUNTIF(APO,"&gt;"&amp;(--TRIM(LEFT(AA41,2))))+1,COUNTIF(APD,"&gt;"&amp;(--TRIM(LEFT(AB41,2))))+1))</f>
        <v/>
      </c>
      <c r="AE41" s="4" t="n"/>
      <c r="AF41" s="4" t="n"/>
      <c r="AH41">
        <f>IFERROR(INDEX(EqTag,_xlfn.AGGREGATE(15,6,(ROW(EqTag)-4)/((EqSys=$D$3)*(EqTag&lt;&gt;"")),ROWS($AH$14:AH41))),"")</f>
        <v/>
      </c>
    </row>
    <row r="42">
      <c r="A42" s="20">
        <f>IF(F42="","",LEFT($D$3,3)&amp;"-"&amp;TEXT(COUNTIF(F$14:F42,"?*"),"00"))</f>
        <v/>
      </c>
      <c r="B42" s="4" t="n"/>
      <c r="C42" s="5">
        <f>IF(B42="","",IFERROR(INDEX(EqTypeCol,MATCH(B42,EqTag,0)),"Tag not in register"))</f>
        <v/>
      </c>
      <c r="D42" s="4" t="n"/>
      <c r="E42" s="4" t="n"/>
      <c r="F42" s="4" t="n"/>
      <c r="G42" s="4" t="n"/>
      <c r="H42" s="4" t="n"/>
      <c r="I42" s="4" t="n"/>
      <c r="J42" s="5">
        <f>_xlfn.TEXTJOIN(CHAR(10),TRUE,IF(G42="","","• "&amp;G42),IF(H42="","","• "&amp;H42),IF(I42="","","• "&amp;I42))</f>
        <v/>
      </c>
      <c r="K42" s="4" t="n"/>
      <c r="L42" s="4" t="n"/>
      <c r="M42" s="4" t="n"/>
      <c r="N42" s="16" t="n"/>
      <c r="O42" s="4" t="n"/>
      <c r="P42" s="16" t="n"/>
      <c r="Q42" s="4" t="n"/>
      <c r="R42" s="16" t="n"/>
      <c r="S42" s="20">
        <f>IF(OR(N42="",P42="",R42=""),"",(--TRIM(LEFT(N42,2)))*(--TRIM(LEFT(P42,2)))*(--TRIM(LEFT(R42,2))))</f>
        <v/>
      </c>
      <c r="T42" s="20">
        <f>IF(OR(N42="",P42="",R42=""),"",INDEX(APGrid,COUNTIF(APS,"&gt;"&amp;(--TRIM(LEFT(N42,2))))*5+COUNTIF(APO,"&gt;"&amp;(--TRIM(LEFT(P42,2))))+1,COUNTIF(APD,"&gt;"&amp;(--TRIM(LEFT(R42,2))))+1))</f>
        <v/>
      </c>
      <c r="U42" s="20">
        <f>IF(S42="","",IF(OR((--TRIM(LEFT(N42,2)))&gt;=SThr,S42&gt;=RPNThr,T42="H"),"Yes","No"))</f>
        <v/>
      </c>
      <c r="V42" s="4" t="n"/>
      <c r="W42" s="4" t="n"/>
      <c r="X42" s="4" t="n"/>
      <c r="Y42" s="29" t="n"/>
      <c r="Z42" s="16" t="n"/>
      <c r="AA42" s="16" t="n"/>
      <c r="AB42" s="16" t="n"/>
      <c r="AC42" s="20">
        <f>IF(OR(Z42="",AA42="",AB42=""),"",(--TRIM(LEFT(Z42,2)))*(--TRIM(LEFT(AA42,2)))*(--TRIM(LEFT(AB42,2))))</f>
        <v/>
      </c>
      <c r="AD42" s="20">
        <f>IF(OR(Z42="",AA42="",AB42=""),"",INDEX(APGrid,COUNTIF(APS,"&gt;"&amp;(--TRIM(LEFT(Z42,2))))*5+COUNTIF(APO,"&gt;"&amp;(--TRIM(LEFT(AA42,2))))+1,COUNTIF(APD,"&gt;"&amp;(--TRIM(LEFT(AB42,2))))+1))</f>
        <v/>
      </c>
      <c r="AE42" s="4" t="n"/>
      <c r="AF42" s="4" t="n"/>
      <c r="AH42">
        <f>IFERROR(INDEX(EqTag,_xlfn.AGGREGATE(15,6,(ROW(EqTag)-4)/((EqSys=$D$3)*(EqTag&lt;&gt;"")),ROWS($AH$14:AH42))),"")</f>
        <v/>
      </c>
    </row>
    <row r="43">
      <c r="A43" s="20">
        <f>IF(F43="","",LEFT($D$3,3)&amp;"-"&amp;TEXT(COUNTIF(F$14:F43,"?*"),"00"))</f>
        <v/>
      </c>
      <c r="B43" s="4" t="n"/>
      <c r="C43" s="5">
        <f>IF(B43="","",IFERROR(INDEX(EqTypeCol,MATCH(B43,EqTag,0)),"Tag not in register"))</f>
        <v/>
      </c>
      <c r="D43" s="4" t="n"/>
      <c r="E43" s="4" t="n"/>
      <c r="F43" s="4" t="n"/>
      <c r="G43" s="4" t="n"/>
      <c r="H43" s="4" t="n"/>
      <c r="I43" s="4" t="n"/>
      <c r="J43" s="5">
        <f>_xlfn.TEXTJOIN(CHAR(10),TRUE,IF(G43="","","• "&amp;G43),IF(H43="","","• "&amp;H43),IF(I43="","","• "&amp;I43))</f>
        <v/>
      </c>
      <c r="K43" s="4" t="n"/>
      <c r="L43" s="4" t="n"/>
      <c r="M43" s="4" t="n"/>
      <c r="N43" s="16" t="n"/>
      <c r="O43" s="4" t="n"/>
      <c r="P43" s="16" t="n"/>
      <c r="Q43" s="4" t="n"/>
      <c r="R43" s="16" t="n"/>
      <c r="S43" s="20">
        <f>IF(OR(N43="",P43="",R43=""),"",(--TRIM(LEFT(N43,2)))*(--TRIM(LEFT(P43,2)))*(--TRIM(LEFT(R43,2))))</f>
        <v/>
      </c>
      <c r="T43" s="20">
        <f>IF(OR(N43="",P43="",R43=""),"",INDEX(APGrid,COUNTIF(APS,"&gt;"&amp;(--TRIM(LEFT(N43,2))))*5+COUNTIF(APO,"&gt;"&amp;(--TRIM(LEFT(P43,2))))+1,COUNTIF(APD,"&gt;"&amp;(--TRIM(LEFT(R43,2))))+1))</f>
        <v/>
      </c>
      <c r="U43" s="20">
        <f>IF(S43="","",IF(OR((--TRIM(LEFT(N43,2)))&gt;=SThr,S43&gt;=RPNThr,T43="H"),"Yes","No"))</f>
        <v/>
      </c>
      <c r="V43" s="4" t="n"/>
      <c r="W43" s="4" t="n"/>
      <c r="X43" s="4" t="n"/>
      <c r="Y43" s="29" t="n"/>
      <c r="Z43" s="16" t="n"/>
      <c r="AA43" s="16" t="n"/>
      <c r="AB43" s="16" t="n"/>
      <c r="AC43" s="20">
        <f>IF(OR(Z43="",AA43="",AB43=""),"",(--TRIM(LEFT(Z43,2)))*(--TRIM(LEFT(AA43,2)))*(--TRIM(LEFT(AB43,2))))</f>
        <v/>
      </c>
      <c r="AD43" s="20">
        <f>IF(OR(Z43="",AA43="",AB43=""),"",INDEX(APGrid,COUNTIF(APS,"&gt;"&amp;(--TRIM(LEFT(Z43,2))))*5+COUNTIF(APO,"&gt;"&amp;(--TRIM(LEFT(AA43,2))))+1,COUNTIF(APD,"&gt;"&amp;(--TRIM(LEFT(AB43,2))))+1))</f>
        <v/>
      </c>
      <c r="AE43" s="4" t="n"/>
      <c r="AF43" s="4" t="n"/>
      <c r="AH43">
        <f>IFERROR(INDEX(EqTag,_xlfn.AGGREGATE(15,6,(ROW(EqTag)-4)/((EqSys=$D$3)*(EqTag&lt;&gt;"")),ROWS($AH$14:AH43))),"")</f>
        <v/>
      </c>
    </row>
    <row r="44">
      <c r="A44" s="20">
        <f>IF(F44="","",LEFT($D$3,3)&amp;"-"&amp;TEXT(COUNTIF(F$14:F44,"?*"),"00"))</f>
        <v/>
      </c>
      <c r="B44" s="4" t="n"/>
      <c r="C44" s="5">
        <f>IF(B44="","",IFERROR(INDEX(EqTypeCol,MATCH(B44,EqTag,0)),"Tag not in register"))</f>
        <v/>
      </c>
      <c r="D44" s="4" t="n"/>
      <c r="E44" s="4" t="n"/>
      <c r="F44" s="4" t="n"/>
      <c r="G44" s="4" t="n"/>
      <c r="H44" s="4" t="n"/>
      <c r="I44" s="4" t="n"/>
      <c r="J44" s="5">
        <f>_xlfn.TEXTJOIN(CHAR(10),TRUE,IF(G44="","","• "&amp;G44),IF(H44="","","• "&amp;H44),IF(I44="","","• "&amp;I44))</f>
        <v/>
      </c>
      <c r="K44" s="4" t="n"/>
      <c r="L44" s="4" t="n"/>
      <c r="M44" s="4" t="n"/>
      <c r="N44" s="16" t="n"/>
      <c r="O44" s="4" t="n"/>
      <c r="P44" s="16" t="n"/>
      <c r="Q44" s="4" t="n"/>
      <c r="R44" s="16" t="n"/>
      <c r="S44" s="20">
        <f>IF(OR(N44="",P44="",R44=""),"",(--TRIM(LEFT(N44,2)))*(--TRIM(LEFT(P44,2)))*(--TRIM(LEFT(R44,2))))</f>
        <v/>
      </c>
      <c r="T44" s="20">
        <f>IF(OR(N44="",P44="",R44=""),"",INDEX(APGrid,COUNTIF(APS,"&gt;"&amp;(--TRIM(LEFT(N44,2))))*5+COUNTIF(APO,"&gt;"&amp;(--TRIM(LEFT(P44,2))))+1,COUNTIF(APD,"&gt;"&amp;(--TRIM(LEFT(R44,2))))+1))</f>
        <v/>
      </c>
      <c r="U44" s="20">
        <f>IF(S44="","",IF(OR((--TRIM(LEFT(N44,2)))&gt;=SThr,S44&gt;=RPNThr,T44="H"),"Yes","No"))</f>
        <v/>
      </c>
      <c r="V44" s="4" t="n"/>
      <c r="W44" s="4" t="n"/>
      <c r="X44" s="4" t="n"/>
      <c r="Y44" s="29" t="n"/>
      <c r="Z44" s="16" t="n"/>
      <c r="AA44" s="16" t="n"/>
      <c r="AB44" s="16" t="n"/>
      <c r="AC44" s="20">
        <f>IF(OR(Z44="",AA44="",AB44=""),"",(--TRIM(LEFT(Z44,2)))*(--TRIM(LEFT(AA44,2)))*(--TRIM(LEFT(AB44,2))))</f>
        <v/>
      </c>
      <c r="AD44" s="20">
        <f>IF(OR(Z44="",AA44="",AB44=""),"",INDEX(APGrid,COUNTIF(APS,"&gt;"&amp;(--TRIM(LEFT(Z44,2))))*5+COUNTIF(APO,"&gt;"&amp;(--TRIM(LEFT(AA44,2))))+1,COUNTIF(APD,"&gt;"&amp;(--TRIM(LEFT(AB44,2))))+1))</f>
        <v/>
      </c>
      <c r="AE44" s="4" t="n"/>
      <c r="AF44" s="4" t="n"/>
      <c r="AH44">
        <f>IFERROR(INDEX(EqTag,_xlfn.AGGREGATE(15,6,(ROW(EqTag)-4)/((EqSys=$D$3)*(EqTag&lt;&gt;"")),ROWS($AH$14:AH44))),"")</f>
        <v/>
      </c>
    </row>
    <row r="45">
      <c r="A45" s="20">
        <f>IF(F45="","",LEFT($D$3,3)&amp;"-"&amp;TEXT(COUNTIF(F$14:F45,"?*"),"00"))</f>
        <v/>
      </c>
      <c r="B45" s="4" t="n"/>
      <c r="C45" s="5">
        <f>IF(B45="","",IFERROR(INDEX(EqTypeCol,MATCH(B45,EqTag,0)),"Tag not in register"))</f>
        <v/>
      </c>
      <c r="D45" s="4" t="n"/>
      <c r="E45" s="4" t="n"/>
      <c r="F45" s="4" t="n"/>
      <c r="G45" s="4" t="n"/>
      <c r="H45" s="4" t="n"/>
      <c r="I45" s="4" t="n"/>
      <c r="J45" s="5">
        <f>_xlfn.TEXTJOIN(CHAR(10),TRUE,IF(G45="","","• "&amp;G45),IF(H45="","","• "&amp;H45),IF(I45="","","• "&amp;I45))</f>
        <v/>
      </c>
      <c r="K45" s="4" t="n"/>
      <c r="L45" s="4" t="n"/>
      <c r="M45" s="4" t="n"/>
      <c r="N45" s="16" t="n"/>
      <c r="O45" s="4" t="n"/>
      <c r="P45" s="16" t="n"/>
      <c r="Q45" s="4" t="n"/>
      <c r="R45" s="16" t="n"/>
      <c r="S45" s="20">
        <f>IF(OR(N45="",P45="",R45=""),"",(--TRIM(LEFT(N45,2)))*(--TRIM(LEFT(P45,2)))*(--TRIM(LEFT(R45,2))))</f>
        <v/>
      </c>
      <c r="T45" s="20">
        <f>IF(OR(N45="",P45="",R45=""),"",INDEX(APGrid,COUNTIF(APS,"&gt;"&amp;(--TRIM(LEFT(N45,2))))*5+COUNTIF(APO,"&gt;"&amp;(--TRIM(LEFT(P45,2))))+1,COUNTIF(APD,"&gt;"&amp;(--TRIM(LEFT(R45,2))))+1))</f>
        <v/>
      </c>
      <c r="U45" s="20">
        <f>IF(S45="","",IF(OR((--TRIM(LEFT(N45,2)))&gt;=SThr,S45&gt;=RPNThr,T45="H"),"Yes","No"))</f>
        <v/>
      </c>
      <c r="V45" s="4" t="n"/>
      <c r="W45" s="4" t="n"/>
      <c r="X45" s="4" t="n"/>
      <c r="Y45" s="29" t="n"/>
      <c r="Z45" s="16" t="n"/>
      <c r="AA45" s="16" t="n"/>
      <c r="AB45" s="16" t="n"/>
      <c r="AC45" s="20">
        <f>IF(OR(Z45="",AA45="",AB45=""),"",(--TRIM(LEFT(Z45,2)))*(--TRIM(LEFT(AA45,2)))*(--TRIM(LEFT(AB45,2))))</f>
        <v/>
      </c>
      <c r="AD45" s="20">
        <f>IF(OR(Z45="",AA45="",AB45=""),"",INDEX(APGrid,COUNTIF(APS,"&gt;"&amp;(--TRIM(LEFT(Z45,2))))*5+COUNTIF(APO,"&gt;"&amp;(--TRIM(LEFT(AA45,2))))+1,COUNTIF(APD,"&gt;"&amp;(--TRIM(LEFT(AB45,2))))+1))</f>
        <v/>
      </c>
      <c r="AE45" s="4" t="n"/>
      <c r="AF45" s="4" t="n"/>
      <c r="AH45">
        <f>IFERROR(INDEX(EqTag,_xlfn.AGGREGATE(15,6,(ROW(EqTag)-4)/((EqSys=$D$3)*(EqTag&lt;&gt;"")),ROWS($AH$14:AH45))),"")</f>
        <v/>
      </c>
    </row>
    <row r="46">
      <c r="A46" s="20">
        <f>IF(F46="","",LEFT($D$3,3)&amp;"-"&amp;TEXT(COUNTIF(F$14:F46,"?*"),"00"))</f>
        <v/>
      </c>
      <c r="B46" s="4" t="n"/>
      <c r="C46" s="5">
        <f>IF(B46="","",IFERROR(INDEX(EqTypeCol,MATCH(B46,EqTag,0)),"Tag not in register"))</f>
        <v/>
      </c>
      <c r="D46" s="4" t="n"/>
      <c r="E46" s="4" t="n"/>
      <c r="F46" s="4" t="n"/>
      <c r="G46" s="4" t="n"/>
      <c r="H46" s="4" t="n"/>
      <c r="I46" s="4" t="n"/>
      <c r="J46" s="5">
        <f>_xlfn.TEXTJOIN(CHAR(10),TRUE,IF(G46="","","• "&amp;G46),IF(H46="","","• "&amp;H46),IF(I46="","","• "&amp;I46))</f>
        <v/>
      </c>
      <c r="K46" s="4" t="n"/>
      <c r="L46" s="4" t="n"/>
      <c r="M46" s="4" t="n"/>
      <c r="N46" s="16" t="n"/>
      <c r="O46" s="4" t="n"/>
      <c r="P46" s="16" t="n"/>
      <c r="Q46" s="4" t="n"/>
      <c r="R46" s="16" t="n"/>
      <c r="S46" s="20">
        <f>IF(OR(N46="",P46="",R46=""),"",(--TRIM(LEFT(N46,2)))*(--TRIM(LEFT(P46,2)))*(--TRIM(LEFT(R46,2))))</f>
        <v/>
      </c>
      <c r="T46" s="20">
        <f>IF(OR(N46="",P46="",R46=""),"",INDEX(APGrid,COUNTIF(APS,"&gt;"&amp;(--TRIM(LEFT(N46,2))))*5+COUNTIF(APO,"&gt;"&amp;(--TRIM(LEFT(P46,2))))+1,COUNTIF(APD,"&gt;"&amp;(--TRIM(LEFT(R46,2))))+1))</f>
        <v/>
      </c>
      <c r="U46" s="20">
        <f>IF(S46="","",IF(OR((--TRIM(LEFT(N46,2)))&gt;=SThr,S46&gt;=RPNThr,T46="H"),"Yes","No"))</f>
        <v/>
      </c>
      <c r="V46" s="4" t="n"/>
      <c r="W46" s="4" t="n"/>
      <c r="X46" s="4" t="n"/>
      <c r="Y46" s="29" t="n"/>
      <c r="Z46" s="16" t="n"/>
      <c r="AA46" s="16" t="n"/>
      <c r="AB46" s="16" t="n"/>
      <c r="AC46" s="20">
        <f>IF(OR(Z46="",AA46="",AB46=""),"",(--TRIM(LEFT(Z46,2)))*(--TRIM(LEFT(AA46,2)))*(--TRIM(LEFT(AB46,2))))</f>
        <v/>
      </c>
      <c r="AD46" s="20">
        <f>IF(OR(Z46="",AA46="",AB46=""),"",INDEX(APGrid,COUNTIF(APS,"&gt;"&amp;(--TRIM(LEFT(Z46,2))))*5+COUNTIF(APO,"&gt;"&amp;(--TRIM(LEFT(AA46,2))))+1,COUNTIF(APD,"&gt;"&amp;(--TRIM(LEFT(AB46,2))))+1))</f>
        <v/>
      </c>
      <c r="AE46" s="4" t="n"/>
      <c r="AF46" s="4" t="n"/>
      <c r="AH46">
        <f>IFERROR(INDEX(EqTag,_xlfn.AGGREGATE(15,6,(ROW(EqTag)-4)/((EqSys=$D$3)*(EqTag&lt;&gt;"")),ROWS($AH$14:AH46))),"")</f>
        <v/>
      </c>
    </row>
    <row r="47">
      <c r="A47" s="20">
        <f>IF(F47="","",LEFT($D$3,3)&amp;"-"&amp;TEXT(COUNTIF(F$14:F47,"?*"),"00"))</f>
        <v/>
      </c>
      <c r="B47" s="4" t="n"/>
      <c r="C47" s="5">
        <f>IF(B47="","",IFERROR(INDEX(EqTypeCol,MATCH(B47,EqTag,0)),"Tag not in register"))</f>
        <v/>
      </c>
      <c r="D47" s="4" t="n"/>
      <c r="E47" s="4" t="n"/>
      <c r="F47" s="4" t="n"/>
      <c r="G47" s="4" t="n"/>
      <c r="H47" s="4" t="n"/>
      <c r="I47" s="4" t="n"/>
      <c r="J47" s="5">
        <f>_xlfn.TEXTJOIN(CHAR(10),TRUE,IF(G47="","","• "&amp;G47),IF(H47="","","• "&amp;H47),IF(I47="","","• "&amp;I47))</f>
        <v/>
      </c>
      <c r="K47" s="4" t="n"/>
      <c r="L47" s="4" t="n"/>
      <c r="M47" s="4" t="n"/>
      <c r="N47" s="16" t="n"/>
      <c r="O47" s="4" t="n"/>
      <c r="P47" s="16" t="n"/>
      <c r="Q47" s="4" t="n"/>
      <c r="R47" s="16" t="n"/>
      <c r="S47" s="20">
        <f>IF(OR(N47="",P47="",R47=""),"",(--TRIM(LEFT(N47,2)))*(--TRIM(LEFT(P47,2)))*(--TRIM(LEFT(R47,2))))</f>
        <v/>
      </c>
      <c r="T47" s="20">
        <f>IF(OR(N47="",P47="",R47=""),"",INDEX(APGrid,COUNTIF(APS,"&gt;"&amp;(--TRIM(LEFT(N47,2))))*5+COUNTIF(APO,"&gt;"&amp;(--TRIM(LEFT(P47,2))))+1,COUNTIF(APD,"&gt;"&amp;(--TRIM(LEFT(R47,2))))+1))</f>
        <v/>
      </c>
      <c r="U47" s="20">
        <f>IF(S47="","",IF(OR((--TRIM(LEFT(N47,2)))&gt;=SThr,S47&gt;=RPNThr,T47="H"),"Yes","No"))</f>
        <v/>
      </c>
      <c r="V47" s="4" t="n"/>
      <c r="W47" s="4" t="n"/>
      <c r="X47" s="4" t="n"/>
      <c r="Y47" s="29" t="n"/>
      <c r="Z47" s="16" t="n"/>
      <c r="AA47" s="16" t="n"/>
      <c r="AB47" s="16" t="n"/>
      <c r="AC47" s="20">
        <f>IF(OR(Z47="",AA47="",AB47=""),"",(--TRIM(LEFT(Z47,2)))*(--TRIM(LEFT(AA47,2)))*(--TRIM(LEFT(AB47,2))))</f>
        <v/>
      </c>
      <c r="AD47" s="20">
        <f>IF(OR(Z47="",AA47="",AB47=""),"",INDEX(APGrid,COUNTIF(APS,"&gt;"&amp;(--TRIM(LEFT(Z47,2))))*5+COUNTIF(APO,"&gt;"&amp;(--TRIM(LEFT(AA47,2))))+1,COUNTIF(APD,"&gt;"&amp;(--TRIM(LEFT(AB47,2))))+1))</f>
        <v/>
      </c>
      <c r="AE47" s="4" t="n"/>
      <c r="AF47" s="4" t="n"/>
      <c r="AH47">
        <f>IFERROR(INDEX(EqTag,_xlfn.AGGREGATE(15,6,(ROW(EqTag)-4)/((EqSys=$D$3)*(EqTag&lt;&gt;"")),ROWS($AH$14:AH47))),"")</f>
        <v/>
      </c>
    </row>
    <row r="48">
      <c r="A48" s="20">
        <f>IF(F48="","",LEFT($D$3,3)&amp;"-"&amp;TEXT(COUNTIF(F$14:F48,"?*"),"00"))</f>
        <v/>
      </c>
      <c r="B48" s="4" t="n"/>
      <c r="C48" s="5">
        <f>IF(B48="","",IFERROR(INDEX(EqTypeCol,MATCH(B48,EqTag,0)),"Tag not in register"))</f>
        <v/>
      </c>
      <c r="D48" s="4" t="n"/>
      <c r="E48" s="4" t="n"/>
      <c r="F48" s="4" t="n"/>
      <c r="G48" s="4" t="n"/>
      <c r="H48" s="4" t="n"/>
      <c r="I48" s="4" t="n"/>
      <c r="J48" s="5">
        <f>_xlfn.TEXTJOIN(CHAR(10),TRUE,IF(G48="","","• "&amp;G48),IF(H48="","","• "&amp;H48),IF(I48="","","• "&amp;I48))</f>
        <v/>
      </c>
      <c r="K48" s="4" t="n"/>
      <c r="L48" s="4" t="n"/>
      <c r="M48" s="4" t="n"/>
      <c r="N48" s="16" t="n"/>
      <c r="O48" s="4" t="n"/>
      <c r="P48" s="16" t="n"/>
      <c r="Q48" s="4" t="n"/>
      <c r="R48" s="16" t="n"/>
      <c r="S48" s="20">
        <f>IF(OR(N48="",P48="",R48=""),"",(--TRIM(LEFT(N48,2)))*(--TRIM(LEFT(P48,2)))*(--TRIM(LEFT(R48,2))))</f>
        <v/>
      </c>
      <c r="T48" s="20">
        <f>IF(OR(N48="",P48="",R48=""),"",INDEX(APGrid,COUNTIF(APS,"&gt;"&amp;(--TRIM(LEFT(N48,2))))*5+COUNTIF(APO,"&gt;"&amp;(--TRIM(LEFT(P48,2))))+1,COUNTIF(APD,"&gt;"&amp;(--TRIM(LEFT(R48,2))))+1))</f>
        <v/>
      </c>
      <c r="U48" s="20">
        <f>IF(S48="","",IF(OR((--TRIM(LEFT(N48,2)))&gt;=SThr,S48&gt;=RPNThr,T48="H"),"Yes","No"))</f>
        <v/>
      </c>
      <c r="V48" s="4" t="n"/>
      <c r="W48" s="4" t="n"/>
      <c r="X48" s="4" t="n"/>
      <c r="Y48" s="29" t="n"/>
      <c r="Z48" s="16" t="n"/>
      <c r="AA48" s="16" t="n"/>
      <c r="AB48" s="16" t="n"/>
      <c r="AC48" s="20">
        <f>IF(OR(Z48="",AA48="",AB48=""),"",(--TRIM(LEFT(Z48,2)))*(--TRIM(LEFT(AA48,2)))*(--TRIM(LEFT(AB48,2))))</f>
        <v/>
      </c>
      <c r="AD48" s="20">
        <f>IF(OR(Z48="",AA48="",AB48=""),"",INDEX(APGrid,COUNTIF(APS,"&gt;"&amp;(--TRIM(LEFT(Z48,2))))*5+COUNTIF(APO,"&gt;"&amp;(--TRIM(LEFT(AA48,2))))+1,COUNTIF(APD,"&gt;"&amp;(--TRIM(LEFT(AB48,2))))+1))</f>
        <v/>
      </c>
      <c r="AE48" s="4" t="n"/>
      <c r="AF48" s="4" t="n"/>
      <c r="AH48">
        <f>IFERROR(INDEX(EqTag,_xlfn.AGGREGATE(15,6,(ROW(EqTag)-4)/((EqSys=$D$3)*(EqTag&lt;&gt;"")),ROWS($AH$14:AH48))),"")</f>
        <v/>
      </c>
    </row>
    <row r="49">
      <c r="A49" s="20">
        <f>IF(F49="","",LEFT($D$3,3)&amp;"-"&amp;TEXT(COUNTIF(F$14:F49,"?*"),"00"))</f>
        <v/>
      </c>
      <c r="B49" s="4" t="n"/>
      <c r="C49" s="5">
        <f>IF(B49="","",IFERROR(INDEX(EqTypeCol,MATCH(B49,EqTag,0)),"Tag not in register"))</f>
        <v/>
      </c>
      <c r="D49" s="4" t="n"/>
      <c r="E49" s="4" t="n"/>
      <c r="F49" s="4" t="n"/>
      <c r="G49" s="4" t="n"/>
      <c r="H49" s="4" t="n"/>
      <c r="I49" s="4" t="n"/>
      <c r="J49" s="5">
        <f>_xlfn.TEXTJOIN(CHAR(10),TRUE,IF(G49="","","• "&amp;G49),IF(H49="","","• "&amp;H49),IF(I49="","","• "&amp;I49))</f>
        <v/>
      </c>
      <c r="K49" s="4" t="n"/>
      <c r="L49" s="4" t="n"/>
      <c r="M49" s="4" t="n"/>
      <c r="N49" s="16" t="n"/>
      <c r="O49" s="4" t="n"/>
      <c r="P49" s="16" t="n"/>
      <c r="Q49" s="4" t="n"/>
      <c r="R49" s="16" t="n"/>
      <c r="S49" s="20">
        <f>IF(OR(N49="",P49="",R49=""),"",(--TRIM(LEFT(N49,2)))*(--TRIM(LEFT(P49,2)))*(--TRIM(LEFT(R49,2))))</f>
        <v/>
      </c>
      <c r="T49" s="20">
        <f>IF(OR(N49="",P49="",R49=""),"",INDEX(APGrid,COUNTIF(APS,"&gt;"&amp;(--TRIM(LEFT(N49,2))))*5+COUNTIF(APO,"&gt;"&amp;(--TRIM(LEFT(P49,2))))+1,COUNTIF(APD,"&gt;"&amp;(--TRIM(LEFT(R49,2))))+1))</f>
        <v/>
      </c>
      <c r="U49" s="20">
        <f>IF(S49="","",IF(OR((--TRIM(LEFT(N49,2)))&gt;=SThr,S49&gt;=RPNThr,T49="H"),"Yes","No"))</f>
        <v/>
      </c>
      <c r="V49" s="4" t="n"/>
      <c r="W49" s="4" t="n"/>
      <c r="X49" s="4" t="n"/>
      <c r="Y49" s="29" t="n"/>
      <c r="Z49" s="16" t="n"/>
      <c r="AA49" s="16" t="n"/>
      <c r="AB49" s="16" t="n"/>
      <c r="AC49" s="20">
        <f>IF(OR(Z49="",AA49="",AB49=""),"",(--TRIM(LEFT(Z49,2)))*(--TRIM(LEFT(AA49,2)))*(--TRIM(LEFT(AB49,2))))</f>
        <v/>
      </c>
      <c r="AD49" s="20">
        <f>IF(OR(Z49="",AA49="",AB49=""),"",INDEX(APGrid,COUNTIF(APS,"&gt;"&amp;(--TRIM(LEFT(Z49,2))))*5+COUNTIF(APO,"&gt;"&amp;(--TRIM(LEFT(AA49,2))))+1,COUNTIF(APD,"&gt;"&amp;(--TRIM(LEFT(AB49,2))))+1))</f>
        <v/>
      </c>
      <c r="AE49" s="4" t="n"/>
      <c r="AF49" s="4" t="n"/>
      <c r="AH49">
        <f>IFERROR(INDEX(EqTag,_xlfn.AGGREGATE(15,6,(ROW(EqTag)-4)/((EqSys=$D$3)*(EqTag&lt;&gt;"")),ROWS($AH$14:AH49))),"")</f>
        <v/>
      </c>
    </row>
    <row r="50">
      <c r="A50" s="20">
        <f>IF(F50="","",LEFT($D$3,3)&amp;"-"&amp;TEXT(COUNTIF(F$14:F50,"?*"),"00"))</f>
        <v/>
      </c>
      <c r="B50" s="4" t="n"/>
      <c r="C50" s="5">
        <f>IF(B50="","",IFERROR(INDEX(EqTypeCol,MATCH(B50,EqTag,0)),"Tag not in register"))</f>
        <v/>
      </c>
      <c r="D50" s="4" t="n"/>
      <c r="E50" s="4" t="n"/>
      <c r="F50" s="4" t="n"/>
      <c r="G50" s="4" t="n"/>
      <c r="H50" s="4" t="n"/>
      <c r="I50" s="4" t="n"/>
      <c r="J50" s="5">
        <f>_xlfn.TEXTJOIN(CHAR(10),TRUE,IF(G50="","","• "&amp;G50),IF(H50="","","• "&amp;H50),IF(I50="","","• "&amp;I50))</f>
        <v/>
      </c>
      <c r="K50" s="4" t="n"/>
      <c r="L50" s="4" t="n"/>
      <c r="M50" s="4" t="n"/>
      <c r="N50" s="16" t="n"/>
      <c r="O50" s="4" t="n"/>
      <c r="P50" s="16" t="n"/>
      <c r="Q50" s="4" t="n"/>
      <c r="R50" s="16" t="n"/>
      <c r="S50" s="20">
        <f>IF(OR(N50="",P50="",R50=""),"",(--TRIM(LEFT(N50,2)))*(--TRIM(LEFT(P50,2)))*(--TRIM(LEFT(R50,2))))</f>
        <v/>
      </c>
      <c r="T50" s="20">
        <f>IF(OR(N50="",P50="",R50=""),"",INDEX(APGrid,COUNTIF(APS,"&gt;"&amp;(--TRIM(LEFT(N50,2))))*5+COUNTIF(APO,"&gt;"&amp;(--TRIM(LEFT(P50,2))))+1,COUNTIF(APD,"&gt;"&amp;(--TRIM(LEFT(R50,2))))+1))</f>
        <v/>
      </c>
      <c r="U50" s="20">
        <f>IF(S50="","",IF(OR((--TRIM(LEFT(N50,2)))&gt;=SThr,S50&gt;=RPNThr,T50="H"),"Yes","No"))</f>
        <v/>
      </c>
      <c r="V50" s="4" t="n"/>
      <c r="W50" s="4" t="n"/>
      <c r="X50" s="4" t="n"/>
      <c r="Y50" s="29" t="n"/>
      <c r="Z50" s="16" t="n"/>
      <c r="AA50" s="16" t="n"/>
      <c r="AB50" s="16" t="n"/>
      <c r="AC50" s="20">
        <f>IF(OR(Z50="",AA50="",AB50=""),"",(--TRIM(LEFT(Z50,2)))*(--TRIM(LEFT(AA50,2)))*(--TRIM(LEFT(AB50,2))))</f>
        <v/>
      </c>
      <c r="AD50" s="20">
        <f>IF(OR(Z50="",AA50="",AB50=""),"",INDEX(APGrid,COUNTIF(APS,"&gt;"&amp;(--TRIM(LEFT(Z50,2))))*5+COUNTIF(APO,"&gt;"&amp;(--TRIM(LEFT(AA50,2))))+1,COUNTIF(APD,"&gt;"&amp;(--TRIM(LEFT(AB50,2))))+1))</f>
        <v/>
      </c>
      <c r="AE50" s="4" t="n"/>
      <c r="AF50" s="4" t="n"/>
      <c r="AH50">
        <f>IFERROR(INDEX(EqTag,_xlfn.AGGREGATE(15,6,(ROW(EqTag)-4)/((EqSys=$D$3)*(EqTag&lt;&gt;"")),ROWS($AH$14:AH50))),"")</f>
        <v/>
      </c>
    </row>
    <row r="51">
      <c r="A51" s="20">
        <f>IF(F51="","",LEFT($D$3,3)&amp;"-"&amp;TEXT(COUNTIF(F$14:F51,"?*"),"00"))</f>
        <v/>
      </c>
      <c r="B51" s="4" t="n"/>
      <c r="C51" s="5">
        <f>IF(B51="","",IFERROR(INDEX(EqTypeCol,MATCH(B51,EqTag,0)),"Tag not in register"))</f>
        <v/>
      </c>
      <c r="D51" s="4" t="n"/>
      <c r="E51" s="4" t="n"/>
      <c r="F51" s="4" t="n"/>
      <c r="G51" s="4" t="n"/>
      <c r="H51" s="4" t="n"/>
      <c r="I51" s="4" t="n"/>
      <c r="J51" s="5">
        <f>_xlfn.TEXTJOIN(CHAR(10),TRUE,IF(G51="","","• "&amp;G51),IF(H51="","","• "&amp;H51),IF(I51="","","• "&amp;I51))</f>
        <v/>
      </c>
      <c r="K51" s="4" t="n"/>
      <c r="L51" s="4" t="n"/>
      <c r="M51" s="4" t="n"/>
      <c r="N51" s="16" t="n"/>
      <c r="O51" s="4" t="n"/>
      <c r="P51" s="16" t="n"/>
      <c r="Q51" s="4" t="n"/>
      <c r="R51" s="16" t="n"/>
      <c r="S51" s="20">
        <f>IF(OR(N51="",P51="",R51=""),"",(--TRIM(LEFT(N51,2)))*(--TRIM(LEFT(P51,2)))*(--TRIM(LEFT(R51,2))))</f>
        <v/>
      </c>
      <c r="T51" s="20">
        <f>IF(OR(N51="",P51="",R51=""),"",INDEX(APGrid,COUNTIF(APS,"&gt;"&amp;(--TRIM(LEFT(N51,2))))*5+COUNTIF(APO,"&gt;"&amp;(--TRIM(LEFT(P51,2))))+1,COUNTIF(APD,"&gt;"&amp;(--TRIM(LEFT(R51,2))))+1))</f>
        <v/>
      </c>
      <c r="U51" s="20">
        <f>IF(S51="","",IF(OR((--TRIM(LEFT(N51,2)))&gt;=SThr,S51&gt;=RPNThr,T51="H"),"Yes","No"))</f>
        <v/>
      </c>
      <c r="V51" s="4" t="n"/>
      <c r="W51" s="4" t="n"/>
      <c r="X51" s="4" t="n"/>
      <c r="Y51" s="29" t="n"/>
      <c r="Z51" s="16" t="n"/>
      <c r="AA51" s="16" t="n"/>
      <c r="AB51" s="16" t="n"/>
      <c r="AC51" s="20">
        <f>IF(OR(Z51="",AA51="",AB51=""),"",(--TRIM(LEFT(Z51,2)))*(--TRIM(LEFT(AA51,2)))*(--TRIM(LEFT(AB51,2))))</f>
        <v/>
      </c>
      <c r="AD51" s="20">
        <f>IF(OR(Z51="",AA51="",AB51=""),"",INDEX(APGrid,COUNTIF(APS,"&gt;"&amp;(--TRIM(LEFT(Z51,2))))*5+COUNTIF(APO,"&gt;"&amp;(--TRIM(LEFT(AA51,2))))+1,COUNTIF(APD,"&gt;"&amp;(--TRIM(LEFT(AB51,2))))+1))</f>
        <v/>
      </c>
      <c r="AE51" s="4" t="n"/>
      <c r="AF51" s="4" t="n"/>
      <c r="AH51">
        <f>IFERROR(INDEX(EqTag,_xlfn.AGGREGATE(15,6,(ROW(EqTag)-4)/((EqSys=$D$3)*(EqTag&lt;&gt;"")),ROWS($AH$14:AH51))),"")</f>
        <v/>
      </c>
    </row>
    <row r="52">
      <c r="A52" s="20">
        <f>IF(F52="","",LEFT($D$3,3)&amp;"-"&amp;TEXT(COUNTIF(F$14:F52,"?*"),"00"))</f>
        <v/>
      </c>
      <c r="B52" s="4" t="n"/>
      <c r="C52" s="5">
        <f>IF(B52="","",IFERROR(INDEX(EqTypeCol,MATCH(B52,EqTag,0)),"Tag not in register"))</f>
        <v/>
      </c>
      <c r="D52" s="4" t="n"/>
      <c r="E52" s="4" t="n"/>
      <c r="F52" s="4" t="n"/>
      <c r="G52" s="4" t="n"/>
      <c r="H52" s="4" t="n"/>
      <c r="I52" s="4" t="n"/>
      <c r="J52" s="5">
        <f>_xlfn.TEXTJOIN(CHAR(10),TRUE,IF(G52="","","• "&amp;G52),IF(H52="","","• "&amp;H52),IF(I52="","","• "&amp;I52))</f>
        <v/>
      </c>
      <c r="K52" s="4" t="n"/>
      <c r="L52" s="4" t="n"/>
      <c r="M52" s="4" t="n"/>
      <c r="N52" s="16" t="n"/>
      <c r="O52" s="4" t="n"/>
      <c r="P52" s="16" t="n"/>
      <c r="Q52" s="4" t="n"/>
      <c r="R52" s="16" t="n"/>
      <c r="S52" s="20">
        <f>IF(OR(N52="",P52="",R52=""),"",(--TRIM(LEFT(N52,2)))*(--TRIM(LEFT(P52,2)))*(--TRIM(LEFT(R52,2))))</f>
        <v/>
      </c>
      <c r="T52" s="20">
        <f>IF(OR(N52="",P52="",R52=""),"",INDEX(APGrid,COUNTIF(APS,"&gt;"&amp;(--TRIM(LEFT(N52,2))))*5+COUNTIF(APO,"&gt;"&amp;(--TRIM(LEFT(P52,2))))+1,COUNTIF(APD,"&gt;"&amp;(--TRIM(LEFT(R52,2))))+1))</f>
        <v/>
      </c>
      <c r="U52" s="20">
        <f>IF(S52="","",IF(OR((--TRIM(LEFT(N52,2)))&gt;=SThr,S52&gt;=RPNThr,T52="H"),"Yes","No"))</f>
        <v/>
      </c>
      <c r="V52" s="4" t="n"/>
      <c r="W52" s="4" t="n"/>
      <c r="X52" s="4" t="n"/>
      <c r="Y52" s="29" t="n"/>
      <c r="Z52" s="16" t="n"/>
      <c r="AA52" s="16" t="n"/>
      <c r="AB52" s="16" t="n"/>
      <c r="AC52" s="20">
        <f>IF(OR(Z52="",AA52="",AB52=""),"",(--TRIM(LEFT(Z52,2)))*(--TRIM(LEFT(AA52,2)))*(--TRIM(LEFT(AB52,2))))</f>
        <v/>
      </c>
      <c r="AD52" s="20">
        <f>IF(OR(Z52="",AA52="",AB52=""),"",INDEX(APGrid,COUNTIF(APS,"&gt;"&amp;(--TRIM(LEFT(Z52,2))))*5+COUNTIF(APO,"&gt;"&amp;(--TRIM(LEFT(AA52,2))))+1,COUNTIF(APD,"&gt;"&amp;(--TRIM(LEFT(AB52,2))))+1))</f>
        <v/>
      </c>
      <c r="AE52" s="4" t="n"/>
      <c r="AF52" s="4" t="n"/>
      <c r="AH52">
        <f>IFERROR(INDEX(EqTag,_xlfn.AGGREGATE(15,6,(ROW(EqTag)-4)/((EqSys=$D$3)*(EqTag&lt;&gt;"")),ROWS($AH$14:AH52))),"")</f>
        <v/>
      </c>
    </row>
    <row r="53">
      <c r="A53" s="20">
        <f>IF(F53="","",LEFT($D$3,3)&amp;"-"&amp;TEXT(COUNTIF(F$14:F53,"?*"),"00"))</f>
        <v/>
      </c>
      <c r="B53" s="4" t="n"/>
      <c r="C53" s="5">
        <f>IF(B53="","",IFERROR(INDEX(EqTypeCol,MATCH(B53,EqTag,0)),"Tag not in register"))</f>
        <v/>
      </c>
      <c r="D53" s="4" t="n"/>
      <c r="E53" s="4" t="n"/>
      <c r="F53" s="4" t="n"/>
      <c r="G53" s="4" t="n"/>
      <c r="H53" s="4" t="n"/>
      <c r="I53" s="4" t="n"/>
      <c r="J53" s="5">
        <f>_xlfn.TEXTJOIN(CHAR(10),TRUE,IF(G53="","","• "&amp;G53),IF(H53="","","• "&amp;H53),IF(I53="","","• "&amp;I53))</f>
        <v/>
      </c>
      <c r="K53" s="4" t="n"/>
      <c r="L53" s="4" t="n"/>
      <c r="M53" s="4" t="n"/>
      <c r="N53" s="16" t="n"/>
      <c r="O53" s="4" t="n"/>
      <c r="P53" s="16" t="n"/>
      <c r="Q53" s="4" t="n"/>
      <c r="R53" s="16" t="n"/>
      <c r="S53" s="20">
        <f>IF(OR(N53="",P53="",R53=""),"",(--TRIM(LEFT(N53,2)))*(--TRIM(LEFT(P53,2)))*(--TRIM(LEFT(R53,2))))</f>
        <v/>
      </c>
      <c r="T53" s="20">
        <f>IF(OR(N53="",P53="",R53=""),"",INDEX(APGrid,COUNTIF(APS,"&gt;"&amp;(--TRIM(LEFT(N53,2))))*5+COUNTIF(APO,"&gt;"&amp;(--TRIM(LEFT(P53,2))))+1,COUNTIF(APD,"&gt;"&amp;(--TRIM(LEFT(R53,2))))+1))</f>
        <v/>
      </c>
      <c r="U53" s="20">
        <f>IF(S53="","",IF(OR((--TRIM(LEFT(N53,2)))&gt;=SThr,S53&gt;=RPNThr,T53="H"),"Yes","No"))</f>
        <v/>
      </c>
      <c r="V53" s="4" t="n"/>
      <c r="W53" s="4" t="n"/>
      <c r="X53" s="4" t="n"/>
      <c r="Y53" s="29" t="n"/>
      <c r="Z53" s="16" t="n"/>
      <c r="AA53" s="16" t="n"/>
      <c r="AB53" s="16" t="n"/>
      <c r="AC53" s="20">
        <f>IF(OR(Z53="",AA53="",AB53=""),"",(--TRIM(LEFT(Z53,2)))*(--TRIM(LEFT(AA53,2)))*(--TRIM(LEFT(AB53,2))))</f>
        <v/>
      </c>
      <c r="AD53" s="20">
        <f>IF(OR(Z53="",AA53="",AB53=""),"",INDEX(APGrid,COUNTIF(APS,"&gt;"&amp;(--TRIM(LEFT(Z53,2))))*5+COUNTIF(APO,"&gt;"&amp;(--TRIM(LEFT(AA53,2))))+1,COUNTIF(APD,"&gt;"&amp;(--TRIM(LEFT(AB53,2))))+1))</f>
        <v/>
      </c>
      <c r="AE53" s="4" t="n"/>
      <c r="AF53" s="4" t="n"/>
      <c r="AH53">
        <f>IFERROR(INDEX(EqTag,_xlfn.AGGREGATE(15,6,(ROW(EqTag)-4)/((EqSys=$D$3)*(EqTag&lt;&gt;"")),ROWS($AH$14:AH53))),"")</f>
        <v/>
      </c>
    </row>
    <row r="54">
      <c r="A54" s="20">
        <f>IF(F54="","",LEFT($D$3,3)&amp;"-"&amp;TEXT(COUNTIF(F$14:F54,"?*"),"00"))</f>
        <v/>
      </c>
      <c r="B54" s="4" t="n"/>
      <c r="C54" s="5">
        <f>IF(B54="","",IFERROR(INDEX(EqTypeCol,MATCH(B54,EqTag,0)),"Tag not in register"))</f>
        <v/>
      </c>
      <c r="D54" s="4" t="n"/>
      <c r="E54" s="4" t="n"/>
      <c r="F54" s="4" t="n"/>
      <c r="G54" s="4" t="n"/>
      <c r="H54" s="4" t="n"/>
      <c r="I54" s="4" t="n"/>
      <c r="J54" s="5">
        <f>_xlfn.TEXTJOIN(CHAR(10),TRUE,IF(G54="","","• "&amp;G54),IF(H54="","","• "&amp;H54),IF(I54="","","• "&amp;I54))</f>
        <v/>
      </c>
      <c r="K54" s="4" t="n"/>
      <c r="L54" s="4" t="n"/>
      <c r="M54" s="4" t="n"/>
      <c r="N54" s="16" t="n"/>
      <c r="O54" s="4" t="n"/>
      <c r="P54" s="16" t="n"/>
      <c r="Q54" s="4" t="n"/>
      <c r="R54" s="16" t="n"/>
      <c r="S54" s="20">
        <f>IF(OR(N54="",P54="",R54=""),"",(--TRIM(LEFT(N54,2)))*(--TRIM(LEFT(P54,2)))*(--TRIM(LEFT(R54,2))))</f>
        <v/>
      </c>
      <c r="T54" s="20">
        <f>IF(OR(N54="",P54="",R54=""),"",INDEX(APGrid,COUNTIF(APS,"&gt;"&amp;(--TRIM(LEFT(N54,2))))*5+COUNTIF(APO,"&gt;"&amp;(--TRIM(LEFT(P54,2))))+1,COUNTIF(APD,"&gt;"&amp;(--TRIM(LEFT(R54,2))))+1))</f>
        <v/>
      </c>
      <c r="U54" s="20">
        <f>IF(S54="","",IF(OR((--TRIM(LEFT(N54,2)))&gt;=SThr,S54&gt;=RPNThr,T54="H"),"Yes","No"))</f>
        <v/>
      </c>
      <c r="V54" s="4" t="n"/>
      <c r="W54" s="4" t="n"/>
      <c r="X54" s="4" t="n"/>
      <c r="Y54" s="29" t="n"/>
      <c r="Z54" s="16" t="n"/>
      <c r="AA54" s="16" t="n"/>
      <c r="AB54" s="16" t="n"/>
      <c r="AC54" s="20">
        <f>IF(OR(Z54="",AA54="",AB54=""),"",(--TRIM(LEFT(Z54,2)))*(--TRIM(LEFT(AA54,2)))*(--TRIM(LEFT(AB54,2))))</f>
        <v/>
      </c>
      <c r="AD54" s="20">
        <f>IF(OR(Z54="",AA54="",AB54=""),"",INDEX(APGrid,COUNTIF(APS,"&gt;"&amp;(--TRIM(LEFT(Z54,2))))*5+COUNTIF(APO,"&gt;"&amp;(--TRIM(LEFT(AA54,2))))+1,COUNTIF(APD,"&gt;"&amp;(--TRIM(LEFT(AB54,2))))+1))</f>
        <v/>
      </c>
      <c r="AE54" s="4" t="n"/>
      <c r="AF54" s="4" t="n"/>
      <c r="AH54">
        <f>IFERROR(INDEX(EqTag,_xlfn.AGGREGATE(15,6,(ROW(EqTag)-4)/((EqSys=$D$3)*(EqTag&lt;&gt;"")),ROWS($AH$14:AH54))),"")</f>
        <v/>
      </c>
    </row>
    <row r="55">
      <c r="A55" s="20">
        <f>IF(F55="","",LEFT($D$3,3)&amp;"-"&amp;TEXT(COUNTIF(F$14:F55,"?*"),"00"))</f>
        <v/>
      </c>
      <c r="B55" s="4" t="n"/>
      <c r="C55" s="5">
        <f>IF(B55="","",IFERROR(INDEX(EqTypeCol,MATCH(B55,EqTag,0)),"Tag not in register"))</f>
        <v/>
      </c>
      <c r="D55" s="4" t="n"/>
      <c r="E55" s="4" t="n"/>
      <c r="F55" s="4" t="n"/>
      <c r="G55" s="4" t="n"/>
      <c r="H55" s="4" t="n"/>
      <c r="I55" s="4" t="n"/>
      <c r="J55" s="5">
        <f>_xlfn.TEXTJOIN(CHAR(10),TRUE,IF(G55="","","• "&amp;G55),IF(H55="","","• "&amp;H55),IF(I55="","","• "&amp;I55))</f>
        <v/>
      </c>
      <c r="K55" s="4" t="n"/>
      <c r="L55" s="4" t="n"/>
      <c r="M55" s="4" t="n"/>
      <c r="N55" s="16" t="n"/>
      <c r="O55" s="4" t="n"/>
      <c r="P55" s="16" t="n"/>
      <c r="Q55" s="4" t="n"/>
      <c r="R55" s="16" t="n"/>
      <c r="S55" s="20">
        <f>IF(OR(N55="",P55="",R55=""),"",(--TRIM(LEFT(N55,2)))*(--TRIM(LEFT(P55,2)))*(--TRIM(LEFT(R55,2))))</f>
        <v/>
      </c>
      <c r="T55" s="20">
        <f>IF(OR(N55="",P55="",R55=""),"",INDEX(APGrid,COUNTIF(APS,"&gt;"&amp;(--TRIM(LEFT(N55,2))))*5+COUNTIF(APO,"&gt;"&amp;(--TRIM(LEFT(P55,2))))+1,COUNTIF(APD,"&gt;"&amp;(--TRIM(LEFT(R55,2))))+1))</f>
        <v/>
      </c>
      <c r="U55" s="20">
        <f>IF(S55="","",IF(OR((--TRIM(LEFT(N55,2)))&gt;=SThr,S55&gt;=RPNThr,T55="H"),"Yes","No"))</f>
        <v/>
      </c>
      <c r="V55" s="4" t="n"/>
      <c r="W55" s="4" t="n"/>
      <c r="X55" s="4" t="n"/>
      <c r="Y55" s="29" t="n"/>
      <c r="Z55" s="16" t="n"/>
      <c r="AA55" s="16" t="n"/>
      <c r="AB55" s="16" t="n"/>
      <c r="AC55" s="20">
        <f>IF(OR(Z55="",AA55="",AB55=""),"",(--TRIM(LEFT(Z55,2)))*(--TRIM(LEFT(AA55,2)))*(--TRIM(LEFT(AB55,2))))</f>
        <v/>
      </c>
      <c r="AD55" s="20">
        <f>IF(OR(Z55="",AA55="",AB55=""),"",INDEX(APGrid,COUNTIF(APS,"&gt;"&amp;(--TRIM(LEFT(Z55,2))))*5+COUNTIF(APO,"&gt;"&amp;(--TRIM(LEFT(AA55,2))))+1,COUNTIF(APD,"&gt;"&amp;(--TRIM(LEFT(AB55,2))))+1))</f>
        <v/>
      </c>
      <c r="AE55" s="4" t="n"/>
      <c r="AF55" s="4" t="n"/>
      <c r="AH55">
        <f>IFERROR(INDEX(EqTag,_xlfn.AGGREGATE(15,6,(ROW(EqTag)-4)/((EqSys=$D$3)*(EqTag&lt;&gt;"")),ROWS($AH$14:AH55))),"")</f>
        <v/>
      </c>
    </row>
    <row r="56">
      <c r="A56" s="20">
        <f>IF(F56="","",LEFT($D$3,3)&amp;"-"&amp;TEXT(COUNTIF(F$14:F56,"?*"),"00"))</f>
        <v/>
      </c>
      <c r="B56" s="4" t="n"/>
      <c r="C56" s="5">
        <f>IF(B56="","",IFERROR(INDEX(EqTypeCol,MATCH(B56,EqTag,0)),"Tag not in register"))</f>
        <v/>
      </c>
      <c r="D56" s="4" t="n"/>
      <c r="E56" s="4" t="n"/>
      <c r="F56" s="4" t="n"/>
      <c r="G56" s="4" t="n"/>
      <c r="H56" s="4" t="n"/>
      <c r="I56" s="4" t="n"/>
      <c r="J56" s="5">
        <f>_xlfn.TEXTJOIN(CHAR(10),TRUE,IF(G56="","","• "&amp;G56),IF(H56="","","• "&amp;H56),IF(I56="","","• "&amp;I56))</f>
        <v/>
      </c>
      <c r="K56" s="4" t="n"/>
      <c r="L56" s="4" t="n"/>
      <c r="M56" s="4" t="n"/>
      <c r="N56" s="16" t="n"/>
      <c r="O56" s="4" t="n"/>
      <c r="P56" s="16" t="n"/>
      <c r="Q56" s="4" t="n"/>
      <c r="R56" s="16" t="n"/>
      <c r="S56" s="20">
        <f>IF(OR(N56="",P56="",R56=""),"",(--TRIM(LEFT(N56,2)))*(--TRIM(LEFT(P56,2)))*(--TRIM(LEFT(R56,2))))</f>
        <v/>
      </c>
      <c r="T56" s="20">
        <f>IF(OR(N56="",P56="",R56=""),"",INDEX(APGrid,COUNTIF(APS,"&gt;"&amp;(--TRIM(LEFT(N56,2))))*5+COUNTIF(APO,"&gt;"&amp;(--TRIM(LEFT(P56,2))))+1,COUNTIF(APD,"&gt;"&amp;(--TRIM(LEFT(R56,2))))+1))</f>
        <v/>
      </c>
      <c r="U56" s="20">
        <f>IF(S56="","",IF(OR((--TRIM(LEFT(N56,2)))&gt;=SThr,S56&gt;=RPNThr,T56="H"),"Yes","No"))</f>
        <v/>
      </c>
      <c r="V56" s="4" t="n"/>
      <c r="W56" s="4" t="n"/>
      <c r="X56" s="4" t="n"/>
      <c r="Y56" s="29" t="n"/>
      <c r="Z56" s="16" t="n"/>
      <c r="AA56" s="16" t="n"/>
      <c r="AB56" s="16" t="n"/>
      <c r="AC56" s="20">
        <f>IF(OR(Z56="",AA56="",AB56=""),"",(--TRIM(LEFT(Z56,2)))*(--TRIM(LEFT(AA56,2)))*(--TRIM(LEFT(AB56,2))))</f>
        <v/>
      </c>
      <c r="AD56" s="20">
        <f>IF(OR(Z56="",AA56="",AB56=""),"",INDEX(APGrid,COUNTIF(APS,"&gt;"&amp;(--TRIM(LEFT(Z56,2))))*5+COUNTIF(APO,"&gt;"&amp;(--TRIM(LEFT(AA56,2))))+1,COUNTIF(APD,"&gt;"&amp;(--TRIM(LEFT(AB56,2))))+1))</f>
        <v/>
      </c>
      <c r="AE56" s="4" t="n"/>
      <c r="AF56" s="4" t="n"/>
      <c r="AH56">
        <f>IFERROR(INDEX(EqTag,_xlfn.AGGREGATE(15,6,(ROW(EqTag)-4)/((EqSys=$D$3)*(EqTag&lt;&gt;"")),ROWS($AH$14:AH56))),"")</f>
        <v/>
      </c>
    </row>
    <row r="57">
      <c r="A57" s="20">
        <f>IF(F57="","",LEFT($D$3,3)&amp;"-"&amp;TEXT(COUNTIF(F$14:F57,"?*"),"00"))</f>
        <v/>
      </c>
      <c r="B57" s="4" t="n"/>
      <c r="C57" s="5">
        <f>IF(B57="","",IFERROR(INDEX(EqTypeCol,MATCH(B57,EqTag,0)),"Tag not in register"))</f>
        <v/>
      </c>
      <c r="D57" s="4" t="n"/>
      <c r="E57" s="4" t="n"/>
      <c r="F57" s="4" t="n"/>
      <c r="G57" s="4" t="n"/>
      <c r="H57" s="4" t="n"/>
      <c r="I57" s="4" t="n"/>
      <c r="J57" s="5">
        <f>_xlfn.TEXTJOIN(CHAR(10),TRUE,IF(G57="","","• "&amp;G57),IF(H57="","","• "&amp;H57),IF(I57="","","• "&amp;I57))</f>
        <v/>
      </c>
      <c r="K57" s="4" t="n"/>
      <c r="L57" s="4" t="n"/>
      <c r="M57" s="4" t="n"/>
      <c r="N57" s="16" t="n"/>
      <c r="O57" s="4" t="n"/>
      <c r="P57" s="16" t="n"/>
      <c r="Q57" s="4" t="n"/>
      <c r="R57" s="16" t="n"/>
      <c r="S57" s="20">
        <f>IF(OR(N57="",P57="",R57=""),"",(--TRIM(LEFT(N57,2)))*(--TRIM(LEFT(P57,2)))*(--TRIM(LEFT(R57,2))))</f>
        <v/>
      </c>
      <c r="T57" s="20">
        <f>IF(OR(N57="",P57="",R57=""),"",INDEX(APGrid,COUNTIF(APS,"&gt;"&amp;(--TRIM(LEFT(N57,2))))*5+COUNTIF(APO,"&gt;"&amp;(--TRIM(LEFT(P57,2))))+1,COUNTIF(APD,"&gt;"&amp;(--TRIM(LEFT(R57,2))))+1))</f>
        <v/>
      </c>
      <c r="U57" s="20">
        <f>IF(S57="","",IF(OR((--TRIM(LEFT(N57,2)))&gt;=SThr,S57&gt;=RPNThr,T57="H"),"Yes","No"))</f>
        <v/>
      </c>
      <c r="V57" s="4" t="n"/>
      <c r="W57" s="4" t="n"/>
      <c r="X57" s="4" t="n"/>
      <c r="Y57" s="29" t="n"/>
      <c r="Z57" s="16" t="n"/>
      <c r="AA57" s="16" t="n"/>
      <c r="AB57" s="16" t="n"/>
      <c r="AC57" s="20">
        <f>IF(OR(Z57="",AA57="",AB57=""),"",(--TRIM(LEFT(Z57,2)))*(--TRIM(LEFT(AA57,2)))*(--TRIM(LEFT(AB57,2))))</f>
        <v/>
      </c>
      <c r="AD57" s="20">
        <f>IF(OR(Z57="",AA57="",AB57=""),"",INDEX(APGrid,COUNTIF(APS,"&gt;"&amp;(--TRIM(LEFT(Z57,2))))*5+COUNTIF(APO,"&gt;"&amp;(--TRIM(LEFT(AA57,2))))+1,COUNTIF(APD,"&gt;"&amp;(--TRIM(LEFT(AB57,2))))+1))</f>
        <v/>
      </c>
      <c r="AE57" s="4" t="n"/>
      <c r="AF57" s="4" t="n"/>
      <c r="AH57">
        <f>IFERROR(INDEX(EqTag,_xlfn.AGGREGATE(15,6,(ROW(EqTag)-4)/((EqSys=$D$3)*(EqTag&lt;&gt;"")),ROWS($AH$14:AH57))),"")</f>
        <v/>
      </c>
    </row>
    <row r="58">
      <c r="A58" s="20">
        <f>IF(F58="","",LEFT($D$3,3)&amp;"-"&amp;TEXT(COUNTIF(F$14:F58,"?*"),"00"))</f>
        <v/>
      </c>
      <c r="B58" s="4" t="n"/>
      <c r="C58" s="5">
        <f>IF(B58="","",IFERROR(INDEX(EqTypeCol,MATCH(B58,EqTag,0)),"Tag not in register"))</f>
        <v/>
      </c>
      <c r="D58" s="4" t="n"/>
      <c r="E58" s="4" t="n"/>
      <c r="F58" s="4" t="n"/>
      <c r="G58" s="4" t="n"/>
      <c r="H58" s="4" t="n"/>
      <c r="I58" s="4" t="n"/>
      <c r="J58" s="5">
        <f>_xlfn.TEXTJOIN(CHAR(10),TRUE,IF(G58="","","• "&amp;G58),IF(H58="","","• "&amp;H58),IF(I58="","","• "&amp;I58))</f>
        <v/>
      </c>
      <c r="K58" s="4" t="n"/>
      <c r="L58" s="4" t="n"/>
      <c r="M58" s="4" t="n"/>
      <c r="N58" s="16" t="n"/>
      <c r="O58" s="4" t="n"/>
      <c r="P58" s="16" t="n"/>
      <c r="Q58" s="4" t="n"/>
      <c r="R58" s="16" t="n"/>
      <c r="S58" s="20">
        <f>IF(OR(N58="",P58="",R58=""),"",(--TRIM(LEFT(N58,2)))*(--TRIM(LEFT(P58,2)))*(--TRIM(LEFT(R58,2))))</f>
        <v/>
      </c>
      <c r="T58" s="20">
        <f>IF(OR(N58="",P58="",R58=""),"",INDEX(APGrid,COUNTIF(APS,"&gt;"&amp;(--TRIM(LEFT(N58,2))))*5+COUNTIF(APO,"&gt;"&amp;(--TRIM(LEFT(P58,2))))+1,COUNTIF(APD,"&gt;"&amp;(--TRIM(LEFT(R58,2))))+1))</f>
        <v/>
      </c>
      <c r="U58" s="20">
        <f>IF(S58="","",IF(OR((--TRIM(LEFT(N58,2)))&gt;=SThr,S58&gt;=RPNThr,T58="H"),"Yes","No"))</f>
        <v/>
      </c>
      <c r="V58" s="4" t="n"/>
      <c r="W58" s="4" t="n"/>
      <c r="X58" s="4" t="n"/>
      <c r="Y58" s="29" t="n"/>
      <c r="Z58" s="16" t="n"/>
      <c r="AA58" s="16" t="n"/>
      <c r="AB58" s="16" t="n"/>
      <c r="AC58" s="20">
        <f>IF(OR(Z58="",AA58="",AB58=""),"",(--TRIM(LEFT(Z58,2)))*(--TRIM(LEFT(AA58,2)))*(--TRIM(LEFT(AB58,2))))</f>
        <v/>
      </c>
      <c r="AD58" s="20">
        <f>IF(OR(Z58="",AA58="",AB58=""),"",INDEX(APGrid,COUNTIF(APS,"&gt;"&amp;(--TRIM(LEFT(Z58,2))))*5+COUNTIF(APO,"&gt;"&amp;(--TRIM(LEFT(AA58,2))))+1,COUNTIF(APD,"&gt;"&amp;(--TRIM(LEFT(AB58,2))))+1))</f>
        <v/>
      </c>
      <c r="AE58" s="4" t="n"/>
      <c r="AF58" s="4" t="n"/>
      <c r="AH58">
        <f>IFERROR(INDEX(EqTag,_xlfn.AGGREGATE(15,6,(ROW(EqTag)-4)/((EqSys=$D$3)*(EqTag&lt;&gt;"")),ROWS($AH$14:AH58))),"")</f>
        <v/>
      </c>
    </row>
    <row r="59">
      <c r="A59" s="20">
        <f>IF(F59="","",LEFT($D$3,3)&amp;"-"&amp;TEXT(COUNTIF(F$14:F59,"?*"),"00"))</f>
        <v/>
      </c>
      <c r="B59" s="4" t="n"/>
      <c r="C59" s="5">
        <f>IF(B59="","",IFERROR(INDEX(EqTypeCol,MATCH(B59,EqTag,0)),"Tag not in register"))</f>
        <v/>
      </c>
      <c r="D59" s="4" t="n"/>
      <c r="E59" s="4" t="n"/>
      <c r="F59" s="4" t="n"/>
      <c r="G59" s="4" t="n"/>
      <c r="H59" s="4" t="n"/>
      <c r="I59" s="4" t="n"/>
      <c r="J59" s="5">
        <f>_xlfn.TEXTJOIN(CHAR(10),TRUE,IF(G59="","","• "&amp;G59),IF(H59="","","• "&amp;H59),IF(I59="","","• "&amp;I59))</f>
        <v/>
      </c>
      <c r="K59" s="4" t="n"/>
      <c r="L59" s="4" t="n"/>
      <c r="M59" s="4" t="n"/>
      <c r="N59" s="16" t="n"/>
      <c r="O59" s="4" t="n"/>
      <c r="P59" s="16" t="n"/>
      <c r="Q59" s="4" t="n"/>
      <c r="R59" s="16" t="n"/>
      <c r="S59" s="20">
        <f>IF(OR(N59="",P59="",R59=""),"",(--TRIM(LEFT(N59,2)))*(--TRIM(LEFT(P59,2)))*(--TRIM(LEFT(R59,2))))</f>
        <v/>
      </c>
      <c r="T59" s="20">
        <f>IF(OR(N59="",P59="",R59=""),"",INDEX(APGrid,COUNTIF(APS,"&gt;"&amp;(--TRIM(LEFT(N59,2))))*5+COUNTIF(APO,"&gt;"&amp;(--TRIM(LEFT(P59,2))))+1,COUNTIF(APD,"&gt;"&amp;(--TRIM(LEFT(R59,2))))+1))</f>
        <v/>
      </c>
      <c r="U59" s="20">
        <f>IF(S59="","",IF(OR((--TRIM(LEFT(N59,2)))&gt;=SThr,S59&gt;=RPNThr,T59="H"),"Yes","No"))</f>
        <v/>
      </c>
      <c r="V59" s="4" t="n"/>
      <c r="W59" s="4" t="n"/>
      <c r="X59" s="4" t="n"/>
      <c r="Y59" s="29" t="n"/>
      <c r="Z59" s="16" t="n"/>
      <c r="AA59" s="16" t="n"/>
      <c r="AB59" s="16" t="n"/>
      <c r="AC59" s="20">
        <f>IF(OR(Z59="",AA59="",AB59=""),"",(--TRIM(LEFT(Z59,2)))*(--TRIM(LEFT(AA59,2)))*(--TRIM(LEFT(AB59,2))))</f>
        <v/>
      </c>
      <c r="AD59" s="20">
        <f>IF(OR(Z59="",AA59="",AB59=""),"",INDEX(APGrid,COUNTIF(APS,"&gt;"&amp;(--TRIM(LEFT(Z59,2))))*5+COUNTIF(APO,"&gt;"&amp;(--TRIM(LEFT(AA59,2))))+1,COUNTIF(APD,"&gt;"&amp;(--TRIM(LEFT(AB59,2))))+1))</f>
        <v/>
      </c>
      <c r="AE59" s="4" t="n"/>
      <c r="AF59" s="4" t="n"/>
      <c r="AH59">
        <f>IFERROR(INDEX(EqTag,_xlfn.AGGREGATE(15,6,(ROW(EqTag)-4)/((EqSys=$D$3)*(EqTag&lt;&gt;"")),ROWS($AH$14:AH59))),"")</f>
        <v/>
      </c>
    </row>
    <row r="60">
      <c r="A60" s="20">
        <f>IF(F60="","",LEFT($D$3,3)&amp;"-"&amp;TEXT(COUNTIF(F$14:F60,"?*"),"00"))</f>
        <v/>
      </c>
      <c r="B60" s="4" t="n"/>
      <c r="C60" s="5">
        <f>IF(B60="","",IFERROR(INDEX(EqTypeCol,MATCH(B60,EqTag,0)),"Tag not in register"))</f>
        <v/>
      </c>
      <c r="D60" s="4" t="n"/>
      <c r="E60" s="4" t="n"/>
      <c r="F60" s="4" t="n"/>
      <c r="G60" s="4" t="n"/>
      <c r="H60" s="4" t="n"/>
      <c r="I60" s="4" t="n"/>
      <c r="J60" s="5">
        <f>_xlfn.TEXTJOIN(CHAR(10),TRUE,IF(G60="","","• "&amp;G60),IF(H60="","","• "&amp;H60),IF(I60="","","• "&amp;I60))</f>
        <v/>
      </c>
      <c r="K60" s="4" t="n"/>
      <c r="L60" s="4" t="n"/>
      <c r="M60" s="4" t="n"/>
      <c r="N60" s="16" t="n"/>
      <c r="O60" s="4" t="n"/>
      <c r="P60" s="16" t="n"/>
      <c r="Q60" s="4" t="n"/>
      <c r="R60" s="16" t="n"/>
      <c r="S60" s="20">
        <f>IF(OR(N60="",P60="",R60=""),"",(--TRIM(LEFT(N60,2)))*(--TRIM(LEFT(P60,2)))*(--TRIM(LEFT(R60,2))))</f>
        <v/>
      </c>
      <c r="T60" s="20">
        <f>IF(OR(N60="",P60="",R60=""),"",INDEX(APGrid,COUNTIF(APS,"&gt;"&amp;(--TRIM(LEFT(N60,2))))*5+COUNTIF(APO,"&gt;"&amp;(--TRIM(LEFT(P60,2))))+1,COUNTIF(APD,"&gt;"&amp;(--TRIM(LEFT(R60,2))))+1))</f>
        <v/>
      </c>
      <c r="U60" s="20">
        <f>IF(S60="","",IF(OR((--TRIM(LEFT(N60,2)))&gt;=SThr,S60&gt;=RPNThr,T60="H"),"Yes","No"))</f>
        <v/>
      </c>
      <c r="V60" s="4" t="n"/>
      <c r="W60" s="4" t="n"/>
      <c r="X60" s="4" t="n"/>
      <c r="Y60" s="29" t="n"/>
      <c r="Z60" s="16" t="n"/>
      <c r="AA60" s="16" t="n"/>
      <c r="AB60" s="16" t="n"/>
      <c r="AC60" s="20">
        <f>IF(OR(Z60="",AA60="",AB60=""),"",(--TRIM(LEFT(Z60,2)))*(--TRIM(LEFT(AA60,2)))*(--TRIM(LEFT(AB60,2))))</f>
        <v/>
      </c>
      <c r="AD60" s="20">
        <f>IF(OR(Z60="",AA60="",AB60=""),"",INDEX(APGrid,COUNTIF(APS,"&gt;"&amp;(--TRIM(LEFT(Z60,2))))*5+COUNTIF(APO,"&gt;"&amp;(--TRIM(LEFT(AA60,2))))+1,COUNTIF(APD,"&gt;"&amp;(--TRIM(LEFT(AB60,2))))+1))</f>
        <v/>
      </c>
      <c r="AE60" s="4" t="n"/>
      <c r="AF60" s="4" t="n"/>
      <c r="AH60">
        <f>IFERROR(INDEX(EqTag,_xlfn.AGGREGATE(15,6,(ROW(EqTag)-4)/((EqSys=$D$3)*(EqTag&lt;&gt;"")),ROWS($AH$14:AH60))),"")</f>
        <v/>
      </c>
    </row>
    <row r="61">
      <c r="A61" s="20">
        <f>IF(F61="","",LEFT($D$3,3)&amp;"-"&amp;TEXT(COUNTIF(F$14:F61,"?*"),"00"))</f>
        <v/>
      </c>
      <c r="B61" s="4" t="n"/>
      <c r="C61" s="5">
        <f>IF(B61="","",IFERROR(INDEX(EqTypeCol,MATCH(B61,EqTag,0)),"Tag not in register"))</f>
        <v/>
      </c>
      <c r="D61" s="4" t="n"/>
      <c r="E61" s="4" t="n"/>
      <c r="F61" s="4" t="n"/>
      <c r="G61" s="4" t="n"/>
      <c r="H61" s="4" t="n"/>
      <c r="I61" s="4" t="n"/>
      <c r="J61" s="5">
        <f>_xlfn.TEXTJOIN(CHAR(10),TRUE,IF(G61="","","• "&amp;G61),IF(H61="","","• "&amp;H61),IF(I61="","","• "&amp;I61))</f>
        <v/>
      </c>
      <c r="K61" s="4" t="n"/>
      <c r="L61" s="4" t="n"/>
      <c r="M61" s="4" t="n"/>
      <c r="N61" s="16" t="n"/>
      <c r="O61" s="4" t="n"/>
      <c r="P61" s="16" t="n"/>
      <c r="Q61" s="4" t="n"/>
      <c r="R61" s="16" t="n"/>
      <c r="S61" s="20">
        <f>IF(OR(N61="",P61="",R61=""),"",(--TRIM(LEFT(N61,2)))*(--TRIM(LEFT(P61,2)))*(--TRIM(LEFT(R61,2))))</f>
        <v/>
      </c>
      <c r="T61" s="20">
        <f>IF(OR(N61="",P61="",R61=""),"",INDEX(APGrid,COUNTIF(APS,"&gt;"&amp;(--TRIM(LEFT(N61,2))))*5+COUNTIF(APO,"&gt;"&amp;(--TRIM(LEFT(P61,2))))+1,COUNTIF(APD,"&gt;"&amp;(--TRIM(LEFT(R61,2))))+1))</f>
        <v/>
      </c>
      <c r="U61" s="20">
        <f>IF(S61="","",IF(OR((--TRIM(LEFT(N61,2)))&gt;=SThr,S61&gt;=RPNThr,T61="H"),"Yes","No"))</f>
        <v/>
      </c>
      <c r="V61" s="4" t="n"/>
      <c r="W61" s="4" t="n"/>
      <c r="X61" s="4" t="n"/>
      <c r="Y61" s="29" t="n"/>
      <c r="Z61" s="16" t="n"/>
      <c r="AA61" s="16" t="n"/>
      <c r="AB61" s="16" t="n"/>
      <c r="AC61" s="20">
        <f>IF(OR(Z61="",AA61="",AB61=""),"",(--TRIM(LEFT(Z61,2)))*(--TRIM(LEFT(AA61,2)))*(--TRIM(LEFT(AB61,2))))</f>
        <v/>
      </c>
      <c r="AD61" s="20">
        <f>IF(OR(Z61="",AA61="",AB61=""),"",INDEX(APGrid,COUNTIF(APS,"&gt;"&amp;(--TRIM(LEFT(Z61,2))))*5+COUNTIF(APO,"&gt;"&amp;(--TRIM(LEFT(AA61,2))))+1,COUNTIF(APD,"&gt;"&amp;(--TRIM(LEFT(AB61,2))))+1))</f>
        <v/>
      </c>
      <c r="AE61" s="4" t="n"/>
      <c r="AF61" s="4" t="n"/>
      <c r="AH61">
        <f>IFERROR(INDEX(EqTag,_xlfn.AGGREGATE(15,6,(ROW(EqTag)-4)/((EqSys=$D$3)*(EqTag&lt;&gt;"")),ROWS($AH$14:AH61))),"")</f>
        <v/>
      </c>
    </row>
    <row r="62">
      <c r="A62" s="20">
        <f>IF(F62="","",LEFT($D$3,3)&amp;"-"&amp;TEXT(COUNTIF(F$14:F62,"?*"),"00"))</f>
        <v/>
      </c>
      <c r="B62" s="4" t="n"/>
      <c r="C62" s="5">
        <f>IF(B62="","",IFERROR(INDEX(EqTypeCol,MATCH(B62,EqTag,0)),"Tag not in register"))</f>
        <v/>
      </c>
      <c r="D62" s="4" t="n"/>
      <c r="E62" s="4" t="n"/>
      <c r="F62" s="4" t="n"/>
      <c r="G62" s="4" t="n"/>
      <c r="H62" s="4" t="n"/>
      <c r="I62" s="4" t="n"/>
      <c r="J62" s="5">
        <f>_xlfn.TEXTJOIN(CHAR(10),TRUE,IF(G62="","","• "&amp;G62),IF(H62="","","• "&amp;H62),IF(I62="","","• "&amp;I62))</f>
        <v/>
      </c>
      <c r="K62" s="4" t="n"/>
      <c r="L62" s="4" t="n"/>
      <c r="M62" s="4" t="n"/>
      <c r="N62" s="16" t="n"/>
      <c r="O62" s="4" t="n"/>
      <c r="P62" s="16" t="n"/>
      <c r="Q62" s="4" t="n"/>
      <c r="R62" s="16" t="n"/>
      <c r="S62" s="20">
        <f>IF(OR(N62="",P62="",R62=""),"",(--TRIM(LEFT(N62,2)))*(--TRIM(LEFT(P62,2)))*(--TRIM(LEFT(R62,2))))</f>
        <v/>
      </c>
      <c r="T62" s="20">
        <f>IF(OR(N62="",P62="",R62=""),"",INDEX(APGrid,COUNTIF(APS,"&gt;"&amp;(--TRIM(LEFT(N62,2))))*5+COUNTIF(APO,"&gt;"&amp;(--TRIM(LEFT(P62,2))))+1,COUNTIF(APD,"&gt;"&amp;(--TRIM(LEFT(R62,2))))+1))</f>
        <v/>
      </c>
      <c r="U62" s="20">
        <f>IF(S62="","",IF(OR((--TRIM(LEFT(N62,2)))&gt;=SThr,S62&gt;=RPNThr,T62="H"),"Yes","No"))</f>
        <v/>
      </c>
      <c r="V62" s="4" t="n"/>
      <c r="W62" s="4" t="n"/>
      <c r="X62" s="4" t="n"/>
      <c r="Y62" s="29" t="n"/>
      <c r="Z62" s="16" t="n"/>
      <c r="AA62" s="16" t="n"/>
      <c r="AB62" s="16" t="n"/>
      <c r="AC62" s="20">
        <f>IF(OR(Z62="",AA62="",AB62=""),"",(--TRIM(LEFT(Z62,2)))*(--TRIM(LEFT(AA62,2)))*(--TRIM(LEFT(AB62,2))))</f>
        <v/>
      </c>
      <c r="AD62" s="20">
        <f>IF(OR(Z62="",AA62="",AB62=""),"",INDEX(APGrid,COUNTIF(APS,"&gt;"&amp;(--TRIM(LEFT(Z62,2))))*5+COUNTIF(APO,"&gt;"&amp;(--TRIM(LEFT(AA62,2))))+1,COUNTIF(APD,"&gt;"&amp;(--TRIM(LEFT(AB62,2))))+1))</f>
        <v/>
      </c>
      <c r="AE62" s="4" t="n"/>
      <c r="AF62" s="4" t="n"/>
      <c r="AH62">
        <f>IFERROR(INDEX(EqTag,_xlfn.AGGREGATE(15,6,(ROW(EqTag)-4)/((EqSys=$D$3)*(EqTag&lt;&gt;"")),ROWS($AH$14:AH62))),"")</f>
        <v/>
      </c>
    </row>
    <row r="63">
      <c r="A63" s="20">
        <f>IF(F63="","",LEFT($D$3,3)&amp;"-"&amp;TEXT(COUNTIF(F$14:F63,"?*"),"00"))</f>
        <v/>
      </c>
      <c r="B63" s="4" t="n"/>
      <c r="C63" s="5">
        <f>IF(B63="","",IFERROR(INDEX(EqTypeCol,MATCH(B63,EqTag,0)),"Tag not in register"))</f>
        <v/>
      </c>
      <c r="D63" s="4" t="n"/>
      <c r="E63" s="4" t="n"/>
      <c r="F63" s="4" t="n"/>
      <c r="G63" s="4" t="n"/>
      <c r="H63" s="4" t="n"/>
      <c r="I63" s="4" t="n"/>
      <c r="J63" s="5">
        <f>_xlfn.TEXTJOIN(CHAR(10),TRUE,IF(G63="","","• "&amp;G63),IF(H63="","","• "&amp;H63),IF(I63="","","• "&amp;I63))</f>
        <v/>
      </c>
      <c r="K63" s="4" t="n"/>
      <c r="L63" s="4" t="n"/>
      <c r="M63" s="4" t="n"/>
      <c r="N63" s="16" t="n"/>
      <c r="O63" s="4" t="n"/>
      <c r="P63" s="16" t="n"/>
      <c r="Q63" s="4" t="n"/>
      <c r="R63" s="16" t="n"/>
      <c r="S63" s="20">
        <f>IF(OR(N63="",P63="",R63=""),"",(--TRIM(LEFT(N63,2)))*(--TRIM(LEFT(P63,2)))*(--TRIM(LEFT(R63,2))))</f>
        <v/>
      </c>
      <c r="T63" s="20">
        <f>IF(OR(N63="",P63="",R63=""),"",INDEX(APGrid,COUNTIF(APS,"&gt;"&amp;(--TRIM(LEFT(N63,2))))*5+COUNTIF(APO,"&gt;"&amp;(--TRIM(LEFT(P63,2))))+1,COUNTIF(APD,"&gt;"&amp;(--TRIM(LEFT(R63,2))))+1))</f>
        <v/>
      </c>
      <c r="U63" s="20">
        <f>IF(S63="","",IF(OR((--TRIM(LEFT(N63,2)))&gt;=SThr,S63&gt;=RPNThr,T63="H"),"Yes","No"))</f>
        <v/>
      </c>
      <c r="V63" s="4" t="n"/>
      <c r="W63" s="4" t="n"/>
      <c r="X63" s="4" t="n"/>
      <c r="Y63" s="29" t="n"/>
      <c r="Z63" s="16" t="n"/>
      <c r="AA63" s="16" t="n"/>
      <c r="AB63" s="16" t="n"/>
      <c r="AC63" s="20">
        <f>IF(OR(Z63="",AA63="",AB63=""),"",(--TRIM(LEFT(Z63,2)))*(--TRIM(LEFT(AA63,2)))*(--TRIM(LEFT(AB63,2))))</f>
        <v/>
      </c>
      <c r="AD63" s="20">
        <f>IF(OR(Z63="",AA63="",AB63=""),"",INDEX(APGrid,COUNTIF(APS,"&gt;"&amp;(--TRIM(LEFT(Z63,2))))*5+COUNTIF(APO,"&gt;"&amp;(--TRIM(LEFT(AA63,2))))+1,COUNTIF(APD,"&gt;"&amp;(--TRIM(LEFT(AB63,2))))+1))</f>
        <v/>
      </c>
      <c r="AE63" s="4" t="n"/>
      <c r="AF63" s="4" t="n"/>
      <c r="AH63">
        <f>IFERROR(INDEX(EqTag,_xlfn.AGGREGATE(15,6,(ROW(EqTag)-4)/((EqSys=$D$3)*(EqTag&lt;&gt;"")),ROWS($AH$14:AH63))),"")</f>
        <v/>
      </c>
    </row>
    <row r="64">
      <c r="A64" s="20">
        <f>IF(F64="","",LEFT($D$3,3)&amp;"-"&amp;TEXT(COUNTIF(F$14:F64,"?*"),"00"))</f>
        <v/>
      </c>
      <c r="B64" s="4" t="n"/>
      <c r="C64" s="5">
        <f>IF(B64="","",IFERROR(INDEX(EqTypeCol,MATCH(B64,EqTag,0)),"Tag not in register"))</f>
        <v/>
      </c>
      <c r="D64" s="4" t="n"/>
      <c r="E64" s="4" t="n"/>
      <c r="F64" s="4" t="n"/>
      <c r="G64" s="4" t="n"/>
      <c r="H64" s="4" t="n"/>
      <c r="I64" s="4" t="n"/>
      <c r="J64" s="5">
        <f>_xlfn.TEXTJOIN(CHAR(10),TRUE,IF(G64="","","• "&amp;G64),IF(H64="","","• "&amp;H64),IF(I64="","","• "&amp;I64))</f>
        <v/>
      </c>
      <c r="K64" s="4" t="n"/>
      <c r="L64" s="4" t="n"/>
      <c r="M64" s="4" t="n"/>
      <c r="N64" s="16" t="n"/>
      <c r="O64" s="4" t="n"/>
      <c r="P64" s="16" t="n"/>
      <c r="Q64" s="4" t="n"/>
      <c r="R64" s="16" t="n"/>
      <c r="S64" s="20">
        <f>IF(OR(N64="",P64="",R64=""),"",(--TRIM(LEFT(N64,2)))*(--TRIM(LEFT(P64,2)))*(--TRIM(LEFT(R64,2))))</f>
        <v/>
      </c>
      <c r="T64" s="20">
        <f>IF(OR(N64="",P64="",R64=""),"",INDEX(APGrid,COUNTIF(APS,"&gt;"&amp;(--TRIM(LEFT(N64,2))))*5+COUNTIF(APO,"&gt;"&amp;(--TRIM(LEFT(P64,2))))+1,COUNTIF(APD,"&gt;"&amp;(--TRIM(LEFT(R64,2))))+1))</f>
        <v/>
      </c>
      <c r="U64" s="20">
        <f>IF(S64="","",IF(OR((--TRIM(LEFT(N64,2)))&gt;=SThr,S64&gt;=RPNThr,T64="H"),"Yes","No"))</f>
        <v/>
      </c>
      <c r="V64" s="4" t="n"/>
      <c r="W64" s="4" t="n"/>
      <c r="X64" s="4" t="n"/>
      <c r="Y64" s="29" t="n"/>
      <c r="Z64" s="16" t="n"/>
      <c r="AA64" s="16" t="n"/>
      <c r="AB64" s="16" t="n"/>
      <c r="AC64" s="20">
        <f>IF(OR(Z64="",AA64="",AB64=""),"",(--TRIM(LEFT(Z64,2)))*(--TRIM(LEFT(AA64,2)))*(--TRIM(LEFT(AB64,2))))</f>
        <v/>
      </c>
      <c r="AD64" s="20">
        <f>IF(OR(Z64="",AA64="",AB64=""),"",INDEX(APGrid,COUNTIF(APS,"&gt;"&amp;(--TRIM(LEFT(Z64,2))))*5+COUNTIF(APO,"&gt;"&amp;(--TRIM(LEFT(AA64,2))))+1,COUNTIF(APD,"&gt;"&amp;(--TRIM(LEFT(AB64,2))))+1))</f>
        <v/>
      </c>
      <c r="AE64" s="4" t="n"/>
      <c r="AF64" s="4" t="n"/>
      <c r="AH64">
        <f>IFERROR(INDEX(EqTag,_xlfn.AGGREGATE(15,6,(ROW(EqTag)-4)/((EqSys=$D$3)*(EqTag&lt;&gt;"")),ROWS($AH$14:AH64))),"")</f>
        <v/>
      </c>
    </row>
    <row r="65">
      <c r="A65" s="20">
        <f>IF(F65="","",LEFT($D$3,3)&amp;"-"&amp;TEXT(COUNTIF(F$14:F65,"?*"),"00"))</f>
        <v/>
      </c>
      <c r="B65" s="4" t="n"/>
      <c r="C65" s="5">
        <f>IF(B65="","",IFERROR(INDEX(EqTypeCol,MATCH(B65,EqTag,0)),"Tag not in register"))</f>
        <v/>
      </c>
      <c r="D65" s="4" t="n"/>
      <c r="E65" s="4" t="n"/>
      <c r="F65" s="4" t="n"/>
      <c r="G65" s="4" t="n"/>
      <c r="H65" s="4" t="n"/>
      <c r="I65" s="4" t="n"/>
      <c r="J65" s="5">
        <f>_xlfn.TEXTJOIN(CHAR(10),TRUE,IF(G65="","","• "&amp;G65),IF(H65="","","• "&amp;H65),IF(I65="","","• "&amp;I65))</f>
        <v/>
      </c>
      <c r="K65" s="4" t="n"/>
      <c r="L65" s="4" t="n"/>
      <c r="M65" s="4" t="n"/>
      <c r="N65" s="16" t="n"/>
      <c r="O65" s="4" t="n"/>
      <c r="P65" s="16" t="n"/>
      <c r="Q65" s="4" t="n"/>
      <c r="R65" s="16" t="n"/>
      <c r="S65" s="20">
        <f>IF(OR(N65="",P65="",R65=""),"",(--TRIM(LEFT(N65,2)))*(--TRIM(LEFT(P65,2)))*(--TRIM(LEFT(R65,2))))</f>
        <v/>
      </c>
      <c r="T65" s="20">
        <f>IF(OR(N65="",P65="",R65=""),"",INDEX(APGrid,COUNTIF(APS,"&gt;"&amp;(--TRIM(LEFT(N65,2))))*5+COUNTIF(APO,"&gt;"&amp;(--TRIM(LEFT(P65,2))))+1,COUNTIF(APD,"&gt;"&amp;(--TRIM(LEFT(R65,2))))+1))</f>
        <v/>
      </c>
      <c r="U65" s="20">
        <f>IF(S65="","",IF(OR((--TRIM(LEFT(N65,2)))&gt;=SThr,S65&gt;=RPNThr,T65="H"),"Yes","No"))</f>
        <v/>
      </c>
      <c r="V65" s="4" t="n"/>
      <c r="W65" s="4" t="n"/>
      <c r="X65" s="4" t="n"/>
      <c r="Y65" s="29" t="n"/>
      <c r="Z65" s="16" t="n"/>
      <c r="AA65" s="16" t="n"/>
      <c r="AB65" s="16" t="n"/>
      <c r="AC65" s="20">
        <f>IF(OR(Z65="",AA65="",AB65=""),"",(--TRIM(LEFT(Z65,2)))*(--TRIM(LEFT(AA65,2)))*(--TRIM(LEFT(AB65,2))))</f>
        <v/>
      </c>
      <c r="AD65" s="20">
        <f>IF(OR(Z65="",AA65="",AB65=""),"",INDEX(APGrid,COUNTIF(APS,"&gt;"&amp;(--TRIM(LEFT(Z65,2))))*5+COUNTIF(APO,"&gt;"&amp;(--TRIM(LEFT(AA65,2))))+1,COUNTIF(APD,"&gt;"&amp;(--TRIM(LEFT(AB65,2))))+1))</f>
        <v/>
      </c>
      <c r="AE65" s="4" t="n"/>
      <c r="AF65" s="4" t="n"/>
      <c r="AH65">
        <f>IFERROR(INDEX(EqTag,_xlfn.AGGREGATE(15,6,(ROW(EqTag)-4)/((EqSys=$D$3)*(EqTag&lt;&gt;"")),ROWS($AH$14:AH65))),"")</f>
        <v/>
      </c>
    </row>
    <row r="66">
      <c r="A66" s="20">
        <f>IF(F66="","",LEFT($D$3,3)&amp;"-"&amp;TEXT(COUNTIF(F$14:F66,"?*"),"00"))</f>
        <v/>
      </c>
      <c r="B66" s="4" t="n"/>
      <c r="C66" s="5">
        <f>IF(B66="","",IFERROR(INDEX(EqTypeCol,MATCH(B66,EqTag,0)),"Tag not in register"))</f>
        <v/>
      </c>
      <c r="D66" s="4" t="n"/>
      <c r="E66" s="4" t="n"/>
      <c r="F66" s="4" t="n"/>
      <c r="G66" s="4" t="n"/>
      <c r="H66" s="4" t="n"/>
      <c r="I66" s="4" t="n"/>
      <c r="J66" s="5">
        <f>_xlfn.TEXTJOIN(CHAR(10),TRUE,IF(G66="","","• "&amp;G66),IF(H66="","","• "&amp;H66),IF(I66="","","• "&amp;I66))</f>
        <v/>
      </c>
      <c r="K66" s="4" t="n"/>
      <c r="L66" s="4" t="n"/>
      <c r="M66" s="4" t="n"/>
      <c r="N66" s="16" t="n"/>
      <c r="O66" s="4" t="n"/>
      <c r="P66" s="16" t="n"/>
      <c r="Q66" s="4" t="n"/>
      <c r="R66" s="16" t="n"/>
      <c r="S66" s="20">
        <f>IF(OR(N66="",P66="",R66=""),"",(--TRIM(LEFT(N66,2)))*(--TRIM(LEFT(P66,2)))*(--TRIM(LEFT(R66,2))))</f>
        <v/>
      </c>
      <c r="T66" s="20">
        <f>IF(OR(N66="",P66="",R66=""),"",INDEX(APGrid,COUNTIF(APS,"&gt;"&amp;(--TRIM(LEFT(N66,2))))*5+COUNTIF(APO,"&gt;"&amp;(--TRIM(LEFT(P66,2))))+1,COUNTIF(APD,"&gt;"&amp;(--TRIM(LEFT(R66,2))))+1))</f>
        <v/>
      </c>
      <c r="U66" s="20">
        <f>IF(S66="","",IF(OR((--TRIM(LEFT(N66,2)))&gt;=SThr,S66&gt;=RPNThr,T66="H"),"Yes","No"))</f>
        <v/>
      </c>
      <c r="V66" s="4" t="n"/>
      <c r="W66" s="4" t="n"/>
      <c r="X66" s="4" t="n"/>
      <c r="Y66" s="29" t="n"/>
      <c r="Z66" s="16" t="n"/>
      <c r="AA66" s="16" t="n"/>
      <c r="AB66" s="16" t="n"/>
      <c r="AC66" s="20">
        <f>IF(OR(Z66="",AA66="",AB66=""),"",(--TRIM(LEFT(Z66,2)))*(--TRIM(LEFT(AA66,2)))*(--TRIM(LEFT(AB66,2))))</f>
        <v/>
      </c>
      <c r="AD66" s="20">
        <f>IF(OR(Z66="",AA66="",AB66=""),"",INDEX(APGrid,COUNTIF(APS,"&gt;"&amp;(--TRIM(LEFT(Z66,2))))*5+COUNTIF(APO,"&gt;"&amp;(--TRIM(LEFT(AA66,2))))+1,COUNTIF(APD,"&gt;"&amp;(--TRIM(LEFT(AB66,2))))+1))</f>
        <v/>
      </c>
      <c r="AE66" s="4" t="n"/>
      <c r="AF66" s="4" t="n"/>
      <c r="AH66">
        <f>IFERROR(INDEX(EqTag,_xlfn.AGGREGATE(15,6,(ROW(EqTag)-4)/((EqSys=$D$3)*(EqTag&lt;&gt;"")),ROWS($AH$14:AH66))),"")</f>
        <v/>
      </c>
    </row>
    <row r="67">
      <c r="A67" s="20">
        <f>IF(F67="","",LEFT($D$3,3)&amp;"-"&amp;TEXT(COUNTIF(F$14:F67,"?*"),"00"))</f>
        <v/>
      </c>
      <c r="B67" s="4" t="n"/>
      <c r="C67" s="5">
        <f>IF(B67="","",IFERROR(INDEX(EqTypeCol,MATCH(B67,EqTag,0)),"Tag not in register"))</f>
        <v/>
      </c>
      <c r="D67" s="4" t="n"/>
      <c r="E67" s="4" t="n"/>
      <c r="F67" s="4" t="n"/>
      <c r="G67" s="4" t="n"/>
      <c r="H67" s="4" t="n"/>
      <c r="I67" s="4" t="n"/>
      <c r="J67" s="5">
        <f>_xlfn.TEXTJOIN(CHAR(10),TRUE,IF(G67="","","• "&amp;G67),IF(H67="","","• "&amp;H67),IF(I67="","","• "&amp;I67))</f>
        <v/>
      </c>
      <c r="K67" s="4" t="n"/>
      <c r="L67" s="4" t="n"/>
      <c r="M67" s="4" t="n"/>
      <c r="N67" s="16" t="n"/>
      <c r="O67" s="4" t="n"/>
      <c r="P67" s="16" t="n"/>
      <c r="Q67" s="4" t="n"/>
      <c r="R67" s="16" t="n"/>
      <c r="S67" s="20">
        <f>IF(OR(N67="",P67="",R67=""),"",(--TRIM(LEFT(N67,2)))*(--TRIM(LEFT(P67,2)))*(--TRIM(LEFT(R67,2))))</f>
        <v/>
      </c>
      <c r="T67" s="20">
        <f>IF(OR(N67="",P67="",R67=""),"",INDEX(APGrid,COUNTIF(APS,"&gt;"&amp;(--TRIM(LEFT(N67,2))))*5+COUNTIF(APO,"&gt;"&amp;(--TRIM(LEFT(P67,2))))+1,COUNTIF(APD,"&gt;"&amp;(--TRIM(LEFT(R67,2))))+1))</f>
        <v/>
      </c>
      <c r="U67" s="20">
        <f>IF(S67="","",IF(OR((--TRIM(LEFT(N67,2)))&gt;=SThr,S67&gt;=RPNThr,T67="H"),"Yes","No"))</f>
        <v/>
      </c>
      <c r="V67" s="4" t="n"/>
      <c r="W67" s="4" t="n"/>
      <c r="X67" s="4" t="n"/>
      <c r="Y67" s="29" t="n"/>
      <c r="Z67" s="16" t="n"/>
      <c r="AA67" s="16" t="n"/>
      <c r="AB67" s="16" t="n"/>
      <c r="AC67" s="20">
        <f>IF(OR(Z67="",AA67="",AB67=""),"",(--TRIM(LEFT(Z67,2)))*(--TRIM(LEFT(AA67,2)))*(--TRIM(LEFT(AB67,2))))</f>
        <v/>
      </c>
      <c r="AD67" s="20">
        <f>IF(OR(Z67="",AA67="",AB67=""),"",INDEX(APGrid,COUNTIF(APS,"&gt;"&amp;(--TRIM(LEFT(Z67,2))))*5+COUNTIF(APO,"&gt;"&amp;(--TRIM(LEFT(AA67,2))))+1,COUNTIF(APD,"&gt;"&amp;(--TRIM(LEFT(AB67,2))))+1))</f>
        <v/>
      </c>
      <c r="AE67" s="4" t="n"/>
      <c r="AF67" s="4" t="n"/>
      <c r="AH67">
        <f>IFERROR(INDEX(EqTag,_xlfn.AGGREGATE(15,6,(ROW(EqTag)-4)/((EqSys=$D$3)*(EqTag&lt;&gt;"")),ROWS($AH$14:AH67))),"")</f>
        <v/>
      </c>
    </row>
    <row r="68">
      <c r="A68" s="20">
        <f>IF(F68="","",LEFT($D$3,3)&amp;"-"&amp;TEXT(COUNTIF(F$14:F68,"?*"),"00"))</f>
        <v/>
      </c>
      <c r="B68" s="4" t="n"/>
      <c r="C68" s="5">
        <f>IF(B68="","",IFERROR(INDEX(EqTypeCol,MATCH(B68,EqTag,0)),"Tag not in register"))</f>
        <v/>
      </c>
      <c r="D68" s="4" t="n"/>
      <c r="E68" s="4" t="n"/>
      <c r="F68" s="4" t="n"/>
      <c r="G68" s="4" t="n"/>
      <c r="H68" s="4" t="n"/>
      <c r="I68" s="4" t="n"/>
      <c r="J68" s="5">
        <f>_xlfn.TEXTJOIN(CHAR(10),TRUE,IF(G68="","","• "&amp;G68),IF(H68="","","• "&amp;H68),IF(I68="","","• "&amp;I68))</f>
        <v/>
      </c>
      <c r="K68" s="4" t="n"/>
      <c r="L68" s="4" t="n"/>
      <c r="M68" s="4" t="n"/>
      <c r="N68" s="16" t="n"/>
      <c r="O68" s="4" t="n"/>
      <c r="P68" s="16" t="n"/>
      <c r="Q68" s="4" t="n"/>
      <c r="R68" s="16" t="n"/>
      <c r="S68" s="20">
        <f>IF(OR(N68="",P68="",R68=""),"",(--TRIM(LEFT(N68,2)))*(--TRIM(LEFT(P68,2)))*(--TRIM(LEFT(R68,2))))</f>
        <v/>
      </c>
      <c r="T68" s="20">
        <f>IF(OR(N68="",P68="",R68=""),"",INDEX(APGrid,COUNTIF(APS,"&gt;"&amp;(--TRIM(LEFT(N68,2))))*5+COUNTIF(APO,"&gt;"&amp;(--TRIM(LEFT(P68,2))))+1,COUNTIF(APD,"&gt;"&amp;(--TRIM(LEFT(R68,2))))+1))</f>
        <v/>
      </c>
      <c r="U68" s="20">
        <f>IF(S68="","",IF(OR((--TRIM(LEFT(N68,2)))&gt;=SThr,S68&gt;=RPNThr,T68="H"),"Yes","No"))</f>
        <v/>
      </c>
      <c r="V68" s="4" t="n"/>
      <c r="W68" s="4" t="n"/>
      <c r="X68" s="4" t="n"/>
      <c r="Y68" s="29" t="n"/>
      <c r="Z68" s="16" t="n"/>
      <c r="AA68" s="16" t="n"/>
      <c r="AB68" s="16" t="n"/>
      <c r="AC68" s="20">
        <f>IF(OR(Z68="",AA68="",AB68=""),"",(--TRIM(LEFT(Z68,2)))*(--TRIM(LEFT(AA68,2)))*(--TRIM(LEFT(AB68,2))))</f>
        <v/>
      </c>
      <c r="AD68" s="20">
        <f>IF(OR(Z68="",AA68="",AB68=""),"",INDEX(APGrid,COUNTIF(APS,"&gt;"&amp;(--TRIM(LEFT(Z68,2))))*5+COUNTIF(APO,"&gt;"&amp;(--TRIM(LEFT(AA68,2))))+1,COUNTIF(APD,"&gt;"&amp;(--TRIM(LEFT(AB68,2))))+1))</f>
        <v/>
      </c>
      <c r="AE68" s="4" t="n"/>
      <c r="AF68" s="4" t="n"/>
      <c r="AH68">
        <f>IFERROR(INDEX(EqTag,_xlfn.AGGREGATE(15,6,(ROW(EqTag)-4)/((EqSys=$D$3)*(EqTag&lt;&gt;"")),ROWS($AH$14:AH68))),"")</f>
        <v/>
      </c>
    </row>
    <row r="69">
      <c r="A69" s="20">
        <f>IF(F69="","",LEFT($D$3,3)&amp;"-"&amp;TEXT(COUNTIF(F$14:F69,"?*"),"00"))</f>
        <v/>
      </c>
      <c r="B69" s="4" t="n"/>
      <c r="C69" s="5">
        <f>IF(B69="","",IFERROR(INDEX(EqTypeCol,MATCH(B69,EqTag,0)),"Tag not in register"))</f>
        <v/>
      </c>
      <c r="D69" s="4" t="n"/>
      <c r="E69" s="4" t="n"/>
      <c r="F69" s="4" t="n"/>
      <c r="G69" s="4" t="n"/>
      <c r="H69" s="4" t="n"/>
      <c r="I69" s="4" t="n"/>
      <c r="J69" s="5">
        <f>_xlfn.TEXTJOIN(CHAR(10),TRUE,IF(G69="","","• "&amp;G69),IF(H69="","","• "&amp;H69),IF(I69="","","• "&amp;I69))</f>
        <v/>
      </c>
      <c r="K69" s="4" t="n"/>
      <c r="L69" s="4" t="n"/>
      <c r="M69" s="4" t="n"/>
      <c r="N69" s="16" t="n"/>
      <c r="O69" s="4" t="n"/>
      <c r="P69" s="16" t="n"/>
      <c r="Q69" s="4" t="n"/>
      <c r="R69" s="16" t="n"/>
      <c r="S69" s="20">
        <f>IF(OR(N69="",P69="",R69=""),"",(--TRIM(LEFT(N69,2)))*(--TRIM(LEFT(P69,2)))*(--TRIM(LEFT(R69,2))))</f>
        <v/>
      </c>
      <c r="T69" s="20">
        <f>IF(OR(N69="",P69="",R69=""),"",INDEX(APGrid,COUNTIF(APS,"&gt;"&amp;(--TRIM(LEFT(N69,2))))*5+COUNTIF(APO,"&gt;"&amp;(--TRIM(LEFT(P69,2))))+1,COUNTIF(APD,"&gt;"&amp;(--TRIM(LEFT(R69,2))))+1))</f>
        <v/>
      </c>
      <c r="U69" s="20">
        <f>IF(S69="","",IF(OR((--TRIM(LEFT(N69,2)))&gt;=SThr,S69&gt;=RPNThr,T69="H"),"Yes","No"))</f>
        <v/>
      </c>
      <c r="V69" s="4" t="n"/>
      <c r="W69" s="4" t="n"/>
      <c r="X69" s="4" t="n"/>
      <c r="Y69" s="29" t="n"/>
      <c r="Z69" s="16" t="n"/>
      <c r="AA69" s="16" t="n"/>
      <c r="AB69" s="16" t="n"/>
      <c r="AC69" s="20">
        <f>IF(OR(Z69="",AA69="",AB69=""),"",(--TRIM(LEFT(Z69,2)))*(--TRIM(LEFT(AA69,2)))*(--TRIM(LEFT(AB69,2))))</f>
        <v/>
      </c>
      <c r="AD69" s="20">
        <f>IF(OR(Z69="",AA69="",AB69=""),"",INDEX(APGrid,COUNTIF(APS,"&gt;"&amp;(--TRIM(LEFT(Z69,2))))*5+COUNTIF(APO,"&gt;"&amp;(--TRIM(LEFT(AA69,2))))+1,COUNTIF(APD,"&gt;"&amp;(--TRIM(LEFT(AB69,2))))+1))</f>
        <v/>
      </c>
      <c r="AE69" s="4" t="n"/>
      <c r="AF69" s="4" t="n"/>
      <c r="AH69">
        <f>IFERROR(INDEX(EqTag,_xlfn.AGGREGATE(15,6,(ROW(EqTag)-4)/((EqSys=$D$3)*(EqTag&lt;&gt;"")),ROWS($AH$14:AH69))),"")</f>
        <v/>
      </c>
    </row>
    <row r="70">
      <c r="A70" s="20">
        <f>IF(F70="","",LEFT($D$3,3)&amp;"-"&amp;TEXT(COUNTIF(F$14:F70,"?*"),"00"))</f>
        <v/>
      </c>
      <c r="B70" s="4" t="n"/>
      <c r="C70" s="5">
        <f>IF(B70="","",IFERROR(INDEX(EqTypeCol,MATCH(B70,EqTag,0)),"Tag not in register"))</f>
        <v/>
      </c>
      <c r="D70" s="4" t="n"/>
      <c r="E70" s="4" t="n"/>
      <c r="F70" s="4" t="n"/>
      <c r="G70" s="4" t="n"/>
      <c r="H70" s="4" t="n"/>
      <c r="I70" s="4" t="n"/>
      <c r="J70" s="5">
        <f>_xlfn.TEXTJOIN(CHAR(10),TRUE,IF(G70="","","• "&amp;G70),IF(H70="","","• "&amp;H70),IF(I70="","","• "&amp;I70))</f>
        <v/>
      </c>
      <c r="K70" s="4" t="n"/>
      <c r="L70" s="4" t="n"/>
      <c r="M70" s="4" t="n"/>
      <c r="N70" s="16" t="n"/>
      <c r="O70" s="4" t="n"/>
      <c r="P70" s="16" t="n"/>
      <c r="Q70" s="4" t="n"/>
      <c r="R70" s="16" t="n"/>
      <c r="S70" s="20">
        <f>IF(OR(N70="",P70="",R70=""),"",(--TRIM(LEFT(N70,2)))*(--TRIM(LEFT(P70,2)))*(--TRIM(LEFT(R70,2))))</f>
        <v/>
      </c>
      <c r="T70" s="20">
        <f>IF(OR(N70="",P70="",R70=""),"",INDEX(APGrid,COUNTIF(APS,"&gt;"&amp;(--TRIM(LEFT(N70,2))))*5+COUNTIF(APO,"&gt;"&amp;(--TRIM(LEFT(P70,2))))+1,COUNTIF(APD,"&gt;"&amp;(--TRIM(LEFT(R70,2))))+1))</f>
        <v/>
      </c>
      <c r="U70" s="20">
        <f>IF(S70="","",IF(OR((--TRIM(LEFT(N70,2)))&gt;=SThr,S70&gt;=RPNThr,T70="H"),"Yes","No"))</f>
        <v/>
      </c>
      <c r="V70" s="4" t="n"/>
      <c r="W70" s="4" t="n"/>
      <c r="X70" s="4" t="n"/>
      <c r="Y70" s="29" t="n"/>
      <c r="Z70" s="16" t="n"/>
      <c r="AA70" s="16" t="n"/>
      <c r="AB70" s="16" t="n"/>
      <c r="AC70" s="20">
        <f>IF(OR(Z70="",AA70="",AB70=""),"",(--TRIM(LEFT(Z70,2)))*(--TRIM(LEFT(AA70,2)))*(--TRIM(LEFT(AB70,2))))</f>
        <v/>
      </c>
      <c r="AD70" s="20">
        <f>IF(OR(Z70="",AA70="",AB70=""),"",INDEX(APGrid,COUNTIF(APS,"&gt;"&amp;(--TRIM(LEFT(Z70,2))))*5+COUNTIF(APO,"&gt;"&amp;(--TRIM(LEFT(AA70,2))))+1,COUNTIF(APD,"&gt;"&amp;(--TRIM(LEFT(AB70,2))))+1))</f>
        <v/>
      </c>
      <c r="AE70" s="4" t="n"/>
      <c r="AF70" s="4" t="n"/>
      <c r="AH70">
        <f>IFERROR(INDEX(EqTag,_xlfn.AGGREGATE(15,6,(ROW(EqTag)-4)/((EqSys=$D$3)*(EqTag&lt;&gt;"")),ROWS($AH$14:AH70))),"")</f>
        <v/>
      </c>
    </row>
    <row r="71">
      <c r="A71" s="20">
        <f>IF(F71="","",LEFT($D$3,3)&amp;"-"&amp;TEXT(COUNTIF(F$14:F71,"?*"),"00"))</f>
        <v/>
      </c>
      <c r="B71" s="4" t="n"/>
      <c r="C71" s="5">
        <f>IF(B71="","",IFERROR(INDEX(EqTypeCol,MATCH(B71,EqTag,0)),"Tag not in register"))</f>
        <v/>
      </c>
      <c r="D71" s="4" t="n"/>
      <c r="E71" s="4" t="n"/>
      <c r="F71" s="4" t="n"/>
      <c r="G71" s="4" t="n"/>
      <c r="H71" s="4" t="n"/>
      <c r="I71" s="4" t="n"/>
      <c r="J71" s="5">
        <f>_xlfn.TEXTJOIN(CHAR(10),TRUE,IF(G71="","","• "&amp;G71),IF(H71="","","• "&amp;H71),IF(I71="","","• "&amp;I71))</f>
        <v/>
      </c>
      <c r="K71" s="4" t="n"/>
      <c r="L71" s="4" t="n"/>
      <c r="M71" s="4" t="n"/>
      <c r="N71" s="16" t="n"/>
      <c r="O71" s="4" t="n"/>
      <c r="P71" s="16" t="n"/>
      <c r="Q71" s="4" t="n"/>
      <c r="R71" s="16" t="n"/>
      <c r="S71" s="20">
        <f>IF(OR(N71="",P71="",R71=""),"",(--TRIM(LEFT(N71,2)))*(--TRIM(LEFT(P71,2)))*(--TRIM(LEFT(R71,2))))</f>
        <v/>
      </c>
      <c r="T71" s="20">
        <f>IF(OR(N71="",P71="",R71=""),"",INDEX(APGrid,COUNTIF(APS,"&gt;"&amp;(--TRIM(LEFT(N71,2))))*5+COUNTIF(APO,"&gt;"&amp;(--TRIM(LEFT(P71,2))))+1,COUNTIF(APD,"&gt;"&amp;(--TRIM(LEFT(R71,2))))+1))</f>
        <v/>
      </c>
      <c r="U71" s="20">
        <f>IF(S71="","",IF(OR((--TRIM(LEFT(N71,2)))&gt;=SThr,S71&gt;=RPNThr,T71="H"),"Yes","No"))</f>
        <v/>
      </c>
      <c r="V71" s="4" t="n"/>
      <c r="W71" s="4" t="n"/>
      <c r="X71" s="4" t="n"/>
      <c r="Y71" s="29" t="n"/>
      <c r="Z71" s="16" t="n"/>
      <c r="AA71" s="16" t="n"/>
      <c r="AB71" s="16" t="n"/>
      <c r="AC71" s="20">
        <f>IF(OR(Z71="",AA71="",AB71=""),"",(--TRIM(LEFT(Z71,2)))*(--TRIM(LEFT(AA71,2)))*(--TRIM(LEFT(AB71,2))))</f>
        <v/>
      </c>
      <c r="AD71" s="20">
        <f>IF(OR(Z71="",AA71="",AB71=""),"",INDEX(APGrid,COUNTIF(APS,"&gt;"&amp;(--TRIM(LEFT(Z71,2))))*5+COUNTIF(APO,"&gt;"&amp;(--TRIM(LEFT(AA71,2))))+1,COUNTIF(APD,"&gt;"&amp;(--TRIM(LEFT(AB71,2))))+1))</f>
        <v/>
      </c>
      <c r="AE71" s="4" t="n"/>
      <c r="AF71" s="4" t="n"/>
      <c r="AH71">
        <f>IFERROR(INDEX(EqTag,_xlfn.AGGREGATE(15,6,(ROW(EqTag)-4)/((EqSys=$D$3)*(EqTag&lt;&gt;"")),ROWS($AH$14:AH71))),"")</f>
        <v/>
      </c>
    </row>
    <row r="72">
      <c r="A72" s="20">
        <f>IF(F72="","",LEFT($D$3,3)&amp;"-"&amp;TEXT(COUNTIF(F$14:F72,"?*"),"00"))</f>
        <v/>
      </c>
      <c r="B72" s="4" t="n"/>
      <c r="C72" s="5">
        <f>IF(B72="","",IFERROR(INDEX(EqTypeCol,MATCH(B72,EqTag,0)),"Tag not in register"))</f>
        <v/>
      </c>
      <c r="D72" s="4" t="n"/>
      <c r="E72" s="4" t="n"/>
      <c r="F72" s="4" t="n"/>
      <c r="G72" s="4" t="n"/>
      <c r="H72" s="4" t="n"/>
      <c r="I72" s="4" t="n"/>
      <c r="J72" s="5">
        <f>_xlfn.TEXTJOIN(CHAR(10),TRUE,IF(G72="","","• "&amp;G72),IF(H72="","","• "&amp;H72),IF(I72="","","• "&amp;I72))</f>
        <v/>
      </c>
      <c r="K72" s="4" t="n"/>
      <c r="L72" s="4" t="n"/>
      <c r="M72" s="4" t="n"/>
      <c r="N72" s="16" t="n"/>
      <c r="O72" s="4" t="n"/>
      <c r="P72" s="16" t="n"/>
      <c r="Q72" s="4" t="n"/>
      <c r="R72" s="16" t="n"/>
      <c r="S72" s="20">
        <f>IF(OR(N72="",P72="",R72=""),"",(--TRIM(LEFT(N72,2)))*(--TRIM(LEFT(P72,2)))*(--TRIM(LEFT(R72,2))))</f>
        <v/>
      </c>
      <c r="T72" s="20">
        <f>IF(OR(N72="",P72="",R72=""),"",INDEX(APGrid,COUNTIF(APS,"&gt;"&amp;(--TRIM(LEFT(N72,2))))*5+COUNTIF(APO,"&gt;"&amp;(--TRIM(LEFT(P72,2))))+1,COUNTIF(APD,"&gt;"&amp;(--TRIM(LEFT(R72,2))))+1))</f>
        <v/>
      </c>
      <c r="U72" s="20">
        <f>IF(S72="","",IF(OR((--TRIM(LEFT(N72,2)))&gt;=SThr,S72&gt;=RPNThr,T72="H"),"Yes","No"))</f>
        <v/>
      </c>
      <c r="V72" s="4" t="n"/>
      <c r="W72" s="4" t="n"/>
      <c r="X72" s="4" t="n"/>
      <c r="Y72" s="29" t="n"/>
      <c r="Z72" s="16" t="n"/>
      <c r="AA72" s="16" t="n"/>
      <c r="AB72" s="16" t="n"/>
      <c r="AC72" s="20">
        <f>IF(OR(Z72="",AA72="",AB72=""),"",(--TRIM(LEFT(Z72,2)))*(--TRIM(LEFT(AA72,2)))*(--TRIM(LEFT(AB72,2))))</f>
        <v/>
      </c>
      <c r="AD72" s="20">
        <f>IF(OR(Z72="",AA72="",AB72=""),"",INDEX(APGrid,COUNTIF(APS,"&gt;"&amp;(--TRIM(LEFT(Z72,2))))*5+COUNTIF(APO,"&gt;"&amp;(--TRIM(LEFT(AA72,2))))+1,COUNTIF(APD,"&gt;"&amp;(--TRIM(LEFT(AB72,2))))+1))</f>
        <v/>
      </c>
      <c r="AE72" s="4" t="n"/>
      <c r="AF72" s="4" t="n"/>
      <c r="AH72">
        <f>IFERROR(INDEX(EqTag,_xlfn.AGGREGATE(15,6,(ROW(EqTag)-4)/((EqSys=$D$3)*(EqTag&lt;&gt;"")),ROWS($AH$14:AH72))),"")</f>
        <v/>
      </c>
    </row>
    <row r="73">
      <c r="A73" s="20">
        <f>IF(F73="","",LEFT($D$3,3)&amp;"-"&amp;TEXT(COUNTIF(F$14:F73,"?*"),"00"))</f>
        <v/>
      </c>
      <c r="B73" s="4" t="n"/>
      <c r="C73" s="5">
        <f>IF(B73="","",IFERROR(INDEX(EqTypeCol,MATCH(B73,EqTag,0)),"Tag not in register"))</f>
        <v/>
      </c>
      <c r="D73" s="4" t="n"/>
      <c r="E73" s="4" t="n"/>
      <c r="F73" s="4" t="n"/>
      <c r="G73" s="4" t="n"/>
      <c r="H73" s="4" t="n"/>
      <c r="I73" s="4" t="n"/>
      <c r="J73" s="5">
        <f>_xlfn.TEXTJOIN(CHAR(10),TRUE,IF(G73="","","• "&amp;G73),IF(H73="","","• "&amp;H73),IF(I73="","","• "&amp;I73))</f>
        <v/>
      </c>
      <c r="K73" s="4" t="n"/>
      <c r="L73" s="4" t="n"/>
      <c r="M73" s="4" t="n"/>
      <c r="N73" s="16" t="n"/>
      <c r="O73" s="4" t="n"/>
      <c r="P73" s="16" t="n"/>
      <c r="Q73" s="4" t="n"/>
      <c r="R73" s="16" t="n"/>
      <c r="S73" s="20">
        <f>IF(OR(N73="",P73="",R73=""),"",(--TRIM(LEFT(N73,2)))*(--TRIM(LEFT(P73,2)))*(--TRIM(LEFT(R73,2))))</f>
        <v/>
      </c>
      <c r="T73" s="20">
        <f>IF(OR(N73="",P73="",R73=""),"",INDEX(APGrid,COUNTIF(APS,"&gt;"&amp;(--TRIM(LEFT(N73,2))))*5+COUNTIF(APO,"&gt;"&amp;(--TRIM(LEFT(P73,2))))+1,COUNTIF(APD,"&gt;"&amp;(--TRIM(LEFT(R73,2))))+1))</f>
        <v/>
      </c>
      <c r="U73" s="20">
        <f>IF(S73="","",IF(OR((--TRIM(LEFT(N73,2)))&gt;=SThr,S73&gt;=RPNThr,T73="H"),"Yes","No"))</f>
        <v/>
      </c>
      <c r="V73" s="4" t="n"/>
      <c r="W73" s="4" t="n"/>
      <c r="X73" s="4" t="n"/>
      <c r="Y73" s="29" t="n"/>
      <c r="Z73" s="16" t="n"/>
      <c r="AA73" s="16" t="n"/>
      <c r="AB73" s="16" t="n"/>
      <c r="AC73" s="20">
        <f>IF(OR(Z73="",AA73="",AB73=""),"",(--TRIM(LEFT(Z73,2)))*(--TRIM(LEFT(AA73,2)))*(--TRIM(LEFT(AB73,2))))</f>
        <v/>
      </c>
      <c r="AD73" s="20">
        <f>IF(OR(Z73="",AA73="",AB73=""),"",INDEX(APGrid,COUNTIF(APS,"&gt;"&amp;(--TRIM(LEFT(Z73,2))))*5+COUNTIF(APO,"&gt;"&amp;(--TRIM(LEFT(AA73,2))))+1,COUNTIF(APD,"&gt;"&amp;(--TRIM(LEFT(AB73,2))))+1))</f>
        <v/>
      </c>
      <c r="AE73" s="4" t="n"/>
      <c r="AF73" s="4" t="n"/>
      <c r="AH73">
        <f>IFERROR(INDEX(EqTag,_xlfn.AGGREGATE(15,6,(ROW(EqTag)-4)/((EqSys=$D$3)*(EqTag&lt;&gt;"")),ROWS($AH$14:AH73))),"")</f>
        <v/>
      </c>
    </row>
    <row r="74">
      <c r="A74" s="20">
        <f>IF(F74="","",LEFT($D$3,3)&amp;"-"&amp;TEXT(COUNTIF(F$14:F74,"?*"),"00"))</f>
        <v/>
      </c>
      <c r="B74" s="4" t="n"/>
      <c r="C74" s="5">
        <f>IF(B74="","",IFERROR(INDEX(EqTypeCol,MATCH(B74,EqTag,0)),"Tag not in register"))</f>
        <v/>
      </c>
      <c r="D74" s="4" t="n"/>
      <c r="E74" s="4" t="n"/>
      <c r="F74" s="4" t="n"/>
      <c r="G74" s="4" t="n"/>
      <c r="H74" s="4" t="n"/>
      <c r="I74" s="4" t="n"/>
      <c r="J74" s="5">
        <f>_xlfn.TEXTJOIN(CHAR(10),TRUE,IF(G74="","","• "&amp;G74),IF(H74="","","• "&amp;H74),IF(I74="","","• "&amp;I74))</f>
        <v/>
      </c>
      <c r="K74" s="4" t="n"/>
      <c r="L74" s="4" t="n"/>
      <c r="M74" s="4" t="n"/>
      <c r="N74" s="16" t="n"/>
      <c r="O74" s="4" t="n"/>
      <c r="P74" s="16" t="n"/>
      <c r="Q74" s="4" t="n"/>
      <c r="R74" s="16" t="n"/>
      <c r="S74" s="20">
        <f>IF(OR(N74="",P74="",R74=""),"",(--TRIM(LEFT(N74,2)))*(--TRIM(LEFT(P74,2)))*(--TRIM(LEFT(R74,2))))</f>
        <v/>
      </c>
      <c r="T74" s="20">
        <f>IF(OR(N74="",P74="",R74=""),"",INDEX(APGrid,COUNTIF(APS,"&gt;"&amp;(--TRIM(LEFT(N74,2))))*5+COUNTIF(APO,"&gt;"&amp;(--TRIM(LEFT(P74,2))))+1,COUNTIF(APD,"&gt;"&amp;(--TRIM(LEFT(R74,2))))+1))</f>
        <v/>
      </c>
      <c r="U74" s="20">
        <f>IF(S74="","",IF(OR((--TRIM(LEFT(N74,2)))&gt;=SThr,S74&gt;=RPNThr,T74="H"),"Yes","No"))</f>
        <v/>
      </c>
      <c r="V74" s="4" t="n"/>
      <c r="W74" s="4" t="n"/>
      <c r="X74" s="4" t="n"/>
      <c r="Y74" s="29" t="n"/>
      <c r="Z74" s="16" t="n"/>
      <c r="AA74" s="16" t="n"/>
      <c r="AB74" s="16" t="n"/>
      <c r="AC74" s="20">
        <f>IF(OR(Z74="",AA74="",AB74=""),"",(--TRIM(LEFT(Z74,2)))*(--TRIM(LEFT(AA74,2)))*(--TRIM(LEFT(AB74,2))))</f>
        <v/>
      </c>
      <c r="AD74" s="20">
        <f>IF(OR(Z74="",AA74="",AB74=""),"",INDEX(APGrid,COUNTIF(APS,"&gt;"&amp;(--TRIM(LEFT(Z74,2))))*5+COUNTIF(APO,"&gt;"&amp;(--TRIM(LEFT(AA74,2))))+1,COUNTIF(APD,"&gt;"&amp;(--TRIM(LEFT(AB74,2))))+1))</f>
        <v/>
      </c>
      <c r="AE74" s="4" t="n"/>
      <c r="AF74" s="4" t="n"/>
      <c r="AH74">
        <f>IFERROR(INDEX(EqTag,_xlfn.AGGREGATE(15,6,(ROW(EqTag)-4)/((EqSys=$D$3)*(EqTag&lt;&gt;"")),ROWS($AH$14:AH74))),"")</f>
        <v/>
      </c>
    </row>
    <row r="75">
      <c r="A75" s="20">
        <f>IF(F75="","",LEFT($D$3,3)&amp;"-"&amp;TEXT(COUNTIF(F$14:F75,"?*"),"00"))</f>
        <v/>
      </c>
      <c r="B75" s="4" t="n"/>
      <c r="C75" s="5">
        <f>IF(B75="","",IFERROR(INDEX(EqTypeCol,MATCH(B75,EqTag,0)),"Tag not in register"))</f>
        <v/>
      </c>
      <c r="D75" s="4" t="n"/>
      <c r="E75" s="4" t="n"/>
      <c r="F75" s="4" t="n"/>
      <c r="G75" s="4" t="n"/>
      <c r="H75" s="4" t="n"/>
      <c r="I75" s="4" t="n"/>
      <c r="J75" s="5">
        <f>_xlfn.TEXTJOIN(CHAR(10),TRUE,IF(G75="","","• "&amp;G75),IF(H75="","","• "&amp;H75),IF(I75="","","• "&amp;I75))</f>
        <v/>
      </c>
      <c r="K75" s="4" t="n"/>
      <c r="L75" s="4" t="n"/>
      <c r="M75" s="4" t="n"/>
      <c r="N75" s="16" t="n"/>
      <c r="O75" s="4" t="n"/>
      <c r="P75" s="16" t="n"/>
      <c r="Q75" s="4" t="n"/>
      <c r="R75" s="16" t="n"/>
      <c r="S75" s="20">
        <f>IF(OR(N75="",P75="",R75=""),"",(--TRIM(LEFT(N75,2)))*(--TRIM(LEFT(P75,2)))*(--TRIM(LEFT(R75,2))))</f>
        <v/>
      </c>
      <c r="T75" s="20">
        <f>IF(OR(N75="",P75="",R75=""),"",INDEX(APGrid,COUNTIF(APS,"&gt;"&amp;(--TRIM(LEFT(N75,2))))*5+COUNTIF(APO,"&gt;"&amp;(--TRIM(LEFT(P75,2))))+1,COUNTIF(APD,"&gt;"&amp;(--TRIM(LEFT(R75,2))))+1))</f>
        <v/>
      </c>
      <c r="U75" s="20">
        <f>IF(S75="","",IF(OR((--TRIM(LEFT(N75,2)))&gt;=SThr,S75&gt;=RPNThr,T75="H"),"Yes","No"))</f>
        <v/>
      </c>
      <c r="V75" s="4" t="n"/>
      <c r="W75" s="4" t="n"/>
      <c r="X75" s="4" t="n"/>
      <c r="Y75" s="29" t="n"/>
      <c r="Z75" s="16" t="n"/>
      <c r="AA75" s="16" t="n"/>
      <c r="AB75" s="16" t="n"/>
      <c r="AC75" s="20">
        <f>IF(OR(Z75="",AA75="",AB75=""),"",(--TRIM(LEFT(Z75,2)))*(--TRIM(LEFT(AA75,2)))*(--TRIM(LEFT(AB75,2))))</f>
        <v/>
      </c>
      <c r="AD75" s="20">
        <f>IF(OR(Z75="",AA75="",AB75=""),"",INDEX(APGrid,COUNTIF(APS,"&gt;"&amp;(--TRIM(LEFT(Z75,2))))*5+COUNTIF(APO,"&gt;"&amp;(--TRIM(LEFT(AA75,2))))+1,COUNTIF(APD,"&gt;"&amp;(--TRIM(LEFT(AB75,2))))+1))</f>
        <v/>
      </c>
      <c r="AE75" s="4" t="n"/>
      <c r="AF75" s="4" t="n"/>
      <c r="AH75">
        <f>IFERROR(INDEX(EqTag,_xlfn.AGGREGATE(15,6,(ROW(EqTag)-4)/((EqSys=$D$3)*(EqTag&lt;&gt;"")),ROWS($AH$14:AH75))),"")</f>
        <v/>
      </c>
    </row>
    <row r="76">
      <c r="A76" s="20">
        <f>IF(F76="","",LEFT($D$3,3)&amp;"-"&amp;TEXT(COUNTIF(F$14:F76,"?*"),"00"))</f>
        <v/>
      </c>
      <c r="B76" s="4" t="n"/>
      <c r="C76" s="5">
        <f>IF(B76="","",IFERROR(INDEX(EqTypeCol,MATCH(B76,EqTag,0)),"Tag not in register"))</f>
        <v/>
      </c>
      <c r="D76" s="4" t="n"/>
      <c r="E76" s="4" t="n"/>
      <c r="F76" s="4" t="n"/>
      <c r="G76" s="4" t="n"/>
      <c r="H76" s="4" t="n"/>
      <c r="I76" s="4" t="n"/>
      <c r="J76" s="5">
        <f>_xlfn.TEXTJOIN(CHAR(10),TRUE,IF(G76="","","• "&amp;G76),IF(H76="","","• "&amp;H76),IF(I76="","","• "&amp;I76))</f>
        <v/>
      </c>
      <c r="K76" s="4" t="n"/>
      <c r="L76" s="4" t="n"/>
      <c r="M76" s="4" t="n"/>
      <c r="N76" s="16" t="n"/>
      <c r="O76" s="4" t="n"/>
      <c r="P76" s="16" t="n"/>
      <c r="Q76" s="4" t="n"/>
      <c r="R76" s="16" t="n"/>
      <c r="S76" s="20">
        <f>IF(OR(N76="",P76="",R76=""),"",(--TRIM(LEFT(N76,2)))*(--TRIM(LEFT(P76,2)))*(--TRIM(LEFT(R76,2))))</f>
        <v/>
      </c>
      <c r="T76" s="20">
        <f>IF(OR(N76="",P76="",R76=""),"",INDEX(APGrid,COUNTIF(APS,"&gt;"&amp;(--TRIM(LEFT(N76,2))))*5+COUNTIF(APO,"&gt;"&amp;(--TRIM(LEFT(P76,2))))+1,COUNTIF(APD,"&gt;"&amp;(--TRIM(LEFT(R76,2))))+1))</f>
        <v/>
      </c>
      <c r="U76" s="20">
        <f>IF(S76="","",IF(OR((--TRIM(LEFT(N76,2)))&gt;=SThr,S76&gt;=RPNThr,T76="H"),"Yes","No"))</f>
        <v/>
      </c>
      <c r="V76" s="4" t="n"/>
      <c r="W76" s="4" t="n"/>
      <c r="X76" s="4" t="n"/>
      <c r="Y76" s="29" t="n"/>
      <c r="Z76" s="16" t="n"/>
      <c r="AA76" s="16" t="n"/>
      <c r="AB76" s="16" t="n"/>
      <c r="AC76" s="20">
        <f>IF(OR(Z76="",AA76="",AB76=""),"",(--TRIM(LEFT(Z76,2)))*(--TRIM(LEFT(AA76,2)))*(--TRIM(LEFT(AB76,2))))</f>
        <v/>
      </c>
      <c r="AD76" s="20">
        <f>IF(OR(Z76="",AA76="",AB76=""),"",INDEX(APGrid,COUNTIF(APS,"&gt;"&amp;(--TRIM(LEFT(Z76,2))))*5+COUNTIF(APO,"&gt;"&amp;(--TRIM(LEFT(AA76,2))))+1,COUNTIF(APD,"&gt;"&amp;(--TRIM(LEFT(AB76,2))))+1))</f>
        <v/>
      </c>
      <c r="AE76" s="4" t="n"/>
      <c r="AF76" s="4" t="n"/>
      <c r="AH76">
        <f>IFERROR(INDEX(EqTag,_xlfn.AGGREGATE(15,6,(ROW(EqTag)-4)/((EqSys=$D$3)*(EqTag&lt;&gt;"")),ROWS($AH$14:AH76))),"")</f>
        <v/>
      </c>
    </row>
    <row r="77">
      <c r="A77" s="20">
        <f>IF(F77="","",LEFT($D$3,3)&amp;"-"&amp;TEXT(COUNTIF(F$14:F77,"?*"),"00"))</f>
        <v/>
      </c>
      <c r="B77" s="4" t="n"/>
      <c r="C77" s="5">
        <f>IF(B77="","",IFERROR(INDEX(EqTypeCol,MATCH(B77,EqTag,0)),"Tag not in register"))</f>
        <v/>
      </c>
      <c r="D77" s="4" t="n"/>
      <c r="E77" s="4" t="n"/>
      <c r="F77" s="4" t="n"/>
      <c r="G77" s="4" t="n"/>
      <c r="H77" s="4" t="n"/>
      <c r="I77" s="4" t="n"/>
      <c r="J77" s="5">
        <f>_xlfn.TEXTJOIN(CHAR(10),TRUE,IF(G77="","","• "&amp;G77),IF(H77="","","• "&amp;H77),IF(I77="","","• "&amp;I77))</f>
        <v/>
      </c>
      <c r="K77" s="4" t="n"/>
      <c r="L77" s="4" t="n"/>
      <c r="M77" s="4" t="n"/>
      <c r="N77" s="16" t="n"/>
      <c r="O77" s="4" t="n"/>
      <c r="P77" s="16" t="n"/>
      <c r="Q77" s="4" t="n"/>
      <c r="R77" s="16" t="n"/>
      <c r="S77" s="20">
        <f>IF(OR(N77="",P77="",R77=""),"",(--TRIM(LEFT(N77,2)))*(--TRIM(LEFT(P77,2)))*(--TRIM(LEFT(R77,2))))</f>
        <v/>
      </c>
      <c r="T77" s="20">
        <f>IF(OR(N77="",P77="",R77=""),"",INDEX(APGrid,COUNTIF(APS,"&gt;"&amp;(--TRIM(LEFT(N77,2))))*5+COUNTIF(APO,"&gt;"&amp;(--TRIM(LEFT(P77,2))))+1,COUNTIF(APD,"&gt;"&amp;(--TRIM(LEFT(R77,2))))+1))</f>
        <v/>
      </c>
      <c r="U77" s="20">
        <f>IF(S77="","",IF(OR((--TRIM(LEFT(N77,2)))&gt;=SThr,S77&gt;=RPNThr,T77="H"),"Yes","No"))</f>
        <v/>
      </c>
      <c r="V77" s="4" t="n"/>
      <c r="W77" s="4" t="n"/>
      <c r="X77" s="4" t="n"/>
      <c r="Y77" s="29" t="n"/>
      <c r="Z77" s="16" t="n"/>
      <c r="AA77" s="16" t="n"/>
      <c r="AB77" s="16" t="n"/>
      <c r="AC77" s="20">
        <f>IF(OR(Z77="",AA77="",AB77=""),"",(--TRIM(LEFT(Z77,2)))*(--TRIM(LEFT(AA77,2)))*(--TRIM(LEFT(AB77,2))))</f>
        <v/>
      </c>
      <c r="AD77" s="20">
        <f>IF(OR(Z77="",AA77="",AB77=""),"",INDEX(APGrid,COUNTIF(APS,"&gt;"&amp;(--TRIM(LEFT(Z77,2))))*5+COUNTIF(APO,"&gt;"&amp;(--TRIM(LEFT(AA77,2))))+1,COUNTIF(APD,"&gt;"&amp;(--TRIM(LEFT(AB77,2))))+1))</f>
        <v/>
      </c>
      <c r="AE77" s="4" t="n"/>
      <c r="AF77" s="4" t="n"/>
      <c r="AH77">
        <f>IFERROR(INDEX(EqTag,_xlfn.AGGREGATE(15,6,(ROW(EqTag)-4)/((EqSys=$D$3)*(EqTag&lt;&gt;"")),ROWS($AH$14:AH77))),"")</f>
        <v/>
      </c>
    </row>
    <row r="78">
      <c r="A78" s="20">
        <f>IF(F78="","",LEFT($D$3,3)&amp;"-"&amp;TEXT(COUNTIF(F$14:F78,"?*"),"00"))</f>
        <v/>
      </c>
      <c r="B78" s="4" t="n"/>
      <c r="C78" s="5">
        <f>IF(B78="","",IFERROR(INDEX(EqTypeCol,MATCH(B78,EqTag,0)),"Tag not in register"))</f>
        <v/>
      </c>
      <c r="D78" s="4" t="n"/>
      <c r="E78" s="4" t="n"/>
      <c r="F78" s="4" t="n"/>
      <c r="G78" s="4" t="n"/>
      <c r="H78" s="4" t="n"/>
      <c r="I78" s="4" t="n"/>
      <c r="J78" s="5">
        <f>_xlfn.TEXTJOIN(CHAR(10),TRUE,IF(G78="","","• "&amp;G78),IF(H78="","","• "&amp;H78),IF(I78="","","• "&amp;I78))</f>
        <v/>
      </c>
      <c r="K78" s="4" t="n"/>
      <c r="L78" s="4" t="n"/>
      <c r="M78" s="4" t="n"/>
      <c r="N78" s="16" t="n"/>
      <c r="O78" s="4" t="n"/>
      <c r="P78" s="16" t="n"/>
      <c r="Q78" s="4" t="n"/>
      <c r="R78" s="16" t="n"/>
      <c r="S78" s="20">
        <f>IF(OR(N78="",P78="",R78=""),"",(--TRIM(LEFT(N78,2)))*(--TRIM(LEFT(P78,2)))*(--TRIM(LEFT(R78,2))))</f>
        <v/>
      </c>
      <c r="T78" s="20">
        <f>IF(OR(N78="",P78="",R78=""),"",INDEX(APGrid,COUNTIF(APS,"&gt;"&amp;(--TRIM(LEFT(N78,2))))*5+COUNTIF(APO,"&gt;"&amp;(--TRIM(LEFT(P78,2))))+1,COUNTIF(APD,"&gt;"&amp;(--TRIM(LEFT(R78,2))))+1))</f>
        <v/>
      </c>
      <c r="U78" s="20">
        <f>IF(S78="","",IF(OR((--TRIM(LEFT(N78,2)))&gt;=SThr,S78&gt;=RPNThr,T78="H"),"Yes","No"))</f>
        <v/>
      </c>
      <c r="V78" s="4" t="n"/>
      <c r="W78" s="4" t="n"/>
      <c r="X78" s="4" t="n"/>
      <c r="Y78" s="29" t="n"/>
      <c r="Z78" s="16" t="n"/>
      <c r="AA78" s="16" t="n"/>
      <c r="AB78" s="16" t="n"/>
      <c r="AC78" s="20">
        <f>IF(OR(Z78="",AA78="",AB78=""),"",(--TRIM(LEFT(Z78,2)))*(--TRIM(LEFT(AA78,2)))*(--TRIM(LEFT(AB78,2))))</f>
        <v/>
      </c>
      <c r="AD78" s="20">
        <f>IF(OR(Z78="",AA78="",AB78=""),"",INDEX(APGrid,COUNTIF(APS,"&gt;"&amp;(--TRIM(LEFT(Z78,2))))*5+COUNTIF(APO,"&gt;"&amp;(--TRIM(LEFT(AA78,2))))+1,COUNTIF(APD,"&gt;"&amp;(--TRIM(LEFT(AB78,2))))+1))</f>
        <v/>
      </c>
      <c r="AE78" s="4" t="n"/>
      <c r="AF78" s="4" t="n"/>
      <c r="AH78">
        <f>IFERROR(INDEX(EqTag,_xlfn.AGGREGATE(15,6,(ROW(EqTag)-4)/((EqSys=$D$3)*(EqTag&lt;&gt;"")),ROWS($AH$14:AH78))),"")</f>
        <v/>
      </c>
    </row>
    <row r="79">
      <c r="A79" s="20">
        <f>IF(F79="","",LEFT($D$3,3)&amp;"-"&amp;TEXT(COUNTIF(F$14:F79,"?*"),"00"))</f>
        <v/>
      </c>
      <c r="B79" s="4" t="n"/>
      <c r="C79" s="5">
        <f>IF(B79="","",IFERROR(INDEX(EqTypeCol,MATCH(B79,EqTag,0)),"Tag not in register"))</f>
        <v/>
      </c>
      <c r="D79" s="4" t="n"/>
      <c r="E79" s="4" t="n"/>
      <c r="F79" s="4" t="n"/>
      <c r="G79" s="4" t="n"/>
      <c r="H79" s="4" t="n"/>
      <c r="I79" s="4" t="n"/>
      <c r="J79" s="5">
        <f>_xlfn.TEXTJOIN(CHAR(10),TRUE,IF(G79="","","• "&amp;G79),IF(H79="","","• "&amp;H79),IF(I79="","","• "&amp;I79))</f>
        <v/>
      </c>
      <c r="K79" s="4" t="n"/>
      <c r="L79" s="4" t="n"/>
      <c r="M79" s="4" t="n"/>
      <c r="N79" s="16" t="n"/>
      <c r="O79" s="4" t="n"/>
      <c r="P79" s="16" t="n"/>
      <c r="Q79" s="4" t="n"/>
      <c r="R79" s="16" t="n"/>
      <c r="S79" s="20">
        <f>IF(OR(N79="",P79="",R79=""),"",(--TRIM(LEFT(N79,2)))*(--TRIM(LEFT(P79,2)))*(--TRIM(LEFT(R79,2))))</f>
        <v/>
      </c>
      <c r="T79" s="20">
        <f>IF(OR(N79="",P79="",R79=""),"",INDEX(APGrid,COUNTIF(APS,"&gt;"&amp;(--TRIM(LEFT(N79,2))))*5+COUNTIF(APO,"&gt;"&amp;(--TRIM(LEFT(P79,2))))+1,COUNTIF(APD,"&gt;"&amp;(--TRIM(LEFT(R79,2))))+1))</f>
        <v/>
      </c>
      <c r="U79" s="20">
        <f>IF(S79="","",IF(OR((--TRIM(LEFT(N79,2)))&gt;=SThr,S79&gt;=RPNThr,T79="H"),"Yes","No"))</f>
        <v/>
      </c>
      <c r="V79" s="4" t="n"/>
      <c r="W79" s="4" t="n"/>
      <c r="X79" s="4" t="n"/>
      <c r="Y79" s="29" t="n"/>
      <c r="Z79" s="16" t="n"/>
      <c r="AA79" s="16" t="n"/>
      <c r="AB79" s="16" t="n"/>
      <c r="AC79" s="20">
        <f>IF(OR(Z79="",AA79="",AB79=""),"",(--TRIM(LEFT(Z79,2)))*(--TRIM(LEFT(AA79,2)))*(--TRIM(LEFT(AB79,2))))</f>
        <v/>
      </c>
      <c r="AD79" s="20">
        <f>IF(OR(Z79="",AA79="",AB79=""),"",INDEX(APGrid,COUNTIF(APS,"&gt;"&amp;(--TRIM(LEFT(Z79,2))))*5+COUNTIF(APO,"&gt;"&amp;(--TRIM(LEFT(AA79,2))))+1,COUNTIF(APD,"&gt;"&amp;(--TRIM(LEFT(AB79,2))))+1))</f>
        <v/>
      </c>
      <c r="AE79" s="4" t="n"/>
      <c r="AF79" s="4" t="n"/>
      <c r="AH79">
        <f>IFERROR(INDEX(EqTag,_xlfn.AGGREGATE(15,6,(ROW(EqTag)-4)/((EqSys=$D$3)*(EqTag&lt;&gt;"")),ROWS($AH$14:AH79))),"")</f>
        <v/>
      </c>
    </row>
    <row r="80">
      <c r="A80" s="20">
        <f>IF(F80="","",LEFT($D$3,3)&amp;"-"&amp;TEXT(COUNTIF(F$14:F80,"?*"),"00"))</f>
        <v/>
      </c>
      <c r="B80" s="4" t="n"/>
      <c r="C80" s="5">
        <f>IF(B80="","",IFERROR(INDEX(EqTypeCol,MATCH(B80,EqTag,0)),"Tag not in register"))</f>
        <v/>
      </c>
      <c r="D80" s="4" t="n"/>
      <c r="E80" s="4" t="n"/>
      <c r="F80" s="4" t="n"/>
      <c r="G80" s="4" t="n"/>
      <c r="H80" s="4" t="n"/>
      <c r="I80" s="4" t="n"/>
      <c r="J80" s="5">
        <f>_xlfn.TEXTJOIN(CHAR(10),TRUE,IF(G80="","","• "&amp;G80),IF(H80="","","• "&amp;H80),IF(I80="","","• "&amp;I80))</f>
        <v/>
      </c>
      <c r="K80" s="4" t="n"/>
      <c r="L80" s="4" t="n"/>
      <c r="M80" s="4" t="n"/>
      <c r="N80" s="16" t="n"/>
      <c r="O80" s="4" t="n"/>
      <c r="P80" s="16" t="n"/>
      <c r="Q80" s="4" t="n"/>
      <c r="R80" s="16" t="n"/>
      <c r="S80" s="20">
        <f>IF(OR(N80="",P80="",R80=""),"",(--TRIM(LEFT(N80,2)))*(--TRIM(LEFT(P80,2)))*(--TRIM(LEFT(R80,2))))</f>
        <v/>
      </c>
      <c r="T80" s="20">
        <f>IF(OR(N80="",P80="",R80=""),"",INDEX(APGrid,COUNTIF(APS,"&gt;"&amp;(--TRIM(LEFT(N80,2))))*5+COUNTIF(APO,"&gt;"&amp;(--TRIM(LEFT(P80,2))))+1,COUNTIF(APD,"&gt;"&amp;(--TRIM(LEFT(R80,2))))+1))</f>
        <v/>
      </c>
      <c r="U80" s="20">
        <f>IF(S80="","",IF(OR((--TRIM(LEFT(N80,2)))&gt;=SThr,S80&gt;=RPNThr,T80="H"),"Yes","No"))</f>
        <v/>
      </c>
      <c r="V80" s="4" t="n"/>
      <c r="W80" s="4" t="n"/>
      <c r="X80" s="4" t="n"/>
      <c r="Y80" s="29" t="n"/>
      <c r="Z80" s="16" t="n"/>
      <c r="AA80" s="16" t="n"/>
      <c r="AB80" s="16" t="n"/>
      <c r="AC80" s="20">
        <f>IF(OR(Z80="",AA80="",AB80=""),"",(--TRIM(LEFT(Z80,2)))*(--TRIM(LEFT(AA80,2)))*(--TRIM(LEFT(AB80,2))))</f>
        <v/>
      </c>
      <c r="AD80" s="20">
        <f>IF(OR(Z80="",AA80="",AB80=""),"",INDEX(APGrid,COUNTIF(APS,"&gt;"&amp;(--TRIM(LEFT(Z80,2))))*5+COUNTIF(APO,"&gt;"&amp;(--TRIM(LEFT(AA80,2))))+1,COUNTIF(APD,"&gt;"&amp;(--TRIM(LEFT(AB80,2))))+1))</f>
        <v/>
      </c>
      <c r="AE80" s="4" t="n"/>
      <c r="AF80" s="4" t="n"/>
      <c r="AH80">
        <f>IFERROR(INDEX(EqTag,_xlfn.AGGREGATE(15,6,(ROW(EqTag)-4)/((EqSys=$D$3)*(EqTag&lt;&gt;"")),ROWS($AH$14:AH80))),"")</f>
        <v/>
      </c>
    </row>
    <row r="81">
      <c r="A81" s="20">
        <f>IF(F81="","",LEFT($D$3,3)&amp;"-"&amp;TEXT(COUNTIF(F$14:F81,"?*"),"00"))</f>
        <v/>
      </c>
      <c r="B81" s="4" t="n"/>
      <c r="C81" s="5">
        <f>IF(B81="","",IFERROR(INDEX(EqTypeCol,MATCH(B81,EqTag,0)),"Tag not in register"))</f>
        <v/>
      </c>
      <c r="D81" s="4" t="n"/>
      <c r="E81" s="4" t="n"/>
      <c r="F81" s="4" t="n"/>
      <c r="G81" s="4" t="n"/>
      <c r="H81" s="4" t="n"/>
      <c r="I81" s="4" t="n"/>
      <c r="J81" s="5">
        <f>_xlfn.TEXTJOIN(CHAR(10),TRUE,IF(G81="","","• "&amp;G81),IF(H81="","","• "&amp;H81),IF(I81="","","• "&amp;I81))</f>
        <v/>
      </c>
      <c r="K81" s="4" t="n"/>
      <c r="L81" s="4" t="n"/>
      <c r="M81" s="4" t="n"/>
      <c r="N81" s="16" t="n"/>
      <c r="O81" s="4" t="n"/>
      <c r="P81" s="16" t="n"/>
      <c r="Q81" s="4" t="n"/>
      <c r="R81" s="16" t="n"/>
      <c r="S81" s="20">
        <f>IF(OR(N81="",P81="",R81=""),"",(--TRIM(LEFT(N81,2)))*(--TRIM(LEFT(P81,2)))*(--TRIM(LEFT(R81,2))))</f>
        <v/>
      </c>
      <c r="T81" s="20">
        <f>IF(OR(N81="",P81="",R81=""),"",INDEX(APGrid,COUNTIF(APS,"&gt;"&amp;(--TRIM(LEFT(N81,2))))*5+COUNTIF(APO,"&gt;"&amp;(--TRIM(LEFT(P81,2))))+1,COUNTIF(APD,"&gt;"&amp;(--TRIM(LEFT(R81,2))))+1))</f>
        <v/>
      </c>
      <c r="U81" s="20">
        <f>IF(S81="","",IF(OR((--TRIM(LEFT(N81,2)))&gt;=SThr,S81&gt;=RPNThr,T81="H"),"Yes","No"))</f>
        <v/>
      </c>
      <c r="V81" s="4" t="n"/>
      <c r="W81" s="4" t="n"/>
      <c r="X81" s="4" t="n"/>
      <c r="Y81" s="29" t="n"/>
      <c r="Z81" s="16" t="n"/>
      <c r="AA81" s="16" t="n"/>
      <c r="AB81" s="16" t="n"/>
      <c r="AC81" s="20">
        <f>IF(OR(Z81="",AA81="",AB81=""),"",(--TRIM(LEFT(Z81,2)))*(--TRIM(LEFT(AA81,2)))*(--TRIM(LEFT(AB81,2))))</f>
        <v/>
      </c>
      <c r="AD81" s="20">
        <f>IF(OR(Z81="",AA81="",AB81=""),"",INDEX(APGrid,COUNTIF(APS,"&gt;"&amp;(--TRIM(LEFT(Z81,2))))*5+COUNTIF(APO,"&gt;"&amp;(--TRIM(LEFT(AA81,2))))+1,COUNTIF(APD,"&gt;"&amp;(--TRIM(LEFT(AB81,2))))+1))</f>
        <v/>
      </c>
      <c r="AE81" s="4" t="n"/>
      <c r="AF81" s="4" t="n"/>
      <c r="AH81">
        <f>IFERROR(INDEX(EqTag,_xlfn.AGGREGATE(15,6,(ROW(EqTag)-4)/((EqSys=$D$3)*(EqTag&lt;&gt;"")),ROWS($AH$14:AH81))),"")</f>
        <v/>
      </c>
    </row>
    <row r="82">
      <c r="A82" s="20">
        <f>IF(F82="","",LEFT($D$3,3)&amp;"-"&amp;TEXT(COUNTIF(F$14:F82,"?*"),"00"))</f>
        <v/>
      </c>
      <c r="B82" s="4" t="n"/>
      <c r="C82" s="5">
        <f>IF(B82="","",IFERROR(INDEX(EqTypeCol,MATCH(B82,EqTag,0)),"Tag not in register"))</f>
        <v/>
      </c>
      <c r="D82" s="4" t="n"/>
      <c r="E82" s="4" t="n"/>
      <c r="F82" s="4" t="n"/>
      <c r="G82" s="4" t="n"/>
      <c r="H82" s="4" t="n"/>
      <c r="I82" s="4" t="n"/>
      <c r="J82" s="5">
        <f>_xlfn.TEXTJOIN(CHAR(10),TRUE,IF(G82="","","• "&amp;G82),IF(H82="","","• "&amp;H82),IF(I82="","","• "&amp;I82))</f>
        <v/>
      </c>
      <c r="K82" s="4" t="n"/>
      <c r="L82" s="4" t="n"/>
      <c r="M82" s="4" t="n"/>
      <c r="N82" s="16" t="n"/>
      <c r="O82" s="4" t="n"/>
      <c r="P82" s="16" t="n"/>
      <c r="Q82" s="4" t="n"/>
      <c r="R82" s="16" t="n"/>
      <c r="S82" s="20">
        <f>IF(OR(N82="",P82="",R82=""),"",(--TRIM(LEFT(N82,2)))*(--TRIM(LEFT(P82,2)))*(--TRIM(LEFT(R82,2))))</f>
        <v/>
      </c>
      <c r="T82" s="20">
        <f>IF(OR(N82="",P82="",R82=""),"",INDEX(APGrid,COUNTIF(APS,"&gt;"&amp;(--TRIM(LEFT(N82,2))))*5+COUNTIF(APO,"&gt;"&amp;(--TRIM(LEFT(P82,2))))+1,COUNTIF(APD,"&gt;"&amp;(--TRIM(LEFT(R82,2))))+1))</f>
        <v/>
      </c>
      <c r="U82" s="20">
        <f>IF(S82="","",IF(OR((--TRIM(LEFT(N82,2)))&gt;=SThr,S82&gt;=RPNThr,T82="H"),"Yes","No"))</f>
        <v/>
      </c>
      <c r="V82" s="4" t="n"/>
      <c r="W82" s="4" t="n"/>
      <c r="X82" s="4" t="n"/>
      <c r="Y82" s="29" t="n"/>
      <c r="Z82" s="16" t="n"/>
      <c r="AA82" s="16" t="n"/>
      <c r="AB82" s="16" t="n"/>
      <c r="AC82" s="20">
        <f>IF(OR(Z82="",AA82="",AB82=""),"",(--TRIM(LEFT(Z82,2)))*(--TRIM(LEFT(AA82,2)))*(--TRIM(LEFT(AB82,2))))</f>
        <v/>
      </c>
      <c r="AD82" s="20">
        <f>IF(OR(Z82="",AA82="",AB82=""),"",INDEX(APGrid,COUNTIF(APS,"&gt;"&amp;(--TRIM(LEFT(Z82,2))))*5+COUNTIF(APO,"&gt;"&amp;(--TRIM(LEFT(AA82,2))))+1,COUNTIF(APD,"&gt;"&amp;(--TRIM(LEFT(AB82,2))))+1))</f>
        <v/>
      </c>
      <c r="AE82" s="4" t="n"/>
      <c r="AF82" s="4" t="n"/>
      <c r="AH82">
        <f>IFERROR(INDEX(EqTag,_xlfn.AGGREGATE(15,6,(ROW(EqTag)-4)/((EqSys=$D$3)*(EqTag&lt;&gt;"")),ROWS($AH$14:AH82))),"")</f>
        <v/>
      </c>
    </row>
    <row r="83">
      <c r="A83" s="20">
        <f>IF(F83="","",LEFT($D$3,3)&amp;"-"&amp;TEXT(COUNTIF(F$14:F83,"?*"),"00"))</f>
        <v/>
      </c>
      <c r="B83" s="4" t="n"/>
      <c r="C83" s="5">
        <f>IF(B83="","",IFERROR(INDEX(EqTypeCol,MATCH(B83,EqTag,0)),"Tag not in register"))</f>
        <v/>
      </c>
      <c r="D83" s="4" t="n"/>
      <c r="E83" s="4" t="n"/>
      <c r="F83" s="4" t="n"/>
      <c r="G83" s="4" t="n"/>
      <c r="H83" s="4" t="n"/>
      <c r="I83" s="4" t="n"/>
      <c r="J83" s="5">
        <f>_xlfn.TEXTJOIN(CHAR(10),TRUE,IF(G83="","","• "&amp;G83),IF(H83="","","• "&amp;H83),IF(I83="","","• "&amp;I83))</f>
        <v/>
      </c>
      <c r="K83" s="4" t="n"/>
      <c r="L83" s="4" t="n"/>
      <c r="M83" s="4" t="n"/>
      <c r="N83" s="16" t="n"/>
      <c r="O83" s="4" t="n"/>
      <c r="P83" s="16" t="n"/>
      <c r="Q83" s="4" t="n"/>
      <c r="R83" s="16" t="n"/>
      <c r="S83" s="20">
        <f>IF(OR(N83="",P83="",R83=""),"",(--TRIM(LEFT(N83,2)))*(--TRIM(LEFT(P83,2)))*(--TRIM(LEFT(R83,2))))</f>
        <v/>
      </c>
      <c r="T83" s="20">
        <f>IF(OR(N83="",P83="",R83=""),"",INDEX(APGrid,COUNTIF(APS,"&gt;"&amp;(--TRIM(LEFT(N83,2))))*5+COUNTIF(APO,"&gt;"&amp;(--TRIM(LEFT(P83,2))))+1,COUNTIF(APD,"&gt;"&amp;(--TRIM(LEFT(R83,2))))+1))</f>
        <v/>
      </c>
      <c r="U83" s="20">
        <f>IF(S83="","",IF(OR((--TRIM(LEFT(N83,2)))&gt;=SThr,S83&gt;=RPNThr,T83="H"),"Yes","No"))</f>
        <v/>
      </c>
      <c r="V83" s="4" t="n"/>
      <c r="W83" s="4" t="n"/>
      <c r="X83" s="4" t="n"/>
      <c r="Y83" s="29" t="n"/>
      <c r="Z83" s="16" t="n"/>
      <c r="AA83" s="16" t="n"/>
      <c r="AB83" s="16" t="n"/>
      <c r="AC83" s="20">
        <f>IF(OR(Z83="",AA83="",AB83=""),"",(--TRIM(LEFT(Z83,2)))*(--TRIM(LEFT(AA83,2)))*(--TRIM(LEFT(AB83,2))))</f>
        <v/>
      </c>
      <c r="AD83" s="20">
        <f>IF(OR(Z83="",AA83="",AB83=""),"",INDEX(APGrid,COUNTIF(APS,"&gt;"&amp;(--TRIM(LEFT(Z83,2))))*5+COUNTIF(APO,"&gt;"&amp;(--TRIM(LEFT(AA83,2))))+1,COUNTIF(APD,"&gt;"&amp;(--TRIM(LEFT(AB83,2))))+1))</f>
        <v/>
      </c>
      <c r="AE83" s="4" t="n"/>
      <c r="AF83" s="4" t="n"/>
      <c r="AH83">
        <f>IFERROR(INDEX(EqTag,_xlfn.AGGREGATE(15,6,(ROW(EqTag)-4)/((EqSys=$D$3)*(EqTag&lt;&gt;"")),ROWS($AH$14:AH83))),"")</f>
        <v/>
      </c>
    </row>
    <row r="84">
      <c r="A84" s="20">
        <f>IF(F84="","",LEFT($D$3,3)&amp;"-"&amp;TEXT(COUNTIF(F$14:F84,"?*"),"00"))</f>
        <v/>
      </c>
      <c r="B84" s="4" t="n"/>
      <c r="C84" s="5">
        <f>IF(B84="","",IFERROR(INDEX(EqTypeCol,MATCH(B84,EqTag,0)),"Tag not in register"))</f>
        <v/>
      </c>
      <c r="D84" s="4" t="n"/>
      <c r="E84" s="4" t="n"/>
      <c r="F84" s="4" t="n"/>
      <c r="G84" s="4" t="n"/>
      <c r="H84" s="4" t="n"/>
      <c r="I84" s="4" t="n"/>
      <c r="J84" s="5">
        <f>_xlfn.TEXTJOIN(CHAR(10),TRUE,IF(G84="","","• "&amp;G84),IF(H84="","","• "&amp;H84),IF(I84="","","• "&amp;I84))</f>
        <v/>
      </c>
      <c r="K84" s="4" t="n"/>
      <c r="L84" s="4" t="n"/>
      <c r="M84" s="4" t="n"/>
      <c r="N84" s="16" t="n"/>
      <c r="O84" s="4" t="n"/>
      <c r="P84" s="16" t="n"/>
      <c r="Q84" s="4" t="n"/>
      <c r="R84" s="16" t="n"/>
      <c r="S84" s="20">
        <f>IF(OR(N84="",P84="",R84=""),"",(--TRIM(LEFT(N84,2)))*(--TRIM(LEFT(P84,2)))*(--TRIM(LEFT(R84,2))))</f>
        <v/>
      </c>
      <c r="T84" s="20">
        <f>IF(OR(N84="",P84="",R84=""),"",INDEX(APGrid,COUNTIF(APS,"&gt;"&amp;(--TRIM(LEFT(N84,2))))*5+COUNTIF(APO,"&gt;"&amp;(--TRIM(LEFT(P84,2))))+1,COUNTIF(APD,"&gt;"&amp;(--TRIM(LEFT(R84,2))))+1))</f>
        <v/>
      </c>
      <c r="U84" s="20">
        <f>IF(S84="","",IF(OR((--TRIM(LEFT(N84,2)))&gt;=SThr,S84&gt;=RPNThr,T84="H"),"Yes","No"))</f>
        <v/>
      </c>
      <c r="V84" s="4" t="n"/>
      <c r="W84" s="4" t="n"/>
      <c r="X84" s="4" t="n"/>
      <c r="Y84" s="29" t="n"/>
      <c r="Z84" s="16" t="n"/>
      <c r="AA84" s="16" t="n"/>
      <c r="AB84" s="16" t="n"/>
      <c r="AC84" s="20">
        <f>IF(OR(Z84="",AA84="",AB84=""),"",(--TRIM(LEFT(Z84,2)))*(--TRIM(LEFT(AA84,2)))*(--TRIM(LEFT(AB84,2))))</f>
        <v/>
      </c>
      <c r="AD84" s="20">
        <f>IF(OR(Z84="",AA84="",AB84=""),"",INDEX(APGrid,COUNTIF(APS,"&gt;"&amp;(--TRIM(LEFT(Z84,2))))*5+COUNTIF(APO,"&gt;"&amp;(--TRIM(LEFT(AA84,2))))+1,COUNTIF(APD,"&gt;"&amp;(--TRIM(LEFT(AB84,2))))+1))</f>
        <v/>
      </c>
      <c r="AE84" s="4" t="n"/>
      <c r="AF84" s="4" t="n"/>
      <c r="AH84">
        <f>IFERROR(INDEX(EqTag,_xlfn.AGGREGATE(15,6,(ROW(EqTag)-4)/((EqSys=$D$3)*(EqTag&lt;&gt;"")),ROWS($AH$14:AH84))),"")</f>
        <v/>
      </c>
    </row>
    <row r="85">
      <c r="A85" s="20">
        <f>IF(F85="","",LEFT($D$3,3)&amp;"-"&amp;TEXT(COUNTIF(F$14:F85,"?*"),"00"))</f>
        <v/>
      </c>
      <c r="B85" s="4" t="n"/>
      <c r="C85" s="5">
        <f>IF(B85="","",IFERROR(INDEX(EqTypeCol,MATCH(B85,EqTag,0)),"Tag not in register"))</f>
        <v/>
      </c>
      <c r="D85" s="4" t="n"/>
      <c r="E85" s="4" t="n"/>
      <c r="F85" s="4" t="n"/>
      <c r="G85" s="4" t="n"/>
      <c r="H85" s="4" t="n"/>
      <c r="I85" s="4" t="n"/>
      <c r="J85" s="5">
        <f>_xlfn.TEXTJOIN(CHAR(10),TRUE,IF(G85="","","• "&amp;G85),IF(H85="","","• "&amp;H85),IF(I85="","","• "&amp;I85))</f>
        <v/>
      </c>
      <c r="K85" s="4" t="n"/>
      <c r="L85" s="4" t="n"/>
      <c r="M85" s="4" t="n"/>
      <c r="N85" s="16" t="n"/>
      <c r="O85" s="4" t="n"/>
      <c r="P85" s="16" t="n"/>
      <c r="Q85" s="4" t="n"/>
      <c r="R85" s="16" t="n"/>
      <c r="S85" s="20">
        <f>IF(OR(N85="",P85="",R85=""),"",(--TRIM(LEFT(N85,2)))*(--TRIM(LEFT(P85,2)))*(--TRIM(LEFT(R85,2))))</f>
        <v/>
      </c>
      <c r="T85" s="20">
        <f>IF(OR(N85="",P85="",R85=""),"",INDEX(APGrid,COUNTIF(APS,"&gt;"&amp;(--TRIM(LEFT(N85,2))))*5+COUNTIF(APO,"&gt;"&amp;(--TRIM(LEFT(P85,2))))+1,COUNTIF(APD,"&gt;"&amp;(--TRIM(LEFT(R85,2))))+1))</f>
        <v/>
      </c>
      <c r="U85" s="20">
        <f>IF(S85="","",IF(OR((--TRIM(LEFT(N85,2)))&gt;=SThr,S85&gt;=RPNThr,T85="H"),"Yes","No"))</f>
        <v/>
      </c>
      <c r="V85" s="4" t="n"/>
      <c r="W85" s="4" t="n"/>
      <c r="X85" s="4" t="n"/>
      <c r="Y85" s="29" t="n"/>
      <c r="Z85" s="16" t="n"/>
      <c r="AA85" s="16" t="n"/>
      <c r="AB85" s="16" t="n"/>
      <c r="AC85" s="20">
        <f>IF(OR(Z85="",AA85="",AB85=""),"",(--TRIM(LEFT(Z85,2)))*(--TRIM(LEFT(AA85,2)))*(--TRIM(LEFT(AB85,2))))</f>
        <v/>
      </c>
      <c r="AD85" s="20">
        <f>IF(OR(Z85="",AA85="",AB85=""),"",INDEX(APGrid,COUNTIF(APS,"&gt;"&amp;(--TRIM(LEFT(Z85,2))))*5+COUNTIF(APO,"&gt;"&amp;(--TRIM(LEFT(AA85,2))))+1,COUNTIF(APD,"&gt;"&amp;(--TRIM(LEFT(AB85,2))))+1))</f>
        <v/>
      </c>
      <c r="AE85" s="4" t="n"/>
      <c r="AF85" s="4" t="n"/>
      <c r="AH85">
        <f>IFERROR(INDEX(EqTag,_xlfn.AGGREGATE(15,6,(ROW(EqTag)-4)/((EqSys=$D$3)*(EqTag&lt;&gt;"")),ROWS($AH$14:AH85))),"")</f>
        <v/>
      </c>
    </row>
    <row r="86">
      <c r="A86" s="20">
        <f>IF(F86="","",LEFT($D$3,3)&amp;"-"&amp;TEXT(COUNTIF(F$14:F86,"?*"),"00"))</f>
        <v/>
      </c>
      <c r="B86" s="4" t="n"/>
      <c r="C86" s="5">
        <f>IF(B86="","",IFERROR(INDEX(EqTypeCol,MATCH(B86,EqTag,0)),"Tag not in register"))</f>
        <v/>
      </c>
      <c r="D86" s="4" t="n"/>
      <c r="E86" s="4" t="n"/>
      <c r="F86" s="4" t="n"/>
      <c r="G86" s="4" t="n"/>
      <c r="H86" s="4" t="n"/>
      <c r="I86" s="4" t="n"/>
      <c r="J86" s="5">
        <f>_xlfn.TEXTJOIN(CHAR(10),TRUE,IF(G86="","","• "&amp;G86),IF(H86="","","• "&amp;H86),IF(I86="","","• "&amp;I86))</f>
        <v/>
      </c>
      <c r="K86" s="4" t="n"/>
      <c r="L86" s="4" t="n"/>
      <c r="M86" s="4" t="n"/>
      <c r="N86" s="16" t="n"/>
      <c r="O86" s="4" t="n"/>
      <c r="P86" s="16" t="n"/>
      <c r="Q86" s="4" t="n"/>
      <c r="R86" s="16" t="n"/>
      <c r="S86" s="20">
        <f>IF(OR(N86="",P86="",R86=""),"",(--TRIM(LEFT(N86,2)))*(--TRIM(LEFT(P86,2)))*(--TRIM(LEFT(R86,2))))</f>
        <v/>
      </c>
      <c r="T86" s="20">
        <f>IF(OR(N86="",P86="",R86=""),"",INDEX(APGrid,COUNTIF(APS,"&gt;"&amp;(--TRIM(LEFT(N86,2))))*5+COUNTIF(APO,"&gt;"&amp;(--TRIM(LEFT(P86,2))))+1,COUNTIF(APD,"&gt;"&amp;(--TRIM(LEFT(R86,2))))+1))</f>
        <v/>
      </c>
      <c r="U86" s="20">
        <f>IF(S86="","",IF(OR((--TRIM(LEFT(N86,2)))&gt;=SThr,S86&gt;=RPNThr,T86="H"),"Yes","No"))</f>
        <v/>
      </c>
      <c r="V86" s="4" t="n"/>
      <c r="W86" s="4" t="n"/>
      <c r="X86" s="4" t="n"/>
      <c r="Y86" s="29" t="n"/>
      <c r="Z86" s="16" t="n"/>
      <c r="AA86" s="16" t="n"/>
      <c r="AB86" s="16" t="n"/>
      <c r="AC86" s="20">
        <f>IF(OR(Z86="",AA86="",AB86=""),"",(--TRIM(LEFT(Z86,2)))*(--TRIM(LEFT(AA86,2)))*(--TRIM(LEFT(AB86,2))))</f>
        <v/>
      </c>
      <c r="AD86" s="20">
        <f>IF(OR(Z86="",AA86="",AB86=""),"",INDEX(APGrid,COUNTIF(APS,"&gt;"&amp;(--TRIM(LEFT(Z86,2))))*5+COUNTIF(APO,"&gt;"&amp;(--TRIM(LEFT(AA86,2))))+1,COUNTIF(APD,"&gt;"&amp;(--TRIM(LEFT(AB86,2))))+1))</f>
        <v/>
      </c>
      <c r="AE86" s="4" t="n"/>
      <c r="AF86" s="4" t="n"/>
      <c r="AH86">
        <f>IFERROR(INDEX(EqTag,_xlfn.AGGREGATE(15,6,(ROW(EqTag)-4)/((EqSys=$D$3)*(EqTag&lt;&gt;"")),ROWS($AH$14:AH86))),"")</f>
        <v/>
      </c>
    </row>
    <row r="87">
      <c r="A87" s="20">
        <f>IF(F87="","",LEFT($D$3,3)&amp;"-"&amp;TEXT(COUNTIF(F$14:F87,"?*"),"00"))</f>
        <v/>
      </c>
      <c r="B87" s="4" t="n"/>
      <c r="C87" s="5">
        <f>IF(B87="","",IFERROR(INDEX(EqTypeCol,MATCH(B87,EqTag,0)),"Tag not in register"))</f>
        <v/>
      </c>
      <c r="D87" s="4" t="n"/>
      <c r="E87" s="4" t="n"/>
      <c r="F87" s="4" t="n"/>
      <c r="G87" s="4" t="n"/>
      <c r="H87" s="4" t="n"/>
      <c r="I87" s="4" t="n"/>
      <c r="J87" s="5">
        <f>_xlfn.TEXTJOIN(CHAR(10),TRUE,IF(G87="","","• "&amp;G87),IF(H87="","","• "&amp;H87),IF(I87="","","• "&amp;I87))</f>
        <v/>
      </c>
      <c r="K87" s="4" t="n"/>
      <c r="L87" s="4" t="n"/>
      <c r="M87" s="4" t="n"/>
      <c r="N87" s="16" t="n"/>
      <c r="O87" s="4" t="n"/>
      <c r="P87" s="16" t="n"/>
      <c r="Q87" s="4" t="n"/>
      <c r="R87" s="16" t="n"/>
      <c r="S87" s="20">
        <f>IF(OR(N87="",P87="",R87=""),"",(--TRIM(LEFT(N87,2)))*(--TRIM(LEFT(P87,2)))*(--TRIM(LEFT(R87,2))))</f>
        <v/>
      </c>
      <c r="T87" s="20">
        <f>IF(OR(N87="",P87="",R87=""),"",INDEX(APGrid,COUNTIF(APS,"&gt;"&amp;(--TRIM(LEFT(N87,2))))*5+COUNTIF(APO,"&gt;"&amp;(--TRIM(LEFT(P87,2))))+1,COUNTIF(APD,"&gt;"&amp;(--TRIM(LEFT(R87,2))))+1))</f>
        <v/>
      </c>
      <c r="U87" s="20">
        <f>IF(S87="","",IF(OR((--TRIM(LEFT(N87,2)))&gt;=SThr,S87&gt;=RPNThr,T87="H"),"Yes","No"))</f>
        <v/>
      </c>
      <c r="V87" s="4" t="n"/>
      <c r="W87" s="4" t="n"/>
      <c r="X87" s="4" t="n"/>
      <c r="Y87" s="29" t="n"/>
      <c r="Z87" s="16" t="n"/>
      <c r="AA87" s="16" t="n"/>
      <c r="AB87" s="16" t="n"/>
      <c r="AC87" s="20">
        <f>IF(OR(Z87="",AA87="",AB87=""),"",(--TRIM(LEFT(Z87,2)))*(--TRIM(LEFT(AA87,2)))*(--TRIM(LEFT(AB87,2))))</f>
        <v/>
      </c>
      <c r="AD87" s="20">
        <f>IF(OR(Z87="",AA87="",AB87=""),"",INDEX(APGrid,COUNTIF(APS,"&gt;"&amp;(--TRIM(LEFT(Z87,2))))*5+COUNTIF(APO,"&gt;"&amp;(--TRIM(LEFT(AA87,2))))+1,COUNTIF(APD,"&gt;"&amp;(--TRIM(LEFT(AB87,2))))+1))</f>
        <v/>
      </c>
      <c r="AE87" s="4" t="n"/>
      <c r="AF87" s="4" t="n"/>
      <c r="AH87">
        <f>IFERROR(INDEX(EqTag,_xlfn.AGGREGATE(15,6,(ROW(EqTag)-4)/((EqSys=$D$3)*(EqTag&lt;&gt;"")),ROWS($AH$14:AH87))),"")</f>
        <v/>
      </c>
    </row>
    <row r="88">
      <c r="A88" s="20">
        <f>IF(F88="","",LEFT($D$3,3)&amp;"-"&amp;TEXT(COUNTIF(F$14:F88,"?*"),"00"))</f>
        <v/>
      </c>
      <c r="B88" s="4" t="n"/>
      <c r="C88" s="5">
        <f>IF(B88="","",IFERROR(INDEX(EqTypeCol,MATCH(B88,EqTag,0)),"Tag not in register"))</f>
        <v/>
      </c>
      <c r="D88" s="4" t="n"/>
      <c r="E88" s="4" t="n"/>
      <c r="F88" s="4" t="n"/>
      <c r="G88" s="4" t="n"/>
      <c r="H88" s="4" t="n"/>
      <c r="I88" s="4" t="n"/>
      <c r="J88" s="5">
        <f>_xlfn.TEXTJOIN(CHAR(10),TRUE,IF(G88="","","• "&amp;G88),IF(H88="","","• "&amp;H88),IF(I88="","","• "&amp;I88))</f>
        <v/>
      </c>
      <c r="K88" s="4" t="n"/>
      <c r="L88" s="4" t="n"/>
      <c r="M88" s="4" t="n"/>
      <c r="N88" s="16" t="n"/>
      <c r="O88" s="4" t="n"/>
      <c r="P88" s="16" t="n"/>
      <c r="Q88" s="4" t="n"/>
      <c r="R88" s="16" t="n"/>
      <c r="S88" s="20">
        <f>IF(OR(N88="",P88="",R88=""),"",(--TRIM(LEFT(N88,2)))*(--TRIM(LEFT(P88,2)))*(--TRIM(LEFT(R88,2))))</f>
        <v/>
      </c>
      <c r="T88" s="20">
        <f>IF(OR(N88="",P88="",R88=""),"",INDEX(APGrid,COUNTIF(APS,"&gt;"&amp;(--TRIM(LEFT(N88,2))))*5+COUNTIF(APO,"&gt;"&amp;(--TRIM(LEFT(P88,2))))+1,COUNTIF(APD,"&gt;"&amp;(--TRIM(LEFT(R88,2))))+1))</f>
        <v/>
      </c>
      <c r="U88" s="20">
        <f>IF(S88="","",IF(OR((--TRIM(LEFT(N88,2)))&gt;=SThr,S88&gt;=RPNThr,T88="H"),"Yes","No"))</f>
        <v/>
      </c>
      <c r="V88" s="4" t="n"/>
      <c r="W88" s="4" t="n"/>
      <c r="X88" s="4" t="n"/>
      <c r="Y88" s="29" t="n"/>
      <c r="Z88" s="16" t="n"/>
      <c r="AA88" s="16" t="n"/>
      <c r="AB88" s="16" t="n"/>
      <c r="AC88" s="20">
        <f>IF(OR(Z88="",AA88="",AB88=""),"",(--TRIM(LEFT(Z88,2)))*(--TRIM(LEFT(AA88,2)))*(--TRIM(LEFT(AB88,2))))</f>
        <v/>
      </c>
      <c r="AD88" s="20">
        <f>IF(OR(Z88="",AA88="",AB88=""),"",INDEX(APGrid,COUNTIF(APS,"&gt;"&amp;(--TRIM(LEFT(Z88,2))))*5+COUNTIF(APO,"&gt;"&amp;(--TRIM(LEFT(AA88,2))))+1,COUNTIF(APD,"&gt;"&amp;(--TRIM(LEFT(AB88,2))))+1))</f>
        <v/>
      </c>
      <c r="AE88" s="4" t="n"/>
      <c r="AF88" s="4" t="n"/>
      <c r="AH88">
        <f>IFERROR(INDEX(EqTag,_xlfn.AGGREGATE(15,6,(ROW(EqTag)-4)/((EqSys=$D$3)*(EqTag&lt;&gt;"")),ROWS($AH$14:AH88))),"")</f>
        <v/>
      </c>
    </row>
    <row r="89">
      <c r="A89" s="20">
        <f>IF(F89="","",LEFT($D$3,3)&amp;"-"&amp;TEXT(COUNTIF(F$14:F89,"?*"),"00"))</f>
        <v/>
      </c>
      <c r="B89" s="4" t="n"/>
      <c r="C89" s="5">
        <f>IF(B89="","",IFERROR(INDEX(EqTypeCol,MATCH(B89,EqTag,0)),"Tag not in register"))</f>
        <v/>
      </c>
      <c r="D89" s="4" t="n"/>
      <c r="E89" s="4" t="n"/>
      <c r="F89" s="4" t="n"/>
      <c r="G89" s="4" t="n"/>
      <c r="H89" s="4" t="n"/>
      <c r="I89" s="4" t="n"/>
      <c r="J89" s="5">
        <f>_xlfn.TEXTJOIN(CHAR(10),TRUE,IF(G89="","","• "&amp;G89),IF(H89="","","• "&amp;H89),IF(I89="","","• "&amp;I89))</f>
        <v/>
      </c>
      <c r="K89" s="4" t="n"/>
      <c r="L89" s="4" t="n"/>
      <c r="M89" s="4" t="n"/>
      <c r="N89" s="16" t="n"/>
      <c r="O89" s="4" t="n"/>
      <c r="P89" s="16" t="n"/>
      <c r="Q89" s="4" t="n"/>
      <c r="R89" s="16" t="n"/>
      <c r="S89" s="20">
        <f>IF(OR(N89="",P89="",R89=""),"",(--TRIM(LEFT(N89,2)))*(--TRIM(LEFT(P89,2)))*(--TRIM(LEFT(R89,2))))</f>
        <v/>
      </c>
      <c r="T89" s="20">
        <f>IF(OR(N89="",P89="",R89=""),"",INDEX(APGrid,COUNTIF(APS,"&gt;"&amp;(--TRIM(LEFT(N89,2))))*5+COUNTIF(APO,"&gt;"&amp;(--TRIM(LEFT(P89,2))))+1,COUNTIF(APD,"&gt;"&amp;(--TRIM(LEFT(R89,2))))+1))</f>
        <v/>
      </c>
      <c r="U89" s="20">
        <f>IF(S89="","",IF(OR((--TRIM(LEFT(N89,2)))&gt;=SThr,S89&gt;=RPNThr,T89="H"),"Yes","No"))</f>
        <v/>
      </c>
      <c r="V89" s="4" t="n"/>
      <c r="W89" s="4" t="n"/>
      <c r="X89" s="4" t="n"/>
      <c r="Y89" s="29" t="n"/>
      <c r="Z89" s="16" t="n"/>
      <c r="AA89" s="16" t="n"/>
      <c r="AB89" s="16" t="n"/>
      <c r="AC89" s="20">
        <f>IF(OR(Z89="",AA89="",AB89=""),"",(--TRIM(LEFT(Z89,2)))*(--TRIM(LEFT(AA89,2)))*(--TRIM(LEFT(AB89,2))))</f>
        <v/>
      </c>
      <c r="AD89" s="20">
        <f>IF(OR(Z89="",AA89="",AB89=""),"",INDEX(APGrid,COUNTIF(APS,"&gt;"&amp;(--TRIM(LEFT(Z89,2))))*5+COUNTIF(APO,"&gt;"&amp;(--TRIM(LEFT(AA89,2))))+1,COUNTIF(APD,"&gt;"&amp;(--TRIM(LEFT(AB89,2))))+1))</f>
        <v/>
      </c>
      <c r="AE89" s="4" t="n"/>
      <c r="AF89" s="4" t="n"/>
      <c r="AH89">
        <f>IFERROR(INDEX(EqTag,_xlfn.AGGREGATE(15,6,(ROW(EqTag)-4)/((EqSys=$D$3)*(EqTag&lt;&gt;"")),ROWS($AH$14:AH89))),"")</f>
        <v/>
      </c>
    </row>
    <row r="90">
      <c r="A90" s="20">
        <f>IF(F90="","",LEFT($D$3,3)&amp;"-"&amp;TEXT(COUNTIF(F$14:F90,"?*"),"00"))</f>
        <v/>
      </c>
      <c r="B90" s="4" t="n"/>
      <c r="C90" s="5">
        <f>IF(B90="","",IFERROR(INDEX(EqTypeCol,MATCH(B90,EqTag,0)),"Tag not in register"))</f>
        <v/>
      </c>
      <c r="D90" s="4" t="n"/>
      <c r="E90" s="4" t="n"/>
      <c r="F90" s="4" t="n"/>
      <c r="G90" s="4" t="n"/>
      <c r="H90" s="4" t="n"/>
      <c r="I90" s="4" t="n"/>
      <c r="J90" s="5">
        <f>_xlfn.TEXTJOIN(CHAR(10),TRUE,IF(G90="","","• "&amp;G90),IF(H90="","","• "&amp;H90),IF(I90="","","• "&amp;I90))</f>
        <v/>
      </c>
      <c r="K90" s="4" t="n"/>
      <c r="L90" s="4" t="n"/>
      <c r="M90" s="4" t="n"/>
      <c r="N90" s="16" t="n"/>
      <c r="O90" s="4" t="n"/>
      <c r="P90" s="16" t="n"/>
      <c r="Q90" s="4" t="n"/>
      <c r="R90" s="16" t="n"/>
      <c r="S90" s="20">
        <f>IF(OR(N90="",P90="",R90=""),"",(--TRIM(LEFT(N90,2)))*(--TRIM(LEFT(P90,2)))*(--TRIM(LEFT(R90,2))))</f>
        <v/>
      </c>
      <c r="T90" s="20">
        <f>IF(OR(N90="",P90="",R90=""),"",INDEX(APGrid,COUNTIF(APS,"&gt;"&amp;(--TRIM(LEFT(N90,2))))*5+COUNTIF(APO,"&gt;"&amp;(--TRIM(LEFT(P90,2))))+1,COUNTIF(APD,"&gt;"&amp;(--TRIM(LEFT(R90,2))))+1))</f>
        <v/>
      </c>
      <c r="U90" s="20">
        <f>IF(S90="","",IF(OR((--TRIM(LEFT(N90,2)))&gt;=SThr,S90&gt;=RPNThr,T90="H"),"Yes","No"))</f>
        <v/>
      </c>
      <c r="V90" s="4" t="n"/>
      <c r="W90" s="4" t="n"/>
      <c r="X90" s="4" t="n"/>
      <c r="Y90" s="29" t="n"/>
      <c r="Z90" s="16" t="n"/>
      <c r="AA90" s="16" t="n"/>
      <c r="AB90" s="16" t="n"/>
      <c r="AC90" s="20">
        <f>IF(OR(Z90="",AA90="",AB90=""),"",(--TRIM(LEFT(Z90,2)))*(--TRIM(LEFT(AA90,2)))*(--TRIM(LEFT(AB90,2))))</f>
        <v/>
      </c>
      <c r="AD90" s="20">
        <f>IF(OR(Z90="",AA90="",AB90=""),"",INDEX(APGrid,COUNTIF(APS,"&gt;"&amp;(--TRIM(LEFT(Z90,2))))*5+COUNTIF(APO,"&gt;"&amp;(--TRIM(LEFT(AA90,2))))+1,COUNTIF(APD,"&gt;"&amp;(--TRIM(LEFT(AB90,2))))+1))</f>
        <v/>
      </c>
      <c r="AE90" s="4" t="n"/>
      <c r="AF90" s="4" t="n"/>
      <c r="AH90">
        <f>IFERROR(INDEX(EqTag,_xlfn.AGGREGATE(15,6,(ROW(EqTag)-4)/((EqSys=$D$3)*(EqTag&lt;&gt;"")),ROWS($AH$14:AH90))),"")</f>
        <v/>
      </c>
    </row>
    <row r="91">
      <c r="A91" s="20">
        <f>IF(F91="","",LEFT($D$3,3)&amp;"-"&amp;TEXT(COUNTIF(F$14:F91,"?*"),"00"))</f>
        <v/>
      </c>
      <c r="B91" s="4" t="n"/>
      <c r="C91" s="5">
        <f>IF(B91="","",IFERROR(INDEX(EqTypeCol,MATCH(B91,EqTag,0)),"Tag not in register"))</f>
        <v/>
      </c>
      <c r="D91" s="4" t="n"/>
      <c r="E91" s="4" t="n"/>
      <c r="F91" s="4" t="n"/>
      <c r="G91" s="4" t="n"/>
      <c r="H91" s="4" t="n"/>
      <c r="I91" s="4" t="n"/>
      <c r="J91" s="5">
        <f>_xlfn.TEXTJOIN(CHAR(10),TRUE,IF(G91="","","• "&amp;G91),IF(H91="","","• "&amp;H91),IF(I91="","","• "&amp;I91))</f>
        <v/>
      </c>
      <c r="K91" s="4" t="n"/>
      <c r="L91" s="4" t="n"/>
      <c r="M91" s="4" t="n"/>
      <c r="N91" s="16" t="n"/>
      <c r="O91" s="4" t="n"/>
      <c r="P91" s="16" t="n"/>
      <c r="Q91" s="4" t="n"/>
      <c r="R91" s="16" t="n"/>
      <c r="S91" s="20">
        <f>IF(OR(N91="",P91="",R91=""),"",(--TRIM(LEFT(N91,2)))*(--TRIM(LEFT(P91,2)))*(--TRIM(LEFT(R91,2))))</f>
        <v/>
      </c>
      <c r="T91" s="20">
        <f>IF(OR(N91="",P91="",R91=""),"",INDEX(APGrid,COUNTIF(APS,"&gt;"&amp;(--TRIM(LEFT(N91,2))))*5+COUNTIF(APO,"&gt;"&amp;(--TRIM(LEFT(P91,2))))+1,COUNTIF(APD,"&gt;"&amp;(--TRIM(LEFT(R91,2))))+1))</f>
        <v/>
      </c>
      <c r="U91" s="20">
        <f>IF(S91="","",IF(OR((--TRIM(LEFT(N91,2)))&gt;=SThr,S91&gt;=RPNThr,T91="H"),"Yes","No"))</f>
        <v/>
      </c>
      <c r="V91" s="4" t="n"/>
      <c r="W91" s="4" t="n"/>
      <c r="X91" s="4" t="n"/>
      <c r="Y91" s="29" t="n"/>
      <c r="Z91" s="16" t="n"/>
      <c r="AA91" s="16" t="n"/>
      <c r="AB91" s="16" t="n"/>
      <c r="AC91" s="20">
        <f>IF(OR(Z91="",AA91="",AB91=""),"",(--TRIM(LEFT(Z91,2)))*(--TRIM(LEFT(AA91,2)))*(--TRIM(LEFT(AB91,2))))</f>
        <v/>
      </c>
      <c r="AD91" s="20">
        <f>IF(OR(Z91="",AA91="",AB91=""),"",INDEX(APGrid,COUNTIF(APS,"&gt;"&amp;(--TRIM(LEFT(Z91,2))))*5+COUNTIF(APO,"&gt;"&amp;(--TRIM(LEFT(AA91,2))))+1,COUNTIF(APD,"&gt;"&amp;(--TRIM(LEFT(AB91,2))))+1))</f>
        <v/>
      </c>
      <c r="AE91" s="4" t="n"/>
      <c r="AF91" s="4" t="n"/>
      <c r="AH91">
        <f>IFERROR(INDEX(EqTag,_xlfn.AGGREGATE(15,6,(ROW(EqTag)-4)/((EqSys=$D$3)*(EqTag&lt;&gt;"")),ROWS($AH$14:AH91))),"")</f>
        <v/>
      </c>
    </row>
    <row r="92">
      <c r="A92" s="20">
        <f>IF(F92="","",LEFT($D$3,3)&amp;"-"&amp;TEXT(COUNTIF(F$14:F92,"?*"),"00"))</f>
        <v/>
      </c>
      <c r="B92" s="4" t="n"/>
      <c r="C92" s="5">
        <f>IF(B92="","",IFERROR(INDEX(EqTypeCol,MATCH(B92,EqTag,0)),"Tag not in register"))</f>
        <v/>
      </c>
      <c r="D92" s="4" t="n"/>
      <c r="E92" s="4" t="n"/>
      <c r="F92" s="4" t="n"/>
      <c r="G92" s="4" t="n"/>
      <c r="H92" s="4" t="n"/>
      <c r="I92" s="4" t="n"/>
      <c r="J92" s="5">
        <f>_xlfn.TEXTJOIN(CHAR(10),TRUE,IF(G92="","","• "&amp;G92),IF(H92="","","• "&amp;H92),IF(I92="","","• "&amp;I92))</f>
        <v/>
      </c>
      <c r="K92" s="4" t="n"/>
      <c r="L92" s="4" t="n"/>
      <c r="M92" s="4" t="n"/>
      <c r="N92" s="16" t="n"/>
      <c r="O92" s="4" t="n"/>
      <c r="P92" s="16" t="n"/>
      <c r="Q92" s="4" t="n"/>
      <c r="R92" s="16" t="n"/>
      <c r="S92" s="20">
        <f>IF(OR(N92="",P92="",R92=""),"",(--TRIM(LEFT(N92,2)))*(--TRIM(LEFT(P92,2)))*(--TRIM(LEFT(R92,2))))</f>
        <v/>
      </c>
      <c r="T92" s="20">
        <f>IF(OR(N92="",P92="",R92=""),"",INDEX(APGrid,COUNTIF(APS,"&gt;"&amp;(--TRIM(LEFT(N92,2))))*5+COUNTIF(APO,"&gt;"&amp;(--TRIM(LEFT(P92,2))))+1,COUNTIF(APD,"&gt;"&amp;(--TRIM(LEFT(R92,2))))+1))</f>
        <v/>
      </c>
      <c r="U92" s="20">
        <f>IF(S92="","",IF(OR((--TRIM(LEFT(N92,2)))&gt;=SThr,S92&gt;=RPNThr,T92="H"),"Yes","No"))</f>
        <v/>
      </c>
      <c r="V92" s="4" t="n"/>
      <c r="W92" s="4" t="n"/>
      <c r="X92" s="4" t="n"/>
      <c r="Y92" s="29" t="n"/>
      <c r="Z92" s="16" t="n"/>
      <c r="AA92" s="16" t="n"/>
      <c r="AB92" s="16" t="n"/>
      <c r="AC92" s="20">
        <f>IF(OR(Z92="",AA92="",AB92=""),"",(--TRIM(LEFT(Z92,2)))*(--TRIM(LEFT(AA92,2)))*(--TRIM(LEFT(AB92,2))))</f>
        <v/>
      </c>
      <c r="AD92" s="20">
        <f>IF(OR(Z92="",AA92="",AB92=""),"",INDEX(APGrid,COUNTIF(APS,"&gt;"&amp;(--TRIM(LEFT(Z92,2))))*5+COUNTIF(APO,"&gt;"&amp;(--TRIM(LEFT(AA92,2))))+1,COUNTIF(APD,"&gt;"&amp;(--TRIM(LEFT(AB92,2))))+1))</f>
        <v/>
      </c>
      <c r="AE92" s="4" t="n"/>
      <c r="AF92" s="4" t="n"/>
      <c r="AH92">
        <f>IFERROR(INDEX(EqTag,_xlfn.AGGREGATE(15,6,(ROW(EqTag)-4)/((EqSys=$D$3)*(EqTag&lt;&gt;"")),ROWS($AH$14:AH92))),"")</f>
        <v/>
      </c>
    </row>
    <row r="93">
      <c r="A93" s="20">
        <f>IF(F93="","",LEFT($D$3,3)&amp;"-"&amp;TEXT(COUNTIF(F$14:F93,"?*"),"00"))</f>
        <v/>
      </c>
      <c r="B93" s="4" t="n"/>
      <c r="C93" s="5">
        <f>IF(B93="","",IFERROR(INDEX(EqTypeCol,MATCH(B93,EqTag,0)),"Tag not in register"))</f>
        <v/>
      </c>
      <c r="D93" s="4" t="n"/>
      <c r="E93" s="4" t="n"/>
      <c r="F93" s="4" t="n"/>
      <c r="G93" s="4" t="n"/>
      <c r="H93" s="4" t="n"/>
      <c r="I93" s="4" t="n"/>
      <c r="J93" s="5">
        <f>_xlfn.TEXTJOIN(CHAR(10),TRUE,IF(G93="","","• "&amp;G93),IF(H93="","","• "&amp;H93),IF(I93="","","• "&amp;I93))</f>
        <v/>
      </c>
      <c r="K93" s="4" t="n"/>
      <c r="L93" s="4" t="n"/>
      <c r="M93" s="4" t="n"/>
      <c r="N93" s="16" t="n"/>
      <c r="O93" s="4" t="n"/>
      <c r="P93" s="16" t="n"/>
      <c r="Q93" s="4" t="n"/>
      <c r="R93" s="16" t="n"/>
      <c r="S93" s="20">
        <f>IF(OR(N93="",P93="",R93=""),"",(--TRIM(LEFT(N93,2)))*(--TRIM(LEFT(P93,2)))*(--TRIM(LEFT(R93,2))))</f>
        <v/>
      </c>
      <c r="T93" s="20">
        <f>IF(OR(N93="",P93="",R93=""),"",INDEX(APGrid,COUNTIF(APS,"&gt;"&amp;(--TRIM(LEFT(N93,2))))*5+COUNTIF(APO,"&gt;"&amp;(--TRIM(LEFT(P93,2))))+1,COUNTIF(APD,"&gt;"&amp;(--TRIM(LEFT(R93,2))))+1))</f>
        <v/>
      </c>
      <c r="U93" s="20">
        <f>IF(S93="","",IF(OR((--TRIM(LEFT(N93,2)))&gt;=SThr,S93&gt;=RPNThr,T93="H"),"Yes","No"))</f>
        <v/>
      </c>
      <c r="V93" s="4" t="n"/>
      <c r="W93" s="4" t="n"/>
      <c r="X93" s="4" t="n"/>
      <c r="Y93" s="29" t="n"/>
      <c r="Z93" s="16" t="n"/>
      <c r="AA93" s="16" t="n"/>
      <c r="AB93" s="16" t="n"/>
      <c r="AC93" s="20">
        <f>IF(OR(Z93="",AA93="",AB93=""),"",(--TRIM(LEFT(Z93,2)))*(--TRIM(LEFT(AA93,2)))*(--TRIM(LEFT(AB93,2))))</f>
        <v/>
      </c>
      <c r="AD93" s="20">
        <f>IF(OR(Z93="",AA93="",AB93=""),"",INDEX(APGrid,COUNTIF(APS,"&gt;"&amp;(--TRIM(LEFT(Z93,2))))*5+COUNTIF(APO,"&gt;"&amp;(--TRIM(LEFT(AA93,2))))+1,COUNTIF(APD,"&gt;"&amp;(--TRIM(LEFT(AB93,2))))+1))</f>
        <v/>
      </c>
      <c r="AE93" s="4" t="n"/>
      <c r="AF93" s="4" t="n"/>
      <c r="AH93">
        <f>IFERROR(INDEX(EqTag,_xlfn.AGGREGATE(15,6,(ROW(EqTag)-4)/((EqSys=$D$3)*(EqTag&lt;&gt;"")),ROWS($AH$14:AH93))),"")</f>
        <v/>
      </c>
    </row>
    <row r="94">
      <c r="A94" s="20">
        <f>IF(F94="","",LEFT($D$3,3)&amp;"-"&amp;TEXT(COUNTIF(F$14:F94,"?*"),"00"))</f>
        <v/>
      </c>
      <c r="B94" s="4" t="n"/>
      <c r="C94" s="5">
        <f>IF(B94="","",IFERROR(INDEX(EqTypeCol,MATCH(B94,EqTag,0)),"Tag not in register"))</f>
        <v/>
      </c>
      <c r="D94" s="4" t="n"/>
      <c r="E94" s="4" t="n"/>
      <c r="F94" s="4" t="n"/>
      <c r="G94" s="4" t="n"/>
      <c r="H94" s="4" t="n"/>
      <c r="I94" s="4" t="n"/>
      <c r="J94" s="5">
        <f>_xlfn.TEXTJOIN(CHAR(10),TRUE,IF(G94="","","• "&amp;G94),IF(H94="","","• "&amp;H94),IF(I94="","","• "&amp;I94))</f>
        <v/>
      </c>
      <c r="K94" s="4" t="n"/>
      <c r="L94" s="4" t="n"/>
      <c r="M94" s="4" t="n"/>
      <c r="N94" s="16" t="n"/>
      <c r="O94" s="4" t="n"/>
      <c r="P94" s="16" t="n"/>
      <c r="Q94" s="4" t="n"/>
      <c r="R94" s="16" t="n"/>
      <c r="S94" s="20">
        <f>IF(OR(N94="",P94="",R94=""),"",(--TRIM(LEFT(N94,2)))*(--TRIM(LEFT(P94,2)))*(--TRIM(LEFT(R94,2))))</f>
        <v/>
      </c>
      <c r="T94" s="20">
        <f>IF(OR(N94="",P94="",R94=""),"",INDEX(APGrid,COUNTIF(APS,"&gt;"&amp;(--TRIM(LEFT(N94,2))))*5+COUNTIF(APO,"&gt;"&amp;(--TRIM(LEFT(P94,2))))+1,COUNTIF(APD,"&gt;"&amp;(--TRIM(LEFT(R94,2))))+1))</f>
        <v/>
      </c>
      <c r="U94" s="20">
        <f>IF(S94="","",IF(OR((--TRIM(LEFT(N94,2)))&gt;=SThr,S94&gt;=RPNThr,T94="H"),"Yes","No"))</f>
        <v/>
      </c>
      <c r="V94" s="4" t="n"/>
      <c r="W94" s="4" t="n"/>
      <c r="X94" s="4" t="n"/>
      <c r="Y94" s="29" t="n"/>
      <c r="Z94" s="16" t="n"/>
      <c r="AA94" s="16" t="n"/>
      <c r="AB94" s="16" t="n"/>
      <c r="AC94" s="20">
        <f>IF(OR(Z94="",AA94="",AB94=""),"",(--TRIM(LEFT(Z94,2)))*(--TRIM(LEFT(AA94,2)))*(--TRIM(LEFT(AB94,2))))</f>
        <v/>
      </c>
      <c r="AD94" s="20">
        <f>IF(OR(Z94="",AA94="",AB94=""),"",INDEX(APGrid,COUNTIF(APS,"&gt;"&amp;(--TRIM(LEFT(Z94,2))))*5+COUNTIF(APO,"&gt;"&amp;(--TRIM(LEFT(AA94,2))))+1,COUNTIF(APD,"&gt;"&amp;(--TRIM(LEFT(AB94,2))))+1))</f>
        <v/>
      </c>
      <c r="AE94" s="4" t="n"/>
      <c r="AF94" s="4" t="n"/>
      <c r="AH94">
        <f>IFERROR(INDEX(EqTag,_xlfn.AGGREGATE(15,6,(ROW(EqTag)-4)/((EqSys=$D$3)*(EqTag&lt;&gt;"")),ROWS($AH$14:AH94))),"")</f>
        <v/>
      </c>
    </row>
    <row r="95">
      <c r="A95" s="20">
        <f>IF(F95="","",LEFT($D$3,3)&amp;"-"&amp;TEXT(COUNTIF(F$14:F95,"?*"),"00"))</f>
        <v/>
      </c>
      <c r="B95" s="4" t="n"/>
      <c r="C95" s="5">
        <f>IF(B95="","",IFERROR(INDEX(EqTypeCol,MATCH(B95,EqTag,0)),"Tag not in register"))</f>
        <v/>
      </c>
      <c r="D95" s="4" t="n"/>
      <c r="E95" s="4" t="n"/>
      <c r="F95" s="4" t="n"/>
      <c r="G95" s="4" t="n"/>
      <c r="H95" s="4" t="n"/>
      <c r="I95" s="4" t="n"/>
      <c r="J95" s="5">
        <f>_xlfn.TEXTJOIN(CHAR(10),TRUE,IF(G95="","","• "&amp;G95),IF(H95="","","• "&amp;H95),IF(I95="","","• "&amp;I95))</f>
        <v/>
      </c>
      <c r="K95" s="4" t="n"/>
      <c r="L95" s="4" t="n"/>
      <c r="M95" s="4" t="n"/>
      <c r="N95" s="16" t="n"/>
      <c r="O95" s="4" t="n"/>
      <c r="P95" s="16" t="n"/>
      <c r="Q95" s="4" t="n"/>
      <c r="R95" s="16" t="n"/>
      <c r="S95" s="20">
        <f>IF(OR(N95="",P95="",R95=""),"",(--TRIM(LEFT(N95,2)))*(--TRIM(LEFT(P95,2)))*(--TRIM(LEFT(R95,2))))</f>
        <v/>
      </c>
      <c r="T95" s="20">
        <f>IF(OR(N95="",P95="",R95=""),"",INDEX(APGrid,COUNTIF(APS,"&gt;"&amp;(--TRIM(LEFT(N95,2))))*5+COUNTIF(APO,"&gt;"&amp;(--TRIM(LEFT(P95,2))))+1,COUNTIF(APD,"&gt;"&amp;(--TRIM(LEFT(R95,2))))+1))</f>
        <v/>
      </c>
      <c r="U95" s="20">
        <f>IF(S95="","",IF(OR((--TRIM(LEFT(N95,2)))&gt;=SThr,S95&gt;=RPNThr,T95="H"),"Yes","No"))</f>
        <v/>
      </c>
      <c r="V95" s="4" t="n"/>
      <c r="W95" s="4" t="n"/>
      <c r="X95" s="4" t="n"/>
      <c r="Y95" s="29" t="n"/>
      <c r="Z95" s="16" t="n"/>
      <c r="AA95" s="16" t="n"/>
      <c r="AB95" s="16" t="n"/>
      <c r="AC95" s="20">
        <f>IF(OR(Z95="",AA95="",AB95=""),"",(--TRIM(LEFT(Z95,2)))*(--TRIM(LEFT(AA95,2)))*(--TRIM(LEFT(AB95,2))))</f>
        <v/>
      </c>
      <c r="AD95" s="20">
        <f>IF(OR(Z95="",AA95="",AB95=""),"",INDEX(APGrid,COUNTIF(APS,"&gt;"&amp;(--TRIM(LEFT(Z95,2))))*5+COUNTIF(APO,"&gt;"&amp;(--TRIM(LEFT(AA95,2))))+1,COUNTIF(APD,"&gt;"&amp;(--TRIM(LEFT(AB95,2))))+1))</f>
        <v/>
      </c>
      <c r="AE95" s="4" t="n"/>
      <c r="AF95" s="4" t="n"/>
      <c r="AH95">
        <f>IFERROR(INDEX(EqTag,_xlfn.AGGREGATE(15,6,(ROW(EqTag)-4)/((EqSys=$D$3)*(EqTag&lt;&gt;"")),ROWS($AH$14:AH95))),"")</f>
        <v/>
      </c>
    </row>
    <row r="96">
      <c r="A96" s="20">
        <f>IF(F96="","",LEFT($D$3,3)&amp;"-"&amp;TEXT(COUNTIF(F$14:F96,"?*"),"00"))</f>
        <v/>
      </c>
      <c r="B96" s="4" t="n"/>
      <c r="C96" s="5">
        <f>IF(B96="","",IFERROR(INDEX(EqTypeCol,MATCH(B96,EqTag,0)),"Tag not in register"))</f>
        <v/>
      </c>
      <c r="D96" s="4" t="n"/>
      <c r="E96" s="4" t="n"/>
      <c r="F96" s="4" t="n"/>
      <c r="G96" s="4" t="n"/>
      <c r="H96" s="4" t="n"/>
      <c r="I96" s="4" t="n"/>
      <c r="J96" s="5">
        <f>_xlfn.TEXTJOIN(CHAR(10),TRUE,IF(G96="","","• "&amp;G96),IF(H96="","","• "&amp;H96),IF(I96="","","• "&amp;I96))</f>
        <v/>
      </c>
      <c r="K96" s="4" t="n"/>
      <c r="L96" s="4" t="n"/>
      <c r="M96" s="4" t="n"/>
      <c r="N96" s="16" t="n"/>
      <c r="O96" s="4" t="n"/>
      <c r="P96" s="16" t="n"/>
      <c r="Q96" s="4" t="n"/>
      <c r="R96" s="16" t="n"/>
      <c r="S96" s="20">
        <f>IF(OR(N96="",P96="",R96=""),"",(--TRIM(LEFT(N96,2)))*(--TRIM(LEFT(P96,2)))*(--TRIM(LEFT(R96,2))))</f>
        <v/>
      </c>
      <c r="T96" s="20">
        <f>IF(OR(N96="",P96="",R96=""),"",INDEX(APGrid,COUNTIF(APS,"&gt;"&amp;(--TRIM(LEFT(N96,2))))*5+COUNTIF(APO,"&gt;"&amp;(--TRIM(LEFT(P96,2))))+1,COUNTIF(APD,"&gt;"&amp;(--TRIM(LEFT(R96,2))))+1))</f>
        <v/>
      </c>
      <c r="U96" s="20">
        <f>IF(S96="","",IF(OR((--TRIM(LEFT(N96,2)))&gt;=SThr,S96&gt;=RPNThr,T96="H"),"Yes","No"))</f>
        <v/>
      </c>
      <c r="V96" s="4" t="n"/>
      <c r="W96" s="4" t="n"/>
      <c r="X96" s="4" t="n"/>
      <c r="Y96" s="29" t="n"/>
      <c r="Z96" s="16" t="n"/>
      <c r="AA96" s="16" t="n"/>
      <c r="AB96" s="16" t="n"/>
      <c r="AC96" s="20">
        <f>IF(OR(Z96="",AA96="",AB96=""),"",(--TRIM(LEFT(Z96,2)))*(--TRIM(LEFT(AA96,2)))*(--TRIM(LEFT(AB96,2))))</f>
        <v/>
      </c>
      <c r="AD96" s="20">
        <f>IF(OR(Z96="",AA96="",AB96=""),"",INDEX(APGrid,COUNTIF(APS,"&gt;"&amp;(--TRIM(LEFT(Z96,2))))*5+COUNTIF(APO,"&gt;"&amp;(--TRIM(LEFT(AA96,2))))+1,COUNTIF(APD,"&gt;"&amp;(--TRIM(LEFT(AB96,2))))+1))</f>
        <v/>
      </c>
      <c r="AE96" s="4" t="n"/>
      <c r="AF96" s="4" t="n"/>
      <c r="AH96">
        <f>IFERROR(INDEX(EqTag,_xlfn.AGGREGATE(15,6,(ROW(EqTag)-4)/((EqSys=$D$3)*(EqTag&lt;&gt;"")),ROWS($AH$14:AH96))),"")</f>
        <v/>
      </c>
    </row>
    <row r="97">
      <c r="A97" s="20">
        <f>IF(F97="","",LEFT($D$3,3)&amp;"-"&amp;TEXT(COUNTIF(F$14:F97,"?*"),"00"))</f>
        <v/>
      </c>
      <c r="B97" s="4" t="n"/>
      <c r="C97" s="5">
        <f>IF(B97="","",IFERROR(INDEX(EqTypeCol,MATCH(B97,EqTag,0)),"Tag not in register"))</f>
        <v/>
      </c>
      <c r="D97" s="4" t="n"/>
      <c r="E97" s="4" t="n"/>
      <c r="F97" s="4" t="n"/>
      <c r="G97" s="4" t="n"/>
      <c r="H97" s="4" t="n"/>
      <c r="I97" s="4" t="n"/>
      <c r="J97" s="5">
        <f>_xlfn.TEXTJOIN(CHAR(10),TRUE,IF(G97="","","• "&amp;G97),IF(H97="","","• "&amp;H97),IF(I97="","","• "&amp;I97))</f>
        <v/>
      </c>
      <c r="K97" s="4" t="n"/>
      <c r="L97" s="4" t="n"/>
      <c r="M97" s="4" t="n"/>
      <c r="N97" s="16" t="n"/>
      <c r="O97" s="4" t="n"/>
      <c r="P97" s="16" t="n"/>
      <c r="Q97" s="4" t="n"/>
      <c r="R97" s="16" t="n"/>
      <c r="S97" s="20">
        <f>IF(OR(N97="",P97="",R97=""),"",(--TRIM(LEFT(N97,2)))*(--TRIM(LEFT(P97,2)))*(--TRIM(LEFT(R97,2))))</f>
        <v/>
      </c>
      <c r="T97" s="20">
        <f>IF(OR(N97="",P97="",R97=""),"",INDEX(APGrid,COUNTIF(APS,"&gt;"&amp;(--TRIM(LEFT(N97,2))))*5+COUNTIF(APO,"&gt;"&amp;(--TRIM(LEFT(P97,2))))+1,COUNTIF(APD,"&gt;"&amp;(--TRIM(LEFT(R97,2))))+1))</f>
        <v/>
      </c>
      <c r="U97" s="20">
        <f>IF(S97="","",IF(OR((--TRIM(LEFT(N97,2)))&gt;=SThr,S97&gt;=RPNThr,T97="H"),"Yes","No"))</f>
        <v/>
      </c>
      <c r="V97" s="4" t="n"/>
      <c r="W97" s="4" t="n"/>
      <c r="X97" s="4" t="n"/>
      <c r="Y97" s="29" t="n"/>
      <c r="Z97" s="16" t="n"/>
      <c r="AA97" s="16" t="n"/>
      <c r="AB97" s="16" t="n"/>
      <c r="AC97" s="20">
        <f>IF(OR(Z97="",AA97="",AB97=""),"",(--TRIM(LEFT(Z97,2)))*(--TRIM(LEFT(AA97,2)))*(--TRIM(LEFT(AB97,2))))</f>
        <v/>
      </c>
      <c r="AD97" s="20">
        <f>IF(OR(Z97="",AA97="",AB97=""),"",INDEX(APGrid,COUNTIF(APS,"&gt;"&amp;(--TRIM(LEFT(Z97,2))))*5+COUNTIF(APO,"&gt;"&amp;(--TRIM(LEFT(AA97,2))))+1,COUNTIF(APD,"&gt;"&amp;(--TRIM(LEFT(AB97,2))))+1))</f>
        <v/>
      </c>
      <c r="AE97" s="4" t="n"/>
      <c r="AF97" s="4" t="n"/>
      <c r="AH97">
        <f>IFERROR(INDEX(EqTag,_xlfn.AGGREGATE(15,6,(ROW(EqTag)-4)/((EqSys=$D$3)*(EqTag&lt;&gt;"")),ROWS($AH$14:AH97))),"")</f>
        <v/>
      </c>
    </row>
    <row r="98">
      <c r="A98" s="20">
        <f>IF(F98="","",LEFT($D$3,3)&amp;"-"&amp;TEXT(COUNTIF(F$14:F98,"?*"),"00"))</f>
        <v/>
      </c>
      <c r="B98" s="4" t="n"/>
      <c r="C98" s="5">
        <f>IF(B98="","",IFERROR(INDEX(EqTypeCol,MATCH(B98,EqTag,0)),"Tag not in register"))</f>
        <v/>
      </c>
      <c r="D98" s="4" t="n"/>
      <c r="E98" s="4" t="n"/>
      <c r="F98" s="4" t="n"/>
      <c r="G98" s="4" t="n"/>
      <c r="H98" s="4" t="n"/>
      <c r="I98" s="4" t="n"/>
      <c r="J98" s="5">
        <f>_xlfn.TEXTJOIN(CHAR(10),TRUE,IF(G98="","","• "&amp;G98),IF(H98="","","• "&amp;H98),IF(I98="","","• "&amp;I98))</f>
        <v/>
      </c>
      <c r="K98" s="4" t="n"/>
      <c r="L98" s="4" t="n"/>
      <c r="M98" s="4" t="n"/>
      <c r="N98" s="16" t="n"/>
      <c r="O98" s="4" t="n"/>
      <c r="P98" s="16" t="n"/>
      <c r="Q98" s="4" t="n"/>
      <c r="R98" s="16" t="n"/>
      <c r="S98" s="20">
        <f>IF(OR(N98="",P98="",R98=""),"",(--TRIM(LEFT(N98,2)))*(--TRIM(LEFT(P98,2)))*(--TRIM(LEFT(R98,2))))</f>
        <v/>
      </c>
      <c r="T98" s="20">
        <f>IF(OR(N98="",P98="",R98=""),"",INDEX(APGrid,COUNTIF(APS,"&gt;"&amp;(--TRIM(LEFT(N98,2))))*5+COUNTIF(APO,"&gt;"&amp;(--TRIM(LEFT(P98,2))))+1,COUNTIF(APD,"&gt;"&amp;(--TRIM(LEFT(R98,2))))+1))</f>
        <v/>
      </c>
      <c r="U98" s="20">
        <f>IF(S98="","",IF(OR((--TRIM(LEFT(N98,2)))&gt;=SThr,S98&gt;=RPNThr,T98="H"),"Yes","No"))</f>
        <v/>
      </c>
      <c r="V98" s="4" t="n"/>
      <c r="W98" s="4" t="n"/>
      <c r="X98" s="4" t="n"/>
      <c r="Y98" s="29" t="n"/>
      <c r="Z98" s="16" t="n"/>
      <c r="AA98" s="16" t="n"/>
      <c r="AB98" s="16" t="n"/>
      <c r="AC98" s="20">
        <f>IF(OR(Z98="",AA98="",AB98=""),"",(--TRIM(LEFT(Z98,2)))*(--TRIM(LEFT(AA98,2)))*(--TRIM(LEFT(AB98,2))))</f>
        <v/>
      </c>
      <c r="AD98" s="20">
        <f>IF(OR(Z98="",AA98="",AB98=""),"",INDEX(APGrid,COUNTIF(APS,"&gt;"&amp;(--TRIM(LEFT(Z98,2))))*5+COUNTIF(APO,"&gt;"&amp;(--TRIM(LEFT(AA98,2))))+1,COUNTIF(APD,"&gt;"&amp;(--TRIM(LEFT(AB98,2))))+1))</f>
        <v/>
      </c>
      <c r="AE98" s="4" t="n"/>
      <c r="AF98" s="4" t="n"/>
      <c r="AH98">
        <f>IFERROR(INDEX(EqTag,_xlfn.AGGREGATE(15,6,(ROW(EqTag)-4)/((EqSys=$D$3)*(EqTag&lt;&gt;"")),ROWS($AH$14:AH98))),"")</f>
        <v/>
      </c>
    </row>
    <row r="99">
      <c r="A99" s="20">
        <f>IF(F99="","",LEFT($D$3,3)&amp;"-"&amp;TEXT(COUNTIF(F$14:F99,"?*"),"00"))</f>
        <v/>
      </c>
      <c r="B99" s="4" t="n"/>
      <c r="C99" s="5">
        <f>IF(B99="","",IFERROR(INDEX(EqTypeCol,MATCH(B99,EqTag,0)),"Tag not in register"))</f>
        <v/>
      </c>
      <c r="D99" s="4" t="n"/>
      <c r="E99" s="4" t="n"/>
      <c r="F99" s="4" t="n"/>
      <c r="G99" s="4" t="n"/>
      <c r="H99" s="4" t="n"/>
      <c r="I99" s="4" t="n"/>
      <c r="J99" s="5">
        <f>_xlfn.TEXTJOIN(CHAR(10),TRUE,IF(G99="","","• "&amp;G99),IF(H99="","","• "&amp;H99),IF(I99="","","• "&amp;I99))</f>
        <v/>
      </c>
      <c r="K99" s="4" t="n"/>
      <c r="L99" s="4" t="n"/>
      <c r="M99" s="4" t="n"/>
      <c r="N99" s="16" t="n"/>
      <c r="O99" s="4" t="n"/>
      <c r="P99" s="16" t="n"/>
      <c r="Q99" s="4" t="n"/>
      <c r="R99" s="16" t="n"/>
      <c r="S99" s="20">
        <f>IF(OR(N99="",P99="",R99=""),"",(--TRIM(LEFT(N99,2)))*(--TRIM(LEFT(P99,2)))*(--TRIM(LEFT(R99,2))))</f>
        <v/>
      </c>
      <c r="T99" s="20">
        <f>IF(OR(N99="",P99="",R99=""),"",INDEX(APGrid,COUNTIF(APS,"&gt;"&amp;(--TRIM(LEFT(N99,2))))*5+COUNTIF(APO,"&gt;"&amp;(--TRIM(LEFT(P99,2))))+1,COUNTIF(APD,"&gt;"&amp;(--TRIM(LEFT(R99,2))))+1))</f>
        <v/>
      </c>
      <c r="U99" s="20">
        <f>IF(S99="","",IF(OR((--TRIM(LEFT(N99,2)))&gt;=SThr,S99&gt;=RPNThr,T99="H"),"Yes","No"))</f>
        <v/>
      </c>
      <c r="V99" s="4" t="n"/>
      <c r="W99" s="4" t="n"/>
      <c r="X99" s="4" t="n"/>
      <c r="Y99" s="29" t="n"/>
      <c r="Z99" s="16" t="n"/>
      <c r="AA99" s="16" t="n"/>
      <c r="AB99" s="16" t="n"/>
      <c r="AC99" s="20">
        <f>IF(OR(Z99="",AA99="",AB99=""),"",(--TRIM(LEFT(Z99,2)))*(--TRIM(LEFT(AA99,2)))*(--TRIM(LEFT(AB99,2))))</f>
        <v/>
      </c>
      <c r="AD99" s="20">
        <f>IF(OR(Z99="",AA99="",AB99=""),"",INDEX(APGrid,COUNTIF(APS,"&gt;"&amp;(--TRIM(LEFT(Z99,2))))*5+COUNTIF(APO,"&gt;"&amp;(--TRIM(LEFT(AA99,2))))+1,COUNTIF(APD,"&gt;"&amp;(--TRIM(LEFT(AB99,2))))+1))</f>
        <v/>
      </c>
      <c r="AE99" s="4" t="n"/>
      <c r="AF99" s="4" t="n"/>
      <c r="AH99">
        <f>IFERROR(INDEX(EqTag,_xlfn.AGGREGATE(15,6,(ROW(EqTag)-4)/((EqSys=$D$3)*(EqTag&lt;&gt;"")),ROWS($AH$14:AH99))),"")</f>
        <v/>
      </c>
    </row>
    <row r="100">
      <c r="A100" s="20">
        <f>IF(F100="","",LEFT($D$3,3)&amp;"-"&amp;TEXT(COUNTIF(F$14:F100,"?*"),"00"))</f>
        <v/>
      </c>
      <c r="B100" s="4" t="n"/>
      <c r="C100" s="5">
        <f>IF(B100="","",IFERROR(INDEX(EqTypeCol,MATCH(B100,EqTag,0)),"Tag not in register"))</f>
        <v/>
      </c>
      <c r="D100" s="4" t="n"/>
      <c r="E100" s="4" t="n"/>
      <c r="F100" s="4" t="n"/>
      <c r="G100" s="4" t="n"/>
      <c r="H100" s="4" t="n"/>
      <c r="I100" s="4" t="n"/>
      <c r="J100" s="5">
        <f>_xlfn.TEXTJOIN(CHAR(10),TRUE,IF(G100="","","• "&amp;G100),IF(H100="","","• "&amp;H100),IF(I100="","","• "&amp;I100))</f>
        <v/>
      </c>
      <c r="K100" s="4" t="n"/>
      <c r="L100" s="4" t="n"/>
      <c r="M100" s="4" t="n"/>
      <c r="N100" s="16" t="n"/>
      <c r="O100" s="4" t="n"/>
      <c r="P100" s="16" t="n"/>
      <c r="Q100" s="4" t="n"/>
      <c r="R100" s="16" t="n"/>
      <c r="S100" s="20">
        <f>IF(OR(N100="",P100="",R100=""),"",(--TRIM(LEFT(N100,2)))*(--TRIM(LEFT(P100,2)))*(--TRIM(LEFT(R100,2))))</f>
        <v/>
      </c>
      <c r="T100" s="20">
        <f>IF(OR(N100="",P100="",R100=""),"",INDEX(APGrid,COUNTIF(APS,"&gt;"&amp;(--TRIM(LEFT(N100,2))))*5+COUNTIF(APO,"&gt;"&amp;(--TRIM(LEFT(P100,2))))+1,COUNTIF(APD,"&gt;"&amp;(--TRIM(LEFT(R100,2))))+1))</f>
        <v/>
      </c>
      <c r="U100" s="20">
        <f>IF(S100="","",IF(OR((--TRIM(LEFT(N100,2)))&gt;=SThr,S100&gt;=RPNThr,T100="H"),"Yes","No"))</f>
        <v/>
      </c>
      <c r="V100" s="4" t="n"/>
      <c r="W100" s="4" t="n"/>
      <c r="X100" s="4" t="n"/>
      <c r="Y100" s="29" t="n"/>
      <c r="Z100" s="16" t="n"/>
      <c r="AA100" s="16" t="n"/>
      <c r="AB100" s="16" t="n"/>
      <c r="AC100" s="20">
        <f>IF(OR(Z100="",AA100="",AB100=""),"",(--TRIM(LEFT(Z100,2)))*(--TRIM(LEFT(AA100,2)))*(--TRIM(LEFT(AB100,2))))</f>
        <v/>
      </c>
      <c r="AD100" s="20">
        <f>IF(OR(Z100="",AA100="",AB100=""),"",INDEX(APGrid,COUNTIF(APS,"&gt;"&amp;(--TRIM(LEFT(Z100,2))))*5+COUNTIF(APO,"&gt;"&amp;(--TRIM(LEFT(AA100,2))))+1,COUNTIF(APD,"&gt;"&amp;(--TRIM(LEFT(AB100,2))))+1))</f>
        <v/>
      </c>
      <c r="AE100" s="4" t="n"/>
      <c r="AF100" s="4" t="n"/>
      <c r="AH100">
        <f>IFERROR(INDEX(EqTag,_xlfn.AGGREGATE(15,6,(ROW(EqTag)-4)/((EqSys=$D$3)*(EqTag&lt;&gt;"")),ROWS($AH$14:AH100))),"")</f>
        <v/>
      </c>
    </row>
    <row r="101">
      <c r="A101" s="20">
        <f>IF(F101="","",LEFT($D$3,3)&amp;"-"&amp;TEXT(COUNTIF(F$14:F101,"?*"),"00"))</f>
        <v/>
      </c>
      <c r="B101" s="4" t="n"/>
      <c r="C101" s="5">
        <f>IF(B101="","",IFERROR(INDEX(EqTypeCol,MATCH(B101,EqTag,0)),"Tag not in register"))</f>
        <v/>
      </c>
      <c r="D101" s="4" t="n"/>
      <c r="E101" s="4" t="n"/>
      <c r="F101" s="4" t="n"/>
      <c r="G101" s="4" t="n"/>
      <c r="H101" s="4" t="n"/>
      <c r="I101" s="4" t="n"/>
      <c r="J101" s="5">
        <f>_xlfn.TEXTJOIN(CHAR(10),TRUE,IF(G101="","","• "&amp;G101),IF(H101="","","• "&amp;H101),IF(I101="","","• "&amp;I101))</f>
        <v/>
      </c>
      <c r="K101" s="4" t="n"/>
      <c r="L101" s="4" t="n"/>
      <c r="M101" s="4" t="n"/>
      <c r="N101" s="16" t="n"/>
      <c r="O101" s="4" t="n"/>
      <c r="P101" s="16" t="n"/>
      <c r="Q101" s="4" t="n"/>
      <c r="R101" s="16" t="n"/>
      <c r="S101" s="20">
        <f>IF(OR(N101="",P101="",R101=""),"",(--TRIM(LEFT(N101,2)))*(--TRIM(LEFT(P101,2)))*(--TRIM(LEFT(R101,2))))</f>
        <v/>
      </c>
      <c r="T101" s="20">
        <f>IF(OR(N101="",P101="",R101=""),"",INDEX(APGrid,COUNTIF(APS,"&gt;"&amp;(--TRIM(LEFT(N101,2))))*5+COUNTIF(APO,"&gt;"&amp;(--TRIM(LEFT(P101,2))))+1,COUNTIF(APD,"&gt;"&amp;(--TRIM(LEFT(R101,2))))+1))</f>
        <v/>
      </c>
      <c r="U101" s="20">
        <f>IF(S101="","",IF(OR((--TRIM(LEFT(N101,2)))&gt;=SThr,S101&gt;=RPNThr,T101="H"),"Yes","No"))</f>
        <v/>
      </c>
      <c r="V101" s="4" t="n"/>
      <c r="W101" s="4" t="n"/>
      <c r="X101" s="4" t="n"/>
      <c r="Y101" s="29" t="n"/>
      <c r="Z101" s="16" t="n"/>
      <c r="AA101" s="16" t="n"/>
      <c r="AB101" s="16" t="n"/>
      <c r="AC101" s="20">
        <f>IF(OR(Z101="",AA101="",AB101=""),"",(--TRIM(LEFT(Z101,2)))*(--TRIM(LEFT(AA101,2)))*(--TRIM(LEFT(AB101,2))))</f>
        <v/>
      </c>
      <c r="AD101" s="20">
        <f>IF(OR(Z101="",AA101="",AB101=""),"",INDEX(APGrid,COUNTIF(APS,"&gt;"&amp;(--TRIM(LEFT(Z101,2))))*5+COUNTIF(APO,"&gt;"&amp;(--TRIM(LEFT(AA101,2))))+1,COUNTIF(APD,"&gt;"&amp;(--TRIM(LEFT(AB101,2))))+1))</f>
        <v/>
      </c>
      <c r="AE101" s="4" t="n"/>
      <c r="AF101" s="4" t="n"/>
      <c r="AH101">
        <f>IFERROR(INDEX(EqTag,_xlfn.AGGREGATE(15,6,(ROW(EqTag)-4)/((EqSys=$D$3)*(EqTag&lt;&gt;"")),ROWS($AH$14:AH101))),"")</f>
        <v/>
      </c>
    </row>
    <row r="102">
      <c r="A102" s="20">
        <f>IF(F102="","",LEFT($D$3,3)&amp;"-"&amp;TEXT(COUNTIF(F$14:F102,"?*"),"00"))</f>
        <v/>
      </c>
      <c r="B102" s="4" t="n"/>
      <c r="C102" s="5">
        <f>IF(B102="","",IFERROR(INDEX(EqTypeCol,MATCH(B102,EqTag,0)),"Tag not in register"))</f>
        <v/>
      </c>
      <c r="D102" s="4" t="n"/>
      <c r="E102" s="4" t="n"/>
      <c r="F102" s="4" t="n"/>
      <c r="G102" s="4" t="n"/>
      <c r="H102" s="4" t="n"/>
      <c r="I102" s="4" t="n"/>
      <c r="J102" s="5">
        <f>_xlfn.TEXTJOIN(CHAR(10),TRUE,IF(G102="","","• "&amp;G102),IF(H102="","","• "&amp;H102),IF(I102="","","• "&amp;I102))</f>
        <v/>
      </c>
      <c r="K102" s="4" t="n"/>
      <c r="L102" s="4" t="n"/>
      <c r="M102" s="4" t="n"/>
      <c r="N102" s="16" t="n"/>
      <c r="O102" s="4" t="n"/>
      <c r="P102" s="16" t="n"/>
      <c r="Q102" s="4" t="n"/>
      <c r="R102" s="16" t="n"/>
      <c r="S102" s="20">
        <f>IF(OR(N102="",P102="",R102=""),"",(--TRIM(LEFT(N102,2)))*(--TRIM(LEFT(P102,2)))*(--TRIM(LEFT(R102,2))))</f>
        <v/>
      </c>
      <c r="T102" s="20">
        <f>IF(OR(N102="",P102="",R102=""),"",INDEX(APGrid,COUNTIF(APS,"&gt;"&amp;(--TRIM(LEFT(N102,2))))*5+COUNTIF(APO,"&gt;"&amp;(--TRIM(LEFT(P102,2))))+1,COUNTIF(APD,"&gt;"&amp;(--TRIM(LEFT(R102,2))))+1))</f>
        <v/>
      </c>
      <c r="U102" s="20">
        <f>IF(S102="","",IF(OR((--TRIM(LEFT(N102,2)))&gt;=SThr,S102&gt;=RPNThr,T102="H"),"Yes","No"))</f>
        <v/>
      </c>
      <c r="V102" s="4" t="n"/>
      <c r="W102" s="4" t="n"/>
      <c r="X102" s="4" t="n"/>
      <c r="Y102" s="29" t="n"/>
      <c r="Z102" s="16" t="n"/>
      <c r="AA102" s="16" t="n"/>
      <c r="AB102" s="16" t="n"/>
      <c r="AC102" s="20">
        <f>IF(OR(Z102="",AA102="",AB102=""),"",(--TRIM(LEFT(Z102,2)))*(--TRIM(LEFT(AA102,2)))*(--TRIM(LEFT(AB102,2))))</f>
        <v/>
      </c>
      <c r="AD102" s="20">
        <f>IF(OR(Z102="",AA102="",AB102=""),"",INDEX(APGrid,COUNTIF(APS,"&gt;"&amp;(--TRIM(LEFT(Z102,2))))*5+COUNTIF(APO,"&gt;"&amp;(--TRIM(LEFT(AA102,2))))+1,COUNTIF(APD,"&gt;"&amp;(--TRIM(LEFT(AB102,2))))+1))</f>
        <v/>
      </c>
      <c r="AE102" s="4" t="n"/>
      <c r="AF102" s="4" t="n"/>
      <c r="AH102">
        <f>IFERROR(INDEX(EqTag,_xlfn.AGGREGATE(15,6,(ROW(EqTag)-4)/((EqSys=$D$3)*(EqTag&lt;&gt;"")),ROWS($AH$14:AH102))),"")</f>
        <v/>
      </c>
    </row>
    <row r="103">
      <c r="A103" s="20">
        <f>IF(F103="","",LEFT($D$3,3)&amp;"-"&amp;TEXT(COUNTIF(F$14:F103,"?*"),"00"))</f>
        <v/>
      </c>
      <c r="B103" s="4" t="n"/>
      <c r="C103" s="5">
        <f>IF(B103="","",IFERROR(INDEX(EqTypeCol,MATCH(B103,EqTag,0)),"Tag not in register"))</f>
        <v/>
      </c>
      <c r="D103" s="4" t="n"/>
      <c r="E103" s="4" t="n"/>
      <c r="F103" s="4" t="n"/>
      <c r="G103" s="4" t="n"/>
      <c r="H103" s="4" t="n"/>
      <c r="I103" s="4" t="n"/>
      <c r="J103" s="5">
        <f>_xlfn.TEXTJOIN(CHAR(10),TRUE,IF(G103="","","• "&amp;G103),IF(H103="","","• "&amp;H103),IF(I103="","","• "&amp;I103))</f>
        <v/>
      </c>
      <c r="K103" s="4" t="n"/>
      <c r="L103" s="4" t="n"/>
      <c r="M103" s="4" t="n"/>
      <c r="N103" s="16" t="n"/>
      <c r="O103" s="4" t="n"/>
      <c r="P103" s="16" t="n"/>
      <c r="Q103" s="4" t="n"/>
      <c r="R103" s="16" t="n"/>
      <c r="S103" s="20">
        <f>IF(OR(N103="",P103="",R103=""),"",(--TRIM(LEFT(N103,2)))*(--TRIM(LEFT(P103,2)))*(--TRIM(LEFT(R103,2))))</f>
        <v/>
      </c>
      <c r="T103" s="20">
        <f>IF(OR(N103="",P103="",R103=""),"",INDEX(APGrid,COUNTIF(APS,"&gt;"&amp;(--TRIM(LEFT(N103,2))))*5+COUNTIF(APO,"&gt;"&amp;(--TRIM(LEFT(P103,2))))+1,COUNTIF(APD,"&gt;"&amp;(--TRIM(LEFT(R103,2))))+1))</f>
        <v/>
      </c>
      <c r="U103" s="20">
        <f>IF(S103="","",IF(OR((--TRIM(LEFT(N103,2)))&gt;=SThr,S103&gt;=RPNThr,T103="H"),"Yes","No"))</f>
        <v/>
      </c>
      <c r="V103" s="4" t="n"/>
      <c r="W103" s="4" t="n"/>
      <c r="X103" s="4" t="n"/>
      <c r="Y103" s="29" t="n"/>
      <c r="Z103" s="16" t="n"/>
      <c r="AA103" s="16" t="n"/>
      <c r="AB103" s="16" t="n"/>
      <c r="AC103" s="20">
        <f>IF(OR(Z103="",AA103="",AB103=""),"",(--TRIM(LEFT(Z103,2)))*(--TRIM(LEFT(AA103,2)))*(--TRIM(LEFT(AB103,2))))</f>
        <v/>
      </c>
      <c r="AD103" s="20">
        <f>IF(OR(Z103="",AA103="",AB103=""),"",INDEX(APGrid,COUNTIF(APS,"&gt;"&amp;(--TRIM(LEFT(Z103,2))))*5+COUNTIF(APO,"&gt;"&amp;(--TRIM(LEFT(AA103,2))))+1,COUNTIF(APD,"&gt;"&amp;(--TRIM(LEFT(AB103,2))))+1))</f>
        <v/>
      </c>
      <c r="AE103" s="4" t="n"/>
      <c r="AF103" s="4" t="n"/>
      <c r="AH103">
        <f>IFERROR(INDEX(EqTag,_xlfn.AGGREGATE(15,6,(ROW(EqTag)-4)/((EqSys=$D$3)*(EqTag&lt;&gt;"")),ROWS($AH$14:AH103))),"")</f>
        <v/>
      </c>
    </row>
    <row r="104">
      <c r="A104" s="20">
        <f>IF(F104="","",LEFT($D$3,3)&amp;"-"&amp;TEXT(COUNTIF(F$14:F104,"?*"),"00"))</f>
        <v/>
      </c>
      <c r="B104" s="4" t="n"/>
      <c r="C104" s="5">
        <f>IF(B104="","",IFERROR(INDEX(EqTypeCol,MATCH(B104,EqTag,0)),"Tag not in register"))</f>
        <v/>
      </c>
      <c r="D104" s="4" t="n"/>
      <c r="E104" s="4" t="n"/>
      <c r="F104" s="4" t="n"/>
      <c r="G104" s="4" t="n"/>
      <c r="H104" s="4" t="n"/>
      <c r="I104" s="4" t="n"/>
      <c r="J104" s="5">
        <f>_xlfn.TEXTJOIN(CHAR(10),TRUE,IF(G104="","","• "&amp;G104),IF(H104="","","• "&amp;H104),IF(I104="","","• "&amp;I104))</f>
        <v/>
      </c>
      <c r="K104" s="4" t="n"/>
      <c r="L104" s="4" t="n"/>
      <c r="M104" s="4" t="n"/>
      <c r="N104" s="16" t="n"/>
      <c r="O104" s="4" t="n"/>
      <c r="P104" s="16" t="n"/>
      <c r="Q104" s="4" t="n"/>
      <c r="R104" s="16" t="n"/>
      <c r="S104" s="20">
        <f>IF(OR(N104="",P104="",R104=""),"",(--TRIM(LEFT(N104,2)))*(--TRIM(LEFT(P104,2)))*(--TRIM(LEFT(R104,2))))</f>
        <v/>
      </c>
      <c r="T104" s="20">
        <f>IF(OR(N104="",P104="",R104=""),"",INDEX(APGrid,COUNTIF(APS,"&gt;"&amp;(--TRIM(LEFT(N104,2))))*5+COUNTIF(APO,"&gt;"&amp;(--TRIM(LEFT(P104,2))))+1,COUNTIF(APD,"&gt;"&amp;(--TRIM(LEFT(R104,2))))+1))</f>
        <v/>
      </c>
      <c r="U104" s="20">
        <f>IF(S104="","",IF(OR((--TRIM(LEFT(N104,2)))&gt;=SThr,S104&gt;=RPNThr,T104="H"),"Yes","No"))</f>
        <v/>
      </c>
      <c r="V104" s="4" t="n"/>
      <c r="W104" s="4" t="n"/>
      <c r="X104" s="4" t="n"/>
      <c r="Y104" s="29" t="n"/>
      <c r="Z104" s="16" t="n"/>
      <c r="AA104" s="16" t="n"/>
      <c r="AB104" s="16" t="n"/>
      <c r="AC104" s="20">
        <f>IF(OR(Z104="",AA104="",AB104=""),"",(--TRIM(LEFT(Z104,2)))*(--TRIM(LEFT(AA104,2)))*(--TRIM(LEFT(AB104,2))))</f>
        <v/>
      </c>
      <c r="AD104" s="20">
        <f>IF(OR(Z104="",AA104="",AB104=""),"",INDEX(APGrid,COUNTIF(APS,"&gt;"&amp;(--TRIM(LEFT(Z104,2))))*5+COUNTIF(APO,"&gt;"&amp;(--TRIM(LEFT(AA104,2))))+1,COUNTIF(APD,"&gt;"&amp;(--TRIM(LEFT(AB104,2))))+1))</f>
        <v/>
      </c>
      <c r="AE104" s="4" t="n"/>
      <c r="AF104" s="4" t="n"/>
      <c r="AH104">
        <f>IFERROR(INDEX(EqTag,_xlfn.AGGREGATE(15,6,(ROW(EqTag)-4)/((EqSys=$D$3)*(EqTag&lt;&gt;"")),ROWS($AH$14:AH104))),"")</f>
        <v/>
      </c>
    </row>
    <row r="105">
      <c r="A105" s="20">
        <f>IF(F105="","",LEFT($D$3,3)&amp;"-"&amp;TEXT(COUNTIF(F$14:F105,"?*"),"00"))</f>
        <v/>
      </c>
      <c r="B105" s="4" t="n"/>
      <c r="C105" s="5">
        <f>IF(B105="","",IFERROR(INDEX(EqTypeCol,MATCH(B105,EqTag,0)),"Tag not in register"))</f>
        <v/>
      </c>
      <c r="D105" s="4" t="n"/>
      <c r="E105" s="4" t="n"/>
      <c r="F105" s="4" t="n"/>
      <c r="G105" s="4" t="n"/>
      <c r="H105" s="4" t="n"/>
      <c r="I105" s="4" t="n"/>
      <c r="J105" s="5">
        <f>_xlfn.TEXTJOIN(CHAR(10),TRUE,IF(G105="","","• "&amp;G105),IF(H105="","","• "&amp;H105),IF(I105="","","• "&amp;I105))</f>
        <v/>
      </c>
      <c r="K105" s="4" t="n"/>
      <c r="L105" s="4" t="n"/>
      <c r="M105" s="4" t="n"/>
      <c r="N105" s="16" t="n"/>
      <c r="O105" s="4" t="n"/>
      <c r="P105" s="16" t="n"/>
      <c r="Q105" s="4" t="n"/>
      <c r="R105" s="16" t="n"/>
      <c r="S105" s="20">
        <f>IF(OR(N105="",P105="",R105=""),"",(--TRIM(LEFT(N105,2)))*(--TRIM(LEFT(P105,2)))*(--TRIM(LEFT(R105,2))))</f>
        <v/>
      </c>
      <c r="T105" s="20">
        <f>IF(OR(N105="",P105="",R105=""),"",INDEX(APGrid,COUNTIF(APS,"&gt;"&amp;(--TRIM(LEFT(N105,2))))*5+COUNTIF(APO,"&gt;"&amp;(--TRIM(LEFT(P105,2))))+1,COUNTIF(APD,"&gt;"&amp;(--TRIM(LEFT(R105,2))))+1))</f>
        <v/>
      </c>
      <c r="U105" s="20">
        <f>IF(S105="","",IF(OR((--TRIM(LEFT(N105,2)))&gt;=SThr,S105&gt;=RPNThr,T105="H"),"Yes","No"))</f>
        <v/>
      </c>
      <c r="V105" s="4" t="n"/>
      <c r="W105" s="4" t="n"/>
      <c r="X105" s="4" t="n"/>
      <c r="Y105" s="29" t="n"/>
      <c r="Z105" s="16" t="n"/>
      <c r="AA105" s="16" t="n"/>
      <c r="AB105" s="16" t="n"/>
      <c r="AC105" s="20">
        <f>IF(OR(Z105="",AA105="",AB105=""),"",(--TRIM(LEFT(Z105,2)))*(--TRIM(LEFT(AA105,2)))*(--TRIM(LEFT(AB105,2))))</f>
        <v/>
      </c>
      <c r="AD105" s="20">
        <f>IF(OR(Z105="",AA105="",AB105=""),"",INDEX(APGrid,COUNTIF(APS,"&gt;"&amp;(--TRIM(LEFT(Z105,2))))*5+COUNTIF(APO,"&gt;"&amp;(--TRIM(LEFT(AA105,2))))+1,COUNTIF(APD,"&gt;"&amp;(--TRIM(LEFT(AB105,2))))+1))</f>
        <v/>
      </c>
      <c r="AE105" s="4" t="n"/>
      <c r="AF105" s="4" t="n"/>
      <c r="AH105">
        <f>IFERROR(INDEX(EqTag,_xlfn.AGGREGATE(15,6,(ROW(EqTag)-4)/((EqSys=$D$3)*(EqTag&lt;&gt;"")),ROWS($AH$14:AH105))),"")</f>
        <v/>
      </c>
    </row>
    <row r="106">
      <c r="A106" s="20">
        <f>IF(F106="","",LEFT($D$3,3)&amp;"-"&amp;TEXT(COUNTIF(F$14:F106,"?*"),"00"))</f>
        <v/>
      </c>
      <c r="B106" s="4" t="n"/>
      <c r="C106" s="5">
        <f>IF(B106="","",IFERROR(INDEX(EqTypeCol,MATCH(B106,EqTag,0)),"Tag not in register"))</f>
        <v/>
      </c>
      <c r="D106" s="4" t="n"/>
      <c r="E106" s="4" t="n"/>
      <c r="F106" s="4" t="n"/>
      <c r="G106" s="4" t="n"/>
      <c r="H106" s="4" t="n"/>
      <c r="I106" s="4" t="n"/>
      <c r="J106" s="5">
        <f>_xlfn.TEXTJOIN(CHAR(10),TRUE,IF(G106="","","• "&amp;G106),IF(H106="","","• "&amp;H106),IF(I106="","","• "&amp;I106))</f>
        <v/>
      </c>
      <c r="K106" s="4" t="n"/>
      <c r="L106" s="4" t="n"/>
      <c r="M106" s="4" t="n"/>
      <c r="N106" s="16" t="n"/>
      <c r="O106" s="4" t="n"/>
      <c r="P106" s="16" t="n"/>
      <c r="Q106" s="4" t="n"/>
      <c r="R106" s="16" t="n"/>
      <c r="S106" s="20">
        <f>IF(OR(N106="",P106="",R106=""),"",(--TRIM(LEFT(N106,2)))*(--TRIM(LEFT(P106,2)))*(--TRIM(LEFT(R106,2))))</f>
        <v/>
      </c>
      <c r="T106" s="20">
        <f>IF(OR(N106="",P106="",R106=""),"",INDEX(APGrid,COUNTIF(APS,"&gt;"&amp;(--TRIM(LEFT(N106,2))))*5+COUNTIF(APO,"&gt;"&amp;(--TRIM(LEFT(P106,2))))+1,COUNTIF(APD,"&gt;"&amp;(--TRIM(LEFT(R106,2))))+1))</f>
        <v/>
      </c>
      <c r="U106" s="20">
        <f>IF(S106="","",IF(OR((--TRIM(LEFT(N106,2)))&gt;=SThr,S106&gt;=RPNThr,T106="H"),"Yes","No"))</f>
        <v/>
      </c>
      <c r="V106" s="4" t="n"/>
      <c r="W106" s="4" t="n"/>
      <c r="X106" s="4" t="n"/>
      <c r="Y106" s="29" t="n"/>
      <c r="Z106" s="16" t="n"/>
      <c r="AA106" s="16" t="n"/>
      <c r="AB106" s="16" t="n"/>
      <c r="AC106" s="20">
        <f>IF(OR(Z106="",AA106="",AB106=""),"",(--TRIM(LEFT(Z106,2)))*(--TRIM(LEFT(AA106,2)))*(--TRIM(LEFT(AB106,2))))</f>
        <v/>
      </c>
      <c r="AD106" s="20">
        <f>IF(OR(Z106="",AA106="",AB106=""),"",INDEX(APGrid,COUNTIF(APS,"&gt;"&amp;(--TRIM(LEFT(Z106,2))))*5+COUNTIF(APO,"&gt;"&amp;(--TRIM(LEFT(AA106,2))))+1,COUNTIF(APD,"&gt;"&amp;(--TRIM(LEFT(AB106,2))))+1))</f>
        <v/>
      </c>
      <c r="AE106" s="4" t="n"/>
      <c r="AF106" s="4" t="n"/>
      <c r="AH106">
        <f>IFERROR(INDEX(EqTag,_xlfn.AGGREGATE(15,6,(ROW(EqTag)-4)/((EqSys=$D$3)*(EqTag&lt;&gt;"")),ROWS($AH$14:AH106))),"")</f>
        <v/>
      </c>
    </row>
    <row r="107">
      <c r="A107" s="20">
        <f>IF(F107="","",LEFT($D$3,3)&amp;"-"&amp;TEXT(COUNTIF(F$14:F107,"?*"),"00"))</f>
        <v/>
      </c>
      <c r="B107" s="4" t="n"/>
      <c r="C107" s="5">
        <f>IF(B107="","",IFERROR(INDEX(EqTypeCol,MATCH(B107,EqTag,0)),"Tag not in register"))</f>
        <v/>
      </c>
      <c r="D107" s="4" t="n"/>
      <c r="E107" s="4" t="n"/>
      <c r="F107" s="4" t="n"/>
      <c r="G107" s="4" t="n"/>
      <c r="H107" s="4" t="n"/>
      <c r="I107" s="4" t="n"/>
      <c r="J107" s="5">
        <f>_xlfn.TEXTJOIN(CHAR(10),TRUE,IF(G107="","","• "&amp;G107),IF(H107="","","• "&amp;H107),IF(I107="","","• "&amp;I107))</f>
        <v/>
      </c>
      <c r="K107" s="4" t="n"/>
      <c r="L107" s="4" t="n"/>
      <c r="M107" s="4" t="n"/>
      <c r="N107" s="16" t="n"/>
      <c r="O107" s="4" t="n"/>
      <c r="P107" s="16" t="n"/>
      <c r="Q107" s="4" t="n"/>
      <c r="R107" s="16" t="n"/>
      <c r="S107" s="20">
        <f>IF(OR(N107="",P107="",R107=""),"",(--TRIM(LEFT(N107,2)))*(--TRIM(LEFT(P107,2)))*(--TRIM(LEFT(R107,2))))</f>
        <v/>
      </c>
      <c r="T107" s="20">
        <f>IF(OR(N107="",P107="",R107=""),"",INDEX(APGrid,COUNTIF(APS,"&gt;"&amp;(--TRIM(LEFT(N107,2))))*5+COUNTIF(APO,"&gt;"&amp;(--TRIM(LEFT(P107,2))))+1,COUNTIF(APD,"&gt;"&amp;(--TRIM(LEFT(R107,2))))+1))</f>
        <v/>
      </c>
      <c r="U107" s="20">
        <f>IF(S107="","",IF(OR((--TRIM(LEFT(N107,2)))&gt;=SThr,S107&gt;=RPNThr,T107="H"),"Yes","No"))</f>
        <v/>
      </c>
      <c r="V107" s="4" t="n"/>
      <c r="W107" s="4" t="n"/>
      <c r="X107" s="4" t="n"/>
      <c r="Y107" s="29" t="n"/>
      <c r="Z107" s="16" t="n"/>
      <c r="AA107" s="16" t="n"/>
      <c r="AB107" s="16" t="n"/>
      <c r="AC107" s="20">
        <f>IF(OR(Z107="",AA107="",AB107=""),"",(--TRIM(LEFT(Z107,2)))*(--TRIM(LEFT(AA107,2)))*(--TRIM(LEFT(AB107,2))))</f>
        <v/>
      </c>
      <c r="AD107" s="20">
        <f>IF(OR(Z107="",AA107="",AB107=""),"",INDEX(APGrid,COUNTIF(APS,"&gt;"&amp;(--TRIM(LEFT(Z107,2))))*5+COUNTIF(APO,"&gt;"&amp;(--TRIM(LEFT(AA107,2))))+1,COUNTIF(APD,"&gt;"&amp;(--TRIM(LEFT(AB107,2))))+1))</f>
        <v/>
      </c>
      <c r="AE107" s="4" t="n"/>
      <c r="AF107" s="4" t="n"/>
      <c r="AH107">
        <f>IFERROR(INDEX(EqTag,_xlfn.AGGREGATE(15,6,(ROW(EqTag)-4)/((EqSys=$D$3)*(EqTag&lt;&gt;"")),ROWS($AH$14:AH107))),"")</f>
        <v/>
      </c>
    </row>
    <row r="108">
      <c r="A108" s="20">
        <f>IF(F108="","",LEFT($D$3,3)&amp;"-"&amp;TEXT(COUNTIF(F$14:F108,"?*"),"00"))</f>
        <v/>
      </c>
      <c r="B108" s="4" t="n"/>
      <c r="C108" s="5">
        <f>IF(B108="","",IFERROR(INDEX(EqTypeCol,MATCH(B108,EqTag,0)),"Tag not in register"))</f>
        <v/>
      </c>
      <c r="D108" s="4" t="n"/>
      <c r="E108" s="4" t="n"/>
      <c r="F108" s="4" t="n"/>
      <c r="G108" s="4" t="n"/>
      <c r="H108" s="4" t="n"/>
      <c r="I108" s="4" t="n"/>
      <c r="J108" s="5">
        <f>_xlfn.TEXTJOIN(CHAR(10),TRUE,IF(G108="","","• "&amp;G108),IF(H108="","","• "&amp;H108),IF(I108="","","• "&amp;I108))</f>
        <v/>
      </c>
      <c r="K108" s="4" t="n"/>
      <c r="L108" s="4" t="n"/>
      <c r="M108" s="4" t="n"/>
      <c r="N108" s="16" t="n"/>
      <c r="O108" s="4" t="n"/>
      <c r="P108" s="16" t="n"/>
      <c r="Q108" s="4" t="n"/>
      <c r="R108" s="16" t="n"/>
      <c r="S108" s="20">
        <f>IF(OR(N108="",P108="",R108=""),"",(--TRIM(LEFT(N108,2)))*(--TRIM(LEFT(P108,2)))*(--TRIM(LEFT(R108,2))))</f>
        <v/>
      </c>
      <c r="T108" s="20">
        <f>IF(OR(N108="",P108="",R108=""),"",INDEX(APGrid,COUNTIF(APS,"&gt;"&amp;(--TRIM(LEFT(N108,2))))*5+COUNTIF(APO,"&gt;"&amp;(--TRIM(LEFT(P108,2))))+1,COUNTIF(APD,"&gt;"&amp;(--TRIM(LEFT(R108,2))))+1))</f>
        <v/>
      </c>
      <c r="U108" s="20">
        <f>IF(S108="","",IF(OR((--TRIM(LEFT(N108,2)))&gt;=SThr,S108&gt;=RPNThr,T108="H"),"Yes","No"))</f>
        <v/>
      </c>
      <c r="V108" s="4" t="n"/>
      <c r="W108" s="4" t="n"/>
      <c r="X108" s="4" t="n"/>
      <c r="Y108" s="29" t="n"/>
      <c r="Z108" s="16" t="n"/>
      <c r="AA108" s="16" t="n"/>
      <c r="AB108" s="16" t="n"/>
      <c r="AC108" s="20">
        <f>IF(OR(Z108="",AA108="",AB108=""),"",(--TRIM(LEFT(Z108,2)))*(--TRIM(LEFT(AA108,2)))*(--TRIM(LEFT(AB108,2))))</f>
        <v/>
      </c>
      <c r="AD108" s="20">
        <f>IF(OR(Z108="",AA108="",AB108=""),"",INDEX(APGrid,COUNTIF(APS,"&gt;"&amp;(--TRIM(LEFT(Z108,2))))*5+COUNTIF(APO,"&gt;"&amp;(--TRIM(LEFT(AA108,2))))+1,COUNTIF(APD,"&gt;"&amp;(--TRIM(LEFT(AB108,2))))+1))</f>
        <v/>
      </c>
      <c r="AE108" s="4" t="n"/>
      <c r="AF108" s="4" t="n"/>
      <c r="AH108">
        <f>IFERROR(INDEX(EqTag,_xlfn.AGGREGATE(15,6,(ROW(EqTag)-4)/((EqSys=$D$3)*(EqTag&lt;&gt;"")),ROWS($AH$14:AH108))),"")</f>
        <v/>
      </c>
    </row>
    <row r="109">
      <c r="A109" s="20">
        <f>IF(F109="","",LEFT($D$3,3)&amp;"-"&amp;TEXT(COUNTIF(F$14:F109,"?*"),"00"))</f>
        <v/>
      </c>
      <c r="B109" s="4" t="n"/>
      <c r="C109" s="5">
        <f>IF(B109="","",IFERROR(INDEX(EqTypeCol,MATCH(B109,EqTag,0)),"Tag not in register"))</f>
        <v/>
      </c>
      <c r="D109" s="4" t="n"/>
      <c r="E109" s="4" t="n"/>
      <c r="F109" s="4" t="n"/>
      <c r="G109" s="4" t="n"/>
      <c r="H109" s="4" t="n"/>
      <c r="I109" s="4" t="n"/>
      <c r="J109" s="5">
        <f>_xlfn.TEXTJOIN(CHAR(10),TRUE,IF(G109="","","• "&amp;G109),IF(H109="","","• "&amp;H109),IF(I109="","","• "&amp;I109))</f>
        <v/>
      </c>
      <c r="K109" s="4" t="n"/>
      <c r="L109" s="4" t="n"/>
      <c r="M109" s="4" t="n"/>
      <c r="N109" s="16" t="n"/>
      <c r="O109" s="4" t="n"/>
      <c r="P109" s="16" t="n"/>
      <c r="Q109" s="4" t="n"/>
      <c r="R109" s="16" t="n"/>
      <c r="S109" s="20">
        <f>IF(OR(N109="",P109="",R109=""),"",(--TRIM(LEFT(N109,2)))*(--TRIM(LEFT(P109,2)))*(--TRIM(LEFT(R109,2))))</f>
        <v/>
      </c>
      <c r="T109" s="20">
        <f>IF(OR(N109="",P109="",R109=""),"",INDEX(APGrid,COUNTIF(APS,"&gt;"&amp;(--TRIM(LEFT(N109,2))))*5+COUNTIF(APO,"&gt;"&amp;(--TRIM(LEFT(P109,2))))+1,COUNTIF(APD,"&gt;"&amp;(--TRIM(LEFT(R109,2))))+1))</f>
        <v/>
      </c>
      <c r="U109" s="20">
        <f>IF(S109="","",IF(OR((--TRIM(LEFT(N109,2)))&gt;=SThr,S109&gt;=RPNThr,T109="H"),"Yes","No"))</f>
        <v/>
      </c>
      <c r="V109" s="4" t="n"/>
      <c r="W109" s="4" t="n"/>
      <c r="X109" s="4" t="n"/>
      <c r="Y109" s="29" t="n"/>
      <c r="Z109" s="16" t="n"/>
      <c r="AA109" s="16" t="n"/>
      <c r="AB109" s="16" t="n"/>
      <c r="AC109" s="20">
        <f>IF(OR(Z109="",AA109="",AB109=""),"",(--TRIM(LEFT(Z109,2)))*(--TRIM(LEFT(AA109,2)))*(--TRIM(LEFT(AB109,2))))</f>
        <v/>
      </c>
      <c r="AD109" s="20">
        <f>IF(OR(Z109="",AA109="",AB109=""),"",INDEX(APGrid,COUNTIF(APS,"&gt;"&amp;(--TRIM(LEFT(Z109,2))))*5+COUNTIF(APO,"&gt;"&amp;(--TRIM(LEFT(AA109,2))))+1,COUNTIF(APD,"&gt;"&amp;(--TRIM(LEFT(AB109,2))))+1))</f>
        <v/>
      </c>
      <c r="AE109" s="4" t="n"/>
      <c r="AF109" s="4" t="n"/>
      <c r="AH109">
        <f>IFERROR(INDEX(EqTag,_xlfn.AGGREGATE(15,6,(ROW(EqTag)-4)/((EqSys=$D$3)*(EqTag&lt;&gt;"")),ROWS($AH$14:AH109))),"")</f>
        <v/>
      </c>
    </row>
    <row r="110">
      <c r="A110" s="20">
        <f>IF(F110="","",LEFT($D$3,3)&amp;"-"&amp;TEXT(COUNTIF(F$14:F110,"?*"),"00"))</f>
        <v/>
      </c>
      <c r="B110" s="4" t="n"/>
      <c r="C110" s="5">
        <f>IF(B110="","",IFERROR(INDEX(EqTypeCol,MATCH(B110,EqTag,0)),"Tag not in register"))</f>
        <v/>
      </c>
      <c r="D110" s="4" t="n"/>
      <c r="E110" s="4" t="n"/>
      <c r="F110" s="4" t="n"/>
      <c r="G110" s="4" t="n"/>
      <c r="H110" s="4" t="n"/>
      <c r="I110" s="4" t="n"/>
      <c r="J110" s="5">
        <f>_xlfn.TEXTJOIN(CHAR(10),TRUE,IF(G110="","","• "&amp;G110),IF(H110="","","• "&amp;H110),IF(I110="","","• "&amp;I110))</f>
        <v/>
      </c>
      <c r="K110" s="4" t="n"/>
      <c r="L110" s="4" t="n"/>
      <c r="M110" s="4" t="n"/>
      <c r="N110" s="16" t="n"/>
      <c r="O110" s="4" t="n"/>
      <c r="P110" s="16" t="n"/>
      <c r="Q110" s="4" t="n"/>
      <c r="R110" s="16" t="n"/>
      <c r="S110" s="20">
        <f>IF(OR(N110="",P110="",R110=""),"",(--TRIM(LEFT(N110,2)))*(--TRIM(LEFT(P110,2)))*(--TRIM(LEFT(R110,2))))</f>
        <v/>
      </c>
      <c r="T110" s="20">
        <f>IF(OR(N110="",P110="",R110=""),"",INDEX(APGrid,COUNTIF(APS,"&gt;"&amp;(--TRIM(LEFT(N110,2))))*5+COUNTIF(APO,"&gt;"&amp;(--TRIM(LEFT(P110,2))))+1,COUNTIF(APD,"&gt;"&amp;(--TRIM(LEFT(R110,2))))+1))</f>
        <v/>
      </c>
      <c r="U110" s="20">
        <f>IF(S110="","",IF(OR((--TRIM(LEFT(N110,2)))&gt;=SThr,S110&gt;=RPNThr,T110="H"),"Yes","No"))</f>
        <v/>
      </c>
      <c r="V110" s="4" t="n"/>
      <c r="W110" s="4" t="n"/>
      <c r="X110" s="4" t="n"/>
      <c r="Y110" s="29" t="n"/>
      <c r="Z110" s="16" t="n"/>
      <c r="AA110" s="16" t="n"/>
      <c r="AB110" s="16" t="n"/>
      <c r="AC110" s="20">
        <f>IF(OR(Z110="",AA110="",AB110=""),"",(--TRIM(LEFT(Z110,2)))*(--TRIM(LEFT(AA110,2)))*(--TRIM(LEFT(AB110,2))))</f>
        <v/>
      </c>
      <c r="AD110" s="20">
        <f>IF(OR(Z110="",AA110="",AB110=""),"",INDEX(APGrid,COUNTIF(APS,"&gt;"&amp;(--TRIM(LEFT(Z110,2))))*5+COUNTIF(APO,"&gt;"&amp;(--TRIM(LEFT(AA110,2))))+1,COUNTIF(APD,"&gt;"&amp;(--TRIM(LEFT(AB110,2))))+1))</f>
        <v/>
      </c>
      <c r="AE110" s="4" t="n"/>
      <c r="AF110" s="4" t="n"/>
      <c r="AH110">
        <f>IFERROR(INDEX(EqTag,_xlfn.AGGREGATE(15,6,(ROW(EqTag)-4)/((EqSys=$D$3)*(EqTag&lt;&gt;"")),ROWS($AH$14:AH110))),"")</f>
        <v/>
      </c>
    </row>
    <row r="111">
      <c r="A111" s="20">
        <f>IF(F111="","",LEFT($D$3,3)&amp;"-"&amp;TEXT(COUNTIF(F$14:F111,"?*"),"00"))</f>
        <v/>
      </c>
      <c r="B111" s="4" t="n"/>
      <c r="C111" s="5">
        <f>IF(B111="","",IFERROR(INDEX(EqTypeCol,MATCH(B111,EqTag,0)),"Tag not in register"))</f>
        <v/>
      </c>
      <c r="D111" s="4" t="n"/>
      <c r="E111" s="4" t="n"/>
      <c r="F111" s="4" t="n"/>
      <c r="G111" s="4" t="n"/>
      <c r="H111" s="4" t="n"/>
      <c r="I111" s="4" t="n"/>
      <c r="J111" s="5">
        <f>_xlfn.TEXTJOIN(CHAR(10),TRUE,IF(G111="","","• "&amp;G111),IF(H111="","","• "&amp;H111),IF(I111="","","• "&amp;I111))</f>
        <v/>
      </c>
      <c r="K111" s="4" t="n"/>
      <c r="L111" s="4" t="n"/>
      <c r="M111" s="4" t="n"/>
      <c r="N111" s="16" t="n"/>
      <c r="O111" s="4" t="n"/>
      <c r="P111" s="16" t="n"/>
      <c r="Q111" s="4" t="n"/>
      <c r="R111" s="16" t="n"/>
      <c r="S111" s="20">
        <f>IF(OR(N111="",P111="",R111=""),"",(--TRIM(LEFT(N111,2)))*(--TRIM(LEFT(P111,2)))*(--TRIM(LEFT(R111,2))))</f>
        <v/>
      </c>
      <c r="T111" s="20">
        <f>IF(OR(N111="",P111="",R111=""),"",INDEX(APGrid,COUNTIF(APS,"&gt;"&amp;(--TRIM(LEFT(N111,2))))*5+COUNTIF(APO,"&gt;"&amp;(--TRIM(LEFT(P111,2))))+1,COUNTIF(APD,"&gt;"&amp;(--TRIM(LEFT(R111,2))))+1))</f>
        <v/>
      </c>
      <c r="U111" s="20">
        <f>IF(S111="","",IF(OR((--TRIM(LEFT(N111,2)))&gt;=SThr,S111&gt;=RPNThr,T111="H"),"Yes","No"))</f>
        <v/>
      </c>
      <c r="V111" s="4" t="n"/>
      <c r="W111" s="4" t="n"/>
      <c r="X111" s="4" t="n"/>
      <c r="Y111" s="29" t="n"/>
      <c r="Z111" s="16" t="n"/>
      <c r="AA111" s="16" t="n"/>
      <c r="AB111" s="16" t="n"/>
      <c r="AC111" s="20">
        <f>IF(OR(Z111="",AA111="",AB111=""),"",(--TRIM(LEFT(Z111,2)))*(--TRIM(LEFT(AA111,2)))*(--TRIM(LEFT(AB111,2))))</f>
        <v/>
      </c>
      <c r="AD111" s="20">
        <f>IF(OR(Z111="",AA111="",AB111=""),"",INDEX(APGrid,COUNTIF(APS,"&gt;"&amp;(--TRIM(LEFT(Z111,2))))*5+COUNTIF(APO,"&gt;"&amp;(--TRIM(LEFT(AA111,2))))+1,COUNTIF(APD,"&gt;"&amp;(--TRIM(LEFT(AB111,2))))+1))</f>
        <v/>
      </c>
      <c r="AE111" s="4" t="n"/>
      <c r="AF111" s="4" t="n"/>
      <c r="AH111">
        <f>IFERROR(INDEX(EqTag,_xlfn.AGGREGATE(15,6,(ROW(EqTag)-4)/((EqSys=$D$3)*(EqTag&lt;&gt;"")),ROWS($AH$14:AH111))),"")</f>
        <v/>
      </c>
    </row>
    <row r="112">
      <c r="A112" s="20">
        <f>IF(F112="","",LEFT($D$3,3)&amp;"-"&amp;TEXT(COUNTIF(F$14:F112,"?*"),"00"))</f>
        <v/>
      </c>
      <c r="B112" s="4" t="n"/>
      <c r="C112" s="5">
        <f>IF(B112="","",IFERROR(INDEX(EqTypeCol,MATCH(B112,EqTag,0)),"Tag not in register"))</f>
        <v/>
      </c>
      <c r="D112" s="4" t="n"/>
      <c r="E112" s="4" t="n"/>
      <c r="F112" s="4" t="n"/>
      <c r="G112" s="4" t="n"/>
      <c r="H112" s="4" t="n"/>
      <c r="I112" s="4" t="n"/>
      <c r="J112" s="5">
        <f>_xlfn.TEXTJOIN(CHAR(10),TRUE,IF(G112="","","• "&amp;G112),IF(H112="","","• "&amp;H112),IF(I112="","","• "&amp;I112))</f>
        <v/>
      </c>
      <c r="K112" s="4" t="n"/>
      <c r="L112" s="4" t="n"/>
      <c r="M112" s="4" t="n"/>
      <c r="N112" s="16" t="n"/>
      <c r="O112" s="4" t="n"/>
      <c r="P112" s="16" t="n"/>
      <c r="Q112" s="4" t="n"/>
      <c r="R112" s="16" t="n"/>
      <c r="S112" s="20">
        <f>IF(OR(N112="",P112="",R112=""),"",(--TRIM(LEFT(N112,2)))*(--TRIM(LEFT(P112,2)))*(--TRIM(LEFT(R112,2))))</f>
        <v/>
      </c>
      <c r="T112" s="20">
        <f>IF(OR(N112="",P112="",R112=""),"",INDEX(APGrid,COUNTIF(APS,"&gt;"&amp;(--TRIM(LEFT(N112,2))))*5+COUNTIF(APO,"&gt;"&amp;(--TRIM(LEFT(P112,2))))+1,COUNTIF(APD,"&gt;"&amp;(--TRIM(LEFT(R112,2))))+1))</f>
        <v/>
      </c>
      <c r="U112" s="20">
        <f>IF(S112="","",IF(OR((--TRIM(LEFT(N112,2)))&gt;=SThr,S112&gt;=RPNThr,T112="H"),"Yes","No"))</f>
        <v/>
      </c>
      <c r="V112" s="4" t="n"/>
      <c r="W112" s="4" t="n"/>
      <c r="X112" s="4" t="n"/>
      <c r="Y112" s="29" t="n"/>
      <c r="Z112" s="16" t="n"/>
      <c r="AA112" s="16" t="n"/>
      <c r="AB112" s="16" t="n"/>
      <c r="AC112" s="20">
        <f>IF(OR(Z112="",AA112="",AB112=""),"",(--TRIM(LEFT(Z112,2)))*(--TRIM(LEFT(AA112,2)))*(--TRIM(LEFT(AB112,2))))</f>
        <v/>
      </c>
      <c r="AD112" s="20">
        <f>IF(OR(Z112="",AA112="",AB112=""),"",INDEX(APGrid,COUNTIF(APS,"&gt;"&amp;(--TRIM(LEFT(Z112,2))))*5+COUNTIF(APO,"&gt;"&amp;(--TRIM(LEFT(AA112,2))))+1,COUNTIF(APD,"&gt;"&amp;(--TRIM(LEFT(AB112,2))))+1))</f>
        <v/>
      </c>
      <c r="AE112" s="4" t="n"/>
      <c r="AF112" s="4" t="n"/>
      <c r="AH112">
        <f>IFERROR(INDEX(EqTag,_xlfn.AGGREGATE(15,6,(ROW(EqTag)-4)/((EqSys=$D$3)*(EqTag&lt;&gt;"")),ROWS($AH$14:AH112))),"")</f>
        <v/>
      </c>
    </row>
    <row r="113">
      <c r="A113" s="20">
        <f>IF(F113="","",LEFT($D$3,3)&amp;"-"&amp;TEXT(COUNTIF(F$14:F113,"?*"),"00"))</f>
        <v/>
      </c>
      <c r="B113" s="4" t="n"/>
      <c r="C113" s="5">
        <f>IF(B113="","",IFERROR(INDEX(EqTypeCol,MATCH(B113,EqTag,0)),"Tag not in register"))</f>
        <v/>
      </c>
      <c r="D113" s="4" t="n"/>
      <c r="E113" s="4" t="n"/>
      <c r="F113" s="4" t="n"/>
      <c r="G113" s="4" t="n"/>
      <c r="H113" s="4" t="n"/>
      <c r="I113" s="4" t="n"/>
      <c r="J113" s="5">
        <f>_xlfn.TEXTJOIN(CHAR(10),TRUE,IF(G113="","","• "&amp;G113),IF(H113="","","• "&amp;H113),IF(I113="","","• "&amp;I113))</f>
        <v/>
      </c>
      <c r="K113" s="4" t="n"/>
      <c r="L113" s="4" t="n"/>
      <c r="M113" s="4" t="n"/>
      <c r="N113" s="16" t="n"/>
      <c r="O113" s="4" t="n"/>
      <c r="P113" s="16" t="n"/>
      <c r="Q113" s="4" t="n"/>
      <c r="R113" s="16" t="n"/>
      <c r="S113" s="20">
        <f>IF(OR(N113="",P113="",R113=""),"",(--TRIM(LEFT(N113,2)))*(--TRIM(LEFT(P113,2)))*(--TRIM(LEFT(R113,2))))</f>
        <v/>
      </c>
      <c r="T113" s="20">
        <f>IF(OR(N113="",P113="",R113=""),"",INDEX(APGrid,COUNTIF(APS,"&gt;"&amp;(--TRIM(LEFT(N113,2))))*5+COUNTIF(APO,"&gt;"&amp;(--TRIM(LEFT(P113,2))))+1,COUNTIF(APD,"&gt;"&amp;(--TRIM(LEFT(R113,2))))+1))</f>
        <v/>
      </c>
      <c r="U113" s="20">
        <f>IF(S113="","",IF(OR((--TRIM(LEFT(N113,2)))&gt;=SThr,S113&gt;=RPNThr,T113="H"),"Yes","No"))</f>
        <v/>
      </c>
      <c r="V113" s="4" t="n"/>
      <c r="W113" s="4" t="n"/>
      <c r="X113" s="4" t="n"/>
      <c r="Y113" s="29" t="n"/>
      <c r="Z113" s="16" t="n"/>
      <c r="AA113" s="16" t="n"/>
      <c r="AB113" s="16" t="n"/>
      <c r="AC113" s="20">
        <f>IF(OR(Z113="",AA113="",AB113=""),"",(--TRIM(LEFT(Z113,2)))*(--TRIM(LEFT(AA113,2)))*(--TRIM(LEFT(AB113,2))))</f>
        <v/>
      </c>
      <c r="AD113" s="20">
        <f>IF(OR(Z113="",AA113="",AB113=""),"",INDEX(APGrid,COUNTIF(APS,"&gt;"&amp;(--TRIM(LEFT(Z113,2))))*5+COUNTIF(APO,"&gt;"&amp;(--TRIM(LEFT(AA113,2))))+1,COUNTIF(APD,"&gt;"&amp;(--TRIM(LEFT(AB113,2))))+1))</f>
        <v/>
      </c>
      <c r="AE113" s="4" t="n"/>
      <c r="AF113" s="4" t="n"/>
      <c r="AH113">
        <f>IFERROR(INDEX(EqTag,_xlfn.AGGREGATE(15,6,(ROW(EqTag)-4)/((EqSys=$D$3)*(EqTag&lt;&gt;"")),ROWS($AH$14:AH113))),"")</f>
        <v/>
      </c>
    </row>
  </sheetData>
  <mergeCells count="23">
    <mergeCell ref="D3:J3"/>
    <mergeCell ref="J12:M12"/>
    <mergeCell ref="A3:C3"/>
    <mergeCell ref="A11:N11"/>
    <mergeCell ref="A12:F12"/>
    <mergeCell ref="L3:M3"/>
    <mergeCell ref="AE12:AF12"/>
    <mergeCell ref="D6:N6"/>
    <mergeCell ref="A5:C5"/>
    <mergeCell ref="N12:U12"/>
    <mergeCell ref="A8:C8"/>
    <mergeCell ref="V12:Y12"/>
    <mergeCell ref="A4:C4"/>
    <mergeCell ref="Z12:AD12"/>
    <mergeCell ref="D7:N7"/>
    <mergeCell ref="A9:C9"/>
    <mergeCell ref="G12:I12"/>
    <mergeCell ref="D4:N4"/>
    <mergeCell ref="D9:N9"/>
    <mergeCell ref="D8:N8"/>
    <mergeCell ref="A6:C6"/>
    <mergeCell ref="D5:N5"/>
    <mergeCell ref="A7:C7"/>
  </mergeCells>
  <conditionalFormatting sqref="T14:T113">
    <cfRule type="expression" priority="1" dxfId="0">
      <formula>T14="H"</formula>
    </cfRule>
    <cfRule type="expression" priority="3" dxfId="1">
      <formula>T14="M"</formula>
    </cfRule>
    <cfRule type="expression" priority="5" dxfId="2">
      <formula>T14="L"</formula>
    </cfRule>
  </conditionalFormatting>
  <conditionalFormatting sqref="AD14:AD113">
    <cfRule type="expression" priority="2" dxfId="0">
      <formula>AD14="H"</formula>
    </cfRule>
    <cfRule type="expression" priority="4" dxfId="1">
      <formula>AD14="M"</formula>
    </cfRule>
    <cfRule type="expression" priority="6" dxfId="2">
      <formula>AD14="L"</formula>
    </cfRule>
  </conditionalFormatting>
  <conditionalFormatting sqref="U14:U113">
    <cfRule type="expression" priority="7" dxfId="3">
      <formula>U14="Yes"</formula>
    </cfRule>
  </conditionalFormatting>
  <conditionalFormatting sqref="S14:S113">
    <cfRule type="expression" priority="8" dxfId="4">
      <formula>AND(ISNUMBER(S14),S14&gt;=RPNThr)</formula>
    </cfRule>
  </conditionalFormatting>
  <conditionalFormatting sqref="AC14:AC113">
    <cfRule type="expression" priority="9" dxfId="4">
      <formula>AND(ISNUMBER(AC14),AC14&gt;=RPNThr)</formula>
    </cfRule>
  </conditionalFormatting>
  <dataValidations count="13">
    <dataValidation sqref="D3" showDropDown="0" showInputMessage="1" showErrorMessage="1" allowBlank="1" promptTitle="Select" prompt="Choose the system analysed on this sheet" type="list">
      <formula1>=SystemList</formula1>
    </dataValidation>
    <dataValidation sqref="B14:B113" showDropDown="0" showInputMessage="1" showErrorMessage="1" allowBlank="1" errorTitle="Not in list" error="Entry is not in the list – it will be accepted as free text." promptTitle="Select" prompt="Equipment tags of the selected system (from the Equipment Register)" type="list" errorStyle="information">
      <formula1>=OFFSET($AH$14,0,0,MAX(1,COUNTIFS(EqSys,$D$3,EqTag,"?*")),1)</formula1>
    </dataValidation>
    <dataValidation sqref="D14:D113" showDropDown="0" showInputMessage="1" showErrorMessage="1" allowBlank="1" errorTitle="Not in list" error="Entry is not in the list – it will be accepted as free text." promptTitle="Select" prompt="Components for this equipment type – or type your own" type="list" errorStyle="information">
      <formula1>=OFFSET(CompStart,MATCH($C14,CompType,0)-1,0,MAX(1,COUNTIF(CompType,$C14)),1)</formula1>
    </dataValidation>
    <dataValidation sqref="F14:F113" showDropDown="0" showInputMessage="1" showErrorMessage="1" allowBlank="1" errorTitle="Not in list" error="Entry is not in the list – it will be accepted as free text." promptTitle="Select" prompt="Failure modes for this equipment type – or type your own" type="list" errorStyle="information">
      <formula1>=OFFSET(FMStart,MATCH($C14,FMType,0)-1,0,MAX(1,COUNTIF(FMType,$C14)),1)</formula1>
    </dataValidation>
    <dataValidation sqref="G14:I113" showDropDown="0" showInputMessage="1" showErrorMessage="1" allowBlank="1" errorTitle="Not in list" error="Entry is not in the list – it will be accepted as free text." promptTitle="Select" prompt="Failure cause / mechanism – or type your own" type="list" errorStyle="information">
      <formula1>=MechList</formula1>
    </dataValidation>
    <dataValidation sqref="Q14:Q113" showDropDown="0" showInputMessage="1" showErrorMessage="1" allowBlank="1" errorTitle="Not in list" error="Entry is not in the list – it will be accepted as free text." promptTitle="Select" prompt="Detection method – or type your own" type="list" errorStyle="information">
      <formula1>=DetList</formula1>
    </dataValidation>
    <dataValidation sqref="W14:W113" showDropDown="0" showInputMessage="0" showErrorMessage="1" allowBlank="1" errorTitle="Not in list" error="Entry is not in the list – it will be accepted as free text." type="list" errorStyle="information">
      <formula1>=TaskList</formula1>
    </dataValidation>
    <dataValidation sqref="N14:N113" showDropDown="0" showInputMessage="0" showErrorMessage="1" allowBlank="1" type="list">
      <formula1>=SevList</formula1>
    </dataValidation>
    <dataValidation sqref="P14:P113" showDropDown="0" showInputMessage="0" showErrorMessage="1" allowBlank="1" type="list">
      <formula1>=OccList</formula1>
    </dataValidation>
    <dataValidation sqref="R14:R113" showDropDown="0" showInputMessage="0" showErrorMessage="1" allowBlank="1" type="list">
      <formula1>=DetScaleList</formula1>
    </dataValidation>
    <dataValidation sqref="Z14:Z113" showDropDown="0" showInputMessage="0" showErrorMessage="1" allowBlank="1" type="list">
      <formula1>=SevList</formula1>
    </dataValidation>
    <dataValidation sqref="AA14:AA113" showDropDown="0" showInputMessage="0" showErrorMessage="1" allowBlank="1" type="list">
      <formula1>=OccList</formula1>
    </dataValidation>
    <dataValidation sqref="AB14:AB113" showDropDown="0" showInputMessage="0" showErrorMessage="1" allowBlank="1" type="list">
      <formula1>=DetScaleList</formula1>
    </dataValidation>
  </dataValidations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H113"/>
  <sheetViews>
    <sheetView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22" customWidth="1" min="4" max="4"/>
    <col width="26" customWidth="1" min="5" max="5"/>
    <col width="26" customWidth="1" min="6" max="6"/>
    <col outlineLevel="1" width="26" customWidth="1" min="7" max="9"/>
    <col width="38" customWidth="1" min="10" max="10"/>
    <col width="28" customWidth="1" min="11" max="11"/>
    <col width="28" customWidth="1" min="12" max="12"/>
    <col width="32" customWidth="1" min="13" max="13"/>
    <col width="18" customWidth="1" min="14" max="14"/>
    <col width="30" customWidth="1" min="15" max="15"/>
    <col width="18" customWidth="1" min="16" max="16"/>
    <col width="28" customWidth="1" min="17" max="17"/>
    <col width="18" customWidth="1" min="18" max="18"/>
    <col width="7" customWidth="1" min="19" max="19"/>
    <col width="6" customWidth="1" min="20" max="20"/>
    <col width="9" customWidth="1" min="21" max="21"/>
    <col width="34" customWidth="1" min="22" max="22"/>
    <col width="22" customWidth="1" min="23" max="23"/>
    <col width="14" customWidth="1" min="24" max="24"/>
    <col width="12" customWidth="1" min="25" max="25"/>
    <col width="18" customWidth="1" min="26" max="26"/>
    <col width="18" customWidth="1" min="27" max="27"/>
    <col width="18" customWidth="1" min="28" max="28"/>
    <col width="7" customWidth="1" min="29" max="29"/>
    <col width="6" customWidth="1" min="30" max="30"/>
    <col width="12" customWidth="1" min="31" max="31"/>
    <col width="24" customWidth="1" min="32" max="32"/>
    <col hidden="1" width="13" customWidth="1" min="34" max="34"/>
  </cols>
  <sheetData>
    <row r="1">
      <c r="A1" s="22" t="inlineStr">
        <is>
          <t>FMECA WORKSHEET</t>
        </is>
      </c>
      <c r="F1" s="23">
        <f>Cover!B7</f>
        <v/>
      </c>
    </row>
    <row r="3">
      <c r="A3" s="24" t="inlineStr">
        <is>
          <t>Select system ▸</t>
        </is>
      </c>
      <c r="B3" s="8" t="n"/>
      <c r="C3" s="9" t="n"/>
      <c r="D3" s="25" t="inlineStr">
        <is>
          <t>S02 – N2 fire detection, inerting &amp; extinguishing system</t>
        </is>
      </c>
      <c r="K3" s="24" t="inlineStr">
        <is>
          <t>Session date</t>
        </is>
      </c>
      <c r="L3" s="13" t="n"/>
      <c r="N3" s="24" t="inlineStr">
        <is>
          <t>Equipment items</t>
        </is>
      </c>
      <c r="O3" s="20">
        <f>IF($D$3="","",COUNTIFS(EqSys,$D$3,EqTag,"?*"))</f>
        <v/>
      </c>
    </row>
    <row r="4" ht="16" customHeight="1">
      <c r="A4" s="10" t="inlineStr">
        <is>
          <t>System title</t>
        </is>
      </c>
      <c r="D4" s="6">
        <f>IF($D$3="","",IFERROR(INDEX(Systems!$B$5:$B$34,MATCH($D$3,Systems!$C$5:$C$34,0))&amp;"",""))</f>
        <v/>
      </c>
    </row>
    <row r="5" ht="30" customHeight="1">
      <c r="A5" s="10" t="inlineStr">
        <is>
          <t>Function / performance standard</t>
        </is>
      </c>
      <c r="D5" s="6">
        <f>IF($D$3="","",IFERROR(INDEX(Systems!$D$5:$D$34,MATCH($D$3,Systems!$C$5:$C$34,0))&amp;"",""))</f>
        <v/>
      </c>
    </row>
    <row r="6" ht="30" customHeight="1">
      <c r="A6" s="10" t="inlineStr">
        <is>
          <t>Operating context</t>
        </is>
      </c>
      <c r="D6" s="6">
        <f>IF($D$3="","",IFERROR(INDEX(Systems!$E$5:$E$34,MATCH($D$3,Systems!$C$5:$C$34,0))&amp;"",""))</f>
        <v/>
      </c>
    </row>
    <row r="7" ht="30" customHeight="1">
      <c r="A7" s="10" t="inlineStr">
        <is>
          <t>System boundaries</t>
        </is>
      </c>
      <c r="D7" s="6">
        <f>IF($D$3="","",IFERROR(INDEX(Systems!$F$5:$F$34,MATCH($D$3,Systems!$C$5:$C$34,0))&amp;"",""))</f>
        <v/>
      </c>
    </row>
    <row r="8" ht="16" customHeight="1">
      <c r="A8" s="10" t="inlineStr">
        <is>
          <t>P&amp;IDs / drawings</t>
        </is>
      </c>
      <c r="D8" s="6">
        <f>IF($D$3="","",IFERROR(INDEX(Systems!$G$5:$G$34,MATCH($D$3,Systems!$C$5:$C$34,0))&amp;"",""))</f>
        <v/>
      </c>
    </row>
    <row r="9" ht="16" customHeight="1">
      <c r="A9" s="10" t="inlineStr">
        <is>
          <t>Related HAZOP node(s)</t>
        </is>
      </c>
      <c r="D9" s="6">
        <f>IF($D$3="","",IFERROR(INDEX(Systems!$H$5:$H$34,MATCH($D$3,Systems!$C$5:$C$34,0))&amp;"",""))</f>
        <v/>
      </c>
    </row>
    <row r="11" ht="26" customHeight="1">
      <c r="A11" s="26" t="inlineStr">
        <is>
          <t>ONE ROW PER FAILURE MODE. Pick the equipment tag (tags of the selected system), component and failure mode; pick up to 3 causes (listed line by line in 'Failure causes / mechanisms'). Rate S, O, D – RPN, Action Priority and 'Action required?' are calculated. Rate again after the recommended action. Use the [–] button above the Cause columns to collapse them.</t>
        </is>
      </c>
    </row>
    <row r="12">
      <c r="A12" s="7" t="inlineStr">
        <is>
          <t>ITEM / FAILURE MODE</t>
        </is>
      </c>
      <c r="B12" s="27" t="n"/>
      <c r="C12" s="27" t="n"/>
      <c r="D12" s="27" t="n"/>
      <c r="E12" s="27" t="n"/>
      <c r="F12" s="27" t="n"/>
      <c r="G12" s="7" t="inlineStr">
        <is>
          <t>CAUSE PICK-LIST</t>
        </is>
      </c>
      <c r="H12" s="27" t="n"/>
      <c r="I12" s="27" t="n"/>
      <c r="J12" s="7" t="inlineStr">
        <is>
          <t>CAUSES &amp; EFFECTS</t>
        </is>
      </c>
      <c r="K12" s="27" t="n"/>
      <c r="L12" s="27" t="n"/>
      <c r="M12" s="27" t="n"/>
      <c r="N12" s="7" t="inlineStr">
        <is>
          <t>CRITICALITY – CURRENT</t>
        </is>
      </c>
      <c r="O12" s="27" t="n"/>
      <c r="P12" s="27" t="n"/>
      <c r="Q12" s="27" t="n"/>
      <c r="R12" s="27" t="n"/>
      <c r="S12" s="27" t="n"/>
      <c r="T12" s="27" t="n"/>
      <c r="U12" s="27" t="n"/>
      <c r="V12" s="7" t="inlineStr">
        <is>
          <t>RECOMMENDED ACTIONS</t>
        </is>
      </c>
      <c r="W12" s="27" t="n"/>
      <c r="X12" s="27" t="n"/>
      <c r="Y12" s="27" t="n"/>
      <c r="Z12" s="7" t="inlineStr">
        <is>
          <t>CRITICALITY – AFTER ACTION</t>
        </is>
      </c>
      <c r="AA12" s="27" t="n"/>
      <c r="AB12" s="27" t="n"/>
      <c r="AC12" s="27" t="n"/>
      <c r="AD12" s="27" t="n"/>
      <c r="AE12" s="7" t="inlineStr">
        <is>
          <t>LINKS</t>
        </is>
      </c>
      <c r="AF12" s="27" t="n"/>
    </row>
    <row r="13" ht="42" customHeight="1">
      <c r="A13" s="7" t="inlineStr">
        <is>
          <t>Ref</t>
        </is>
      </c>
      <c r="B13" s="7" t="inlineStr">
        <is>
          <t>Equipment tag</t>
        </is>
      </c>
      <c r="C13" s="7" t="inlineStr">
        <is>
          <t>Equipment type (auto)</t>
        </is>
      </c>
      <c r="D13" s="7" t="inlineStr">
        <is>
          <t>Component / maintainable item</t>
        </is>
      </c>
      <c r="E13" s="7" t="inlineStr">
        <is>
          <t>Function of item</t>
        </is>
      </c>
      <c r="F13" s="7" t="inlineStr">
        <is>
          <t>Failure mode</t>
        </is>
      </c>
      <c r="G13" s="28" t="inlineStr">
        <is>
          <t>Cause 1</t>
        </is>
      </c>
      <c r="H13" s="28" t="inlineStr">
        <is>
          <t>Cause 2</t>
        </is>
      </c>
      <c r="I13" s="28" t="inlineStr">
        <is>
          <t>Cause 3</t>
        </is>
      </c>
      <c r="J13" s="7" t="inlineStr">
        <is>
          <t>Failure causes / mechanisms</t>
        </is>
      </c>
      <c r="K13" s="7" t="inlineStr">
        <is>
          <t>Local effect</t>
        </is>
      </c>
      <c r="L13" s="7" t="inlineStr">
        <is>
          <t>System effect</t>
        </is>
      </c>
      <c r="M13" s="7" t="inlineStr">
        <is>
          <t>End effect (safety / environment / production)</t>
        </is>
      </c>
      <c r="N13" s="7" t="inlineStr">
        <is>
          <t>Severity (S)</t>
        </is>
      </c>
      <c r="O13" s="7" t="inlineStr">
        <is>
          <t>Current prevention controls</t>
        </is>
      </c>
      <c r="P13" s="7" t="inlineStr">
        <is>
          <t>Occurrence (O)</t>
        </is>
      </c>
      <c r="Q13" s="7" t="inlineStr">
        <is>
          <t>Current detection method</t>
        </is>
      </c>
      <c r="R13" s="7" t="inlineStr">
        <is>
          <t>Detection (D)</t>
        </is>
      </c>
      <c r="S13" s="7" t="inlineStr">
        <is>
          <t>RPN</t>
        </is>
      </c>
      <c r="T13" s="7" t="inlineStr">
        <is>
          <t>AP</t>
        </is>
      </c>
      <c r="U13" s="7" t="inlineStr">
        <is>
          <t>Action required?</t>
        </is>
      </c>
      <c r="V13" s="7" t="inlineStr">
        <is>
          <t>Recommended action</t>
        </is>
      </c>
      <c r="W13" s="7" t="inlineStr">
        <is>
          <t>Action / task type</t>
        </is>
      </c>
      <c r="X13" s="7" t="inlineStr">
        <is>
          <t>Action by</t>
        </is>
      </c>
      <c r="Y13" s="7" t="inlineStr">
        <is>
          <t>Due date</t>
        </is>
      </c>
      <c r="Z13" s="7" t="inlineStr">
        <is>
          <t>Severity (S)</t>
        </is>
      </c>
      <c r="AA13" s="7" t="inlineStr">
        <is>
          <t>Occurrence (O)</t>
        </is>
      </c>
      <c r="AB13" s="7" t="inlineStr">
        <is>
          <t>Detection (D)</t>
        </is>
      </c>
      <c r="AC13" s="7" t="inlineStr">
        <is>
          <t>RPN after</t>
        </is>
      </c>
      <c r="AD13" s="7" t="inlineStr">
        <is>
          <t>AP after</t>
        </is>
      </c>
      <c r="AE13" s="7" t="inlineStr">
        <is>
          <t>HAZOP ref.</t>
        </is>
      </c>
      <c r="AF13" s="7" t="inlineStr">
        <is>
          <t>Comments</t>
        </is>
      </c>
    </row>
    <row r="14" ht="75" customHeight="1">
      <c r="A14" s="20">
        <f>IF(F14="","",LEFT($D$3,3)&amp;"-"&amp;TEXT(COUNTIF(F$14:F14,"?*"),"00"))</f>
        <v/>
      </c>
      <c r="B14" s="4" t="inlineStr">
        <is>
          <t>XV-210A</t>
        </is>
      </c>
      <c r="C14" s="5">
        <f>IF(B14="","",IFERROR(INDEX(EqTypeCol,MATCH(B14,EqTag,0)),"Tag not in register"))</f>
        <v/>
      </c>
      <c r="D14" s="4" t="inlineStr">
        <is>
          <t>Actuator</t>
        </is>
      </c>
      <c r="E14" s="4" t="inlineStr">
        <is>
          <t>Open on N2 release demand</t>
        </is>
      </c>
      <c r="F14" s="4" t="inlineStr">
        <is>
          <t>FTO – Fail to open on demand</t>
        </is>
      </c>
      <c r="G14" s="4" t="inlineStr">
        <is>
          <t>1.6 Sticking / seizure</t>
        </is>
      </c>
      <c r="H14" s="4" t="inlineStr">
        <is>
          <t>5.2 Contamination (process / lube oil / water)</t>
        </is>
      </c>
      <c r="I14" s="4" t="inlineStr">
        <is>
          <t>5.3 Dust ingress</t>
        </is>
      </c>
      <c r="J14" s="5">
        <f>_xlfn.TEXTJOIN(CHAR(10),TRUE,IF(G14="","","• "&amp;G14),IF(H14="","","• "&amp;H14),IF(I14="","","• "&amp;I14))</f>
        <v/>
      </c>
      <c r="K14" s="4" t="inlineStr">
        <is>
          <t>Release valve A does not open</t>
        </is>
      </c>
      <c r="L14" s="4" t="inlineStr">
        <is>
          <t>N2 delivered through XV-210B only (1oo2); a common cause can fail both valves</t>
        </is>
      </c>
      <c r="M14" s="4" t="inlineStr">
        <is>
          <t>If both valves fail: no N2 inerting – conveyor fire escalates (HAZOP N02-01)</t>
        </is>
      </c>
      <c r="N14" s="16" t="inlineStr">
        <is>
          <t>9 – Hazardous – with warning</t>
        </is>
      </c>
      <c r="O14" s="4" t="inlineStr">
        <is>
          <t>Dry, filtered instrument air; dust-protected actuator</t>
        </is>
      </c>
      <c r="P14" s="16" t="inlineStr">
        <is>
          <t>4 – Low</t>
        </is>
      </c>
      <c r="Q14" s="4" t="inlineStr">
        <is>
          <t>Proof test / function test</t>
        </is>
      </c>
      <c r="R14" s="16" t="inlineStr">
        <is>
          <t>8 – Remote</t>
        </is>
      </c>
      <c r="S14" s="20">
        <f>IF(OR(N14="",P14="",R14=""),"",(--TRIM(LEFT(N14,2)))*(--TRIM(LEFT(P14,2)))*(--TRIM(LEFT(R14,2))))</f>
        <v/>
      </c>
      <c r="T14" s="20">
        <f>IF(OR(N14="",P14="",R14=""),"",INDEX(APGrid,COUNTIF(APS,"&gt;"&amp;(--TRIM(LEFT(N14,2))))*5+COUNTIF(APO,"&gt;"&amp;(--TRIM(LEFT(P14,2))))+1,COUNTIF(APD,"&gt;"&amp;(--TRIM(LEFT(R14,2))))+1))</f>
        <v/>
      </c>
      <c r="U14" s="20">
        <f>IF(S14="","",IF(OR((--TRIM(LEFT(N14,2)))&gt;=SThr,S14&gt;=RPNThr,T14="H"),"Yes","No"))</f>
        <v/>
      </c>
      <c r="V14" s="4" t="inlineStr">
        <is>
          <t>Six-monthly function test of both valves (staggered); partial-stroke test where possible; model as fault-tree basic event with CCF β = 10 %</t>
        </is>
      </c>
      <c r="W14" s="4" t="inlineStr">
        <is>
          <t>Failure-finding / proof test</t>
        </is>
      </c>
      <c r="X14" s="4" t="inlineStr">
        <is>
          <t>Instrument engineer</t>
        </is>
      </c>
      <c r="Y14" s="29" t="n"/>
      <c r="Z14" s="16" t="inlineStr">
        <is>
          <t>9 – Hazardous – with warning</t>
        </is>
      </c>
      <c r="AA14" s="16" t="inlineStr">
        <is>
          <t>3 – Low</t>
        </is>
      </c>
      <c r="AB14" s="16" t="inlineStr">
        <is>
          <t>5 – Moderate</t>
        </is>
      </c>
      <c r="AC14" s="20">
        <f>IF(OR(Z14="",AA14="",AB14=""),"",(--TRIM(LEFT(Z14,2)))*(--TRIM(LEFT(AA14,2)))*(--TRIM(LEFT(AB14,2))))</f>
        <v/>
      </c>
      <c r="AD14" s="20">
        <f>IF(OR(Z14="",AA14="",AB14=""),"",INDEX(APGrid,COUNTIF(APS,"&gt;"&amp;(--TRIM(LEFT(Z14,2))))*5+COUNTIF(APO,"&gt;"&amp;(--TRIM(LEFT(AA14,2))))+1,COUNTIF(APD,"&gt;"&amp;(--TRIM(LEFT(AB14,2))))+1))</f>
        <v/>
      </c>
      <c r="AE14" s="4" t="inlineStr">
        <is>
          <t>HAZOP N02-01</t>
        </is>
      </c>
      <c r="AF14" s="4" t="n"/>
      <c r="AG14" s="30" t="inlineStr">
        <is>
          <t>◂ Example row – delete before use</t>
        </is>
      </c>
      <c r="AH14">
        <f>IFERROR(INDEX(EqTag,_xlfn.AGGREGATE(15,6,(ROW(EqTag)-4)/((EqSys=$D$3)*(EqTag&lt;&gt;"")),ROWS($AH$14:AH14))),"")</f>
        <v/>
      </c>
    </row>
    <row r="15">
      <c r="A15" s="20">
        <f>IF(F15="","",LEFT($D$3,3)&amp;"-"&amp;TEXT(COUNTIF(F$14:F15,"?*"),"00"))</f>
        <v/>
      </c>
      <c r="B15" s="4" t="n"/>
      <c r="C15" s="5">
        <f>IF(B15="","",IFERROR(INDEX(EqTypeCol,MATCH(B15,EqTag,0)),"Tag not in register"))</f>
        <v/>
      </c>
      <c r="D15" s="4" t="n"/>
      <c r="E15" s="4" t="n"/>
      <c r="F15" s="4" t="n"/>
      <c r="G15" s="4" t="n"/>
      <c r="H15" s="4" t="n"/>
      <c r="I15" s="4" t="n"/>
      <c r="J15" s="5">
        <f>_xlfn.TEXTJOIN(CHAR(10),TRUE,IF(G15="","","• "&amp;G15),IF(H15="","","• "&amp;H15),IF(I15="","","• "&amp;I15))</f>
        <v/>
      </c>
      <c r="K15" s="4" t="n"/>
      <c r="L15" s="4" t="n"/>
      <c r="M15" s="4" t="n"/>
      <c r="N15" s="16" t="n"/>
      <c r="O15" s="4" t="n"/>
      <c r="P15" s="16" t="n"/>
      <c r="Q15" s="4" t="n"/>
      <c r="R15" s="16" t="n"/>
      <c r="S15" s="20">
        <f>IF(OR(N15="",P15="",R15=""),"",(--TRIM(LEFT(N15,2)))*(--TRIM(LEFT(P15,2)))*(--TRIM(LEFT(R15,2))))</f>
        <v/>
      </c>
      <c r="T15" s="20">
        <f>IF(OR(N15="",P15="",R15=""),"",INDEX(APGrid,COUNTIF(APS,"&gt;"&amp;(--TRIM(LEFT(N15,2))))*5+COUNTIF(APO,"&gt;"&amp;(--TRIM(LEFT(P15,2))))+1,COUNTIF(APD,"&gt;"&amp;(--TRIM(LEFT(R15,2))))+1))</f>
        <v/>
      </c>
      <c r="U15" s="20">
        <f>IF(S15="","",IF(OR((--TRIM(LEFT(N15,2)))&gt;=SThr,S15&gt;=RPNThr,T15="H"),"Yes","No"))</f>
        <v/>
      </c>
      <c r="V15" s="4" t="n"/>
      <c r="W15" s="4" t="n"/>
      <c r="X15" s="4" t="n"/>
      <c r="Y15" s="29" t="n"/>
      <c r="Z15" s="16" t="n"/>
      <c r="AA15" s="16" t="n"/>
      <c r="AB15" s="16" t="n"/>
      <c r="AC15" s="20">
        <f>IF(OR(Z15="",AA15="",AB15=""),"",(--TRIM(LEFT(Z15,2)))*(--TRIM(LEFT(AA15,2)))*(--TRIM(LEFT(AB15,2))))</f>
        <v/>
      </c>
      <c r="AD15" s="20">
        <f>IF(OR(Z15="",AA15="",AB15=""),"",INDEX(APGrid,COUNTIF(APS,"&gt;"&amp;(--TRIM(LEFT(Z15,2))))*5+COUNTIF(APO,"&gt;"&amp;(--TRIM(LEFT(AA15,2))))+1,COUNTIF(APD,"&gt;"&amp;(--TRIM(LEFT(AB15,2))))+1))</f>
        <v/>
      </c>
      <c r="AE15" s="4" t="n"/>
      <c r="AF15" s="4" t="n"/>
      <c r="AH15">
        <f>IFERROR(INDEX(EqTag,_xlfn.AGGREGATE(15,6,(ROW(EqTag)-4)/((EqSys=$D$3)*(EqTag&lt;&gt;"")),ROWS($AH$14:AH15))),"")</f>
        <v/>
      </c>
    </row>
    <row r="16">
      <c r="A16" s="20">
        <f>IF(F16="","",LEFT($D$3,3)&amp;"-"&amp;TEXT(COUNTIF(F$14:F16,"?*"),"00"))</f>
        <v/>
      </c>
      <c r="B16" s="4" t="n"/>
      <c r="C16" s="5">
        <f>IF(B16="","",IFERROR(INDEX(EqTypeCol,MATCH(B16,EqTag,0)),"Tag not in register"))</f>
        <v/>
      </c>
      <c r="D16" s="4" t="n"/>
      <c r="E16" s="4" t="n"/>
      <c r="F16" s="4" t="n"/>
      <c r="G16" s="4" t="n"/>
      <c r="H16" s="4" t="n"/>
      <c r="I16" s="4" t="n"/>
      <c r="J16" s="5">
        <f>_xlfn.TEXTJOIN(CHAR(10),TRUE,IF(G16="","","• "&amp;G16),IF(H16="","","• "&amp;H16),IF(I16="","","• "&amp;I16))</f>
        <v/>
      </c>
      <c r="K16" s="4" t="n"/>
      <c r="L16" s="4" t="n"/>
      <c r="M16" s="4" t="n"/>
      <c r="N16" s="16" t="n"/>
      <c r="O16" s="4" t="n"/>
      <c r="P16" s="16" t="n"/>
      <c r="Q16" s="4" t="n"/>
      <c r="R16" s="16" t="n"/>
      <c r="S16" s="20">
        <f>IF(OR(N16="",P16="",R16=""),"",(--TRIM(LEFT(N16,2)))*(--TRIM(LEFT(P16,2)))*(--TRIM(LEFT(R16,2))))</f>
        <v/>
      </c>
      <c r="T16" s="20">
        <f>IF(OR(N16="",P16="",R16=""),"",INDEX(APGrid,COUNTIF(APS,"&gt;"&amp;(--TRIM(LEFT(N16,2))))*5+COUNTIF(APO,"&gt;"&amp;(--TRIM(LEFT(P16,2))))+1,COUNTIF(APD,"&gt;"&amp;(--TRIM(LEFT(R16,2))))+1))</f>
        <v/>
      </c>
      <c r="U16" s="20">
        <f>IF(S16="","",IF(OR((--TRIM(LEFT(N16,2)))&gt;=SThr,S16&gt;=RPNThr,T16="H"),"Yes","No"))</f>
        <v/>
      </c>
      <c r="V16" s="4" t="n"/>
      <c r="W16" s="4" t="n"/>
      <c r="X16" s="4" t="n"/>
      <c r="Y16" s="29" t="n"/>
      <c r="Z16" s="16" t="n"/>
      <c r="AA16" s="16" t="n"/>
      <c r="AB16" s="16" t="n"/>
      <c r="AC16" s="20">
        <f>IF(OR(Z16="",AA16="",AB16=""),"",(--TRIM(LEFT(Z16,2)))*(--TRIM(LEFT(AA16,2)))*(--TRIM(LEFT(AB16,2))))</f>
        <v/>
      </c>
      <c r="AD16" s="20">
        <f>IF(OR(Z16="",AA16="",AB16=""),"",INDEX(APGrid,COUNTIF(APS,"&gt;"&amp;(--TRIM(LEFT(Z16,2))))*5+COUNTIF(APO,"&gt;"&amp;(--TRIM(LEFT(AA16,2))))+1,COUNTIF(APD,"&gt;"&amp;(--TRIM(LEFT(AB16,2))))+1))</f>
        <v/>
      </c>
      <c r="AE16" s="4" t="n"/>
      <c r="AF16" s="4" t="n"/>
      <c r="AH16">
        <f>IFERROR(INDEX(EqTag,_xlfn.AGGREGATE(15,6,(ROW(EqTag)-4)/((EqSys=$D$3)*(EqTag&lt;&gt;"")),ROWS($AH$14:AH16))),"")</f>
        <v/>
      </c>
    </row>
    <row r="17">
      <c r="A17" s="20">
        <f>IF(F17="","",LEFT($D$3,3)&amp;"-"&amp;TEXT(COUNTIF(F$14:F17,"?*"),"00"))</f>
        <v/>
      </c>
      <c r="B17" s="4" t="n"/>
      <c r="C17" s="5">
        <f>IF(B17="","",IFERROR(INDEX(EqTypeCol,MATCH(B17,EqTag,0)),"Tag not in register"))</f>
        <v/>
      </c>
      <c r="D17" s="4" t="n"/>
      <c r="E17" s="4" t="n"/>
      <c r="F17" s="4" t="n"/>
      <c r="G17" s="4" t="n"/>
      <c r="H17" s="4" t="n"/>
      <c r="I17" s="4" t="n"/>
      <c r="J17" s="5">
        <f>_xlfn.TEXTJOIN(CHAR(10),TRUE,IF(G17="","","• "&amp;G17),IF(H17="","","• "&amp;H17),IF(I17="","","• "&amp;I17))</f>
        <v/>
      </c>
      <c r="K17" s="4" t="n"/>
      <c r="L17" s="4" t="n"/>
      <c r="M17" s="4" t="n"/>
      <c r="N17" s="16" t="n"/>
      <c r="O17" s="4" t="n"/>
      <c r="P17" s="16" t="n"/>
      <c r="Q17" s="4" t="n"/>
      <c r="R17" s="16" t="n"/>
      <c r="S17" s="20">
        <f>IF(OR(N17="",P17="",R17=""),"",(--TRIM(LEFT(N17,2)))*(--TRIM(LEFT(P17,2)))*(--TRIM(LEFT(R17,2))))</f>
        <v/>
      </c>
      <c r="T17" s="20">
        <f>IF(OR(N17="",P17="",R17=""),"",INDEX(APGrid,COUNTIF(APS,"&gt;"&amp;(--TRIM(LEFT(N17,2))))*5+COUNTIF(APO,"&gt;"&amp;(--TRIM(LEFT(P17,2))))+1,COUNTIF(APD,"&gt;"&amp;(--TRIM(LEFT(R17,2))))+1))</f>
        <v/>
      </c>
      <c r="U17" s="20">
        <f>IF(S17="","",IF(OR((--TRIM(LEFT(N17,2)))&gt;=SThr,S17&gt;=RPNThr,T17="H"),"Yes","No"))</f>
        <v/>
      </c>
      <c r="V17" s="4" t="n"/>
      <c r="W17" s="4" t="n"/>
      <c r="X17" s="4" t="n"/>
      <c r="Y17" s="29" t="n"/>
      <c r="Z17" s="16" t="n"/>
      <c r="AA17" s="16" t="n"/>
      <c r="AB17" s="16" t="n"/>
      <c r="AC17" s="20">
        <f>IF(OR(Z17="",AA17="",AB17=""),"",(--TRIM(LEFT(Z17,2)))*(--TRIM(LEFT(AA17,2)))*(--TRIM(LEFT(AB17,2))))</f>
        <v/>
      </c>
      <c r="AD17" s="20">
        <f>IF(OR(Z17="",AA17="",AB17=""),"",INDEX(APGrid,COUNTIF(APS,"&gt;"&amp;(--TRIM(LEFT(Z17,2))))*5+COUNTIF(APO,"&gt;"&amp;(--TRIM(LEFT(AA17,2))))+1,COUNTIF(APD,"&gt;"&amp;(--TRIM(LEFT(AB17,2))))+1))</f>
        <v/>
      </c>
      <c r="AE17" s="4" t="n"/>
      <c r="AF17" s="4" t="n"/>
      <c r="AH17">
        <f>IFERROR(INDEX(EqTag,_xlfn.AGGREGATE(15,6,(ROW(EqTag)-4)/((EqSys=$D$3)*(EqTag&lt;&gt;"")),ROWS($AH$14:AH17))),"")</f>
        <v/>
      </c>
    </row>
    <row r="18">
      <c r="A18" s="20">
        <f>IF(F18="","",LEFT($D$3,3)&amp;"-"&amp;TEXT(COUNTIF(F$14:F18,"?*"),"00"))</f>
        <v/>
      </c>
      <c r="B18" s="4" t="n"/>
      <c r="C18" s="5">
        <f>IF(B18="","",IFERROR(INDEX(EqTypeCol,MATCH(B18,EqTag,0)),"Tag not in register"))</f>
        <v/>
      </c>
      <c r="D18" s="4" t="n"/>
      <c r="E18" s="4" t="n"/>
      <c r="F18" s="4" t="n"/>
      <c r="G18" s="4" t="n"/>
      <c r="H18" s="4" t="n"/>
      <c r="I18" s="4" t="n"/>
      <c r="J18" s="5">
        <f>_xlfn.TEXTJOIN(CHAR(10),TRUE,IF(G18="","","• "&amp;G18),IF(H18="","","• "&amp;H18),IF(I18="","","• "&amp;I18))</f>
        <v/>
      </c>
      <c r="K18" s="4" t="n"/>
      <c r="L18" s="4" t="n"/>
      <c r="M18" s="4" t="n"/>
      <c r="N18" s="16" t="n"/>
      <c r="O18" s="4" t="n"/>
      <c r="P18" s="16" t="n"/>
      <c r="Q18" s="4" t="n"/>
      <c r="R18" s="16" t="n"/>
      <c r="S18" s="20">
        <f>IF(OR(N18="",P18="",R18=""),"",(--TRIM(LEFT(N18,2)))*(--TRIM(LEFT(P18,2)))*(--TRIM(LEFT(R18,2))))</f>
        <v/>
      </c>
      <c r="T18" s="20">
        <f>IF(OR(N18="",P18="",R18=""),"",INDEX(APGrid,COUNTIF(APS,"&gt;"&amp;(--TRIM(LEFT(N18,2))))*5+COUNTIF(APO,"&gt;"&amp;(--TRIM(LEFT(P18,2))))+1,COUNTIF(APD,"&gt;"&amp;(--TRIM(LEFT(R18,2))))+1))</f>
        <v/>
      </c>
      <c r="U18" s="20">
        <f>IF(S18="","",IF(OR((--TRIM(LEFT(N18,2)))&gt;=SThr,S18&gt;=RPNThr,T18="H"),"Yes","No"))</f>
        <v/>
      </c>
      <c r="V18" s="4" t="n"/>
      <c r="W18" s="4" t="n"/>
      <c r="X18" s="4" t="n"/>
      <c r="Y18" s="29" t="n"/>
      <c r="Z18" s="16" t="n"/>
      <c r="AA18" s="16" t="n"/>
      <c r="AB18" s="16" t="n"/>
      <c r="AC18" s="20">
        <f>IF(OR(Z18="",AA18="",AB18=""),"",(--TRIM(LEFT(Z18,2)))*(--TRIM(LEFT(AA18,2)))*(--TRIM(LEFT(AB18,2))))</f>
        <v/>
      </c>
      <c r="AD18" s="20">
        <f>IF(OR(Z18="",AA18="",AB18=""),"",INDEX(APGrid,COUNTIF(APS,"&gt;"&amp;(--TRIM(LEFT(Z18,2))))*5+COUNTIF(APO,"&gt;"&amp;(--TRIM(LEFT(AA18,2))))+1,COUNTIF(APD,"&gt;"&amp;(--TRIM(LEFT(AB18,2))))+1))</f>
        <v/>
      </c>
      <c r="AE18" s="4" t="n"/>
      <c r="AF18" s="4" t="n"/>
      <c r="AH18">
        <f>IFERROR(INDEX(EqTag,_xlfn.AGGREGATE(15,6,(ROW(EqTag)-4)/((EqSys=$D$3)*(EqTag&lt;&gt;"")),ROWS($AH$14:AH18))),"")</f>
        <v/>
      </c>
    </row>
    <row r="19">
      <c r="A19" s="20">
        <f>IF(F19="","",LEFT($D$3,3)&amp;"-"&amp;TEXT(COUNTIF(F$14:F19,"?*"),"00"))</f>
        <v/>
      </c>
      <c r="B19" s="4" t="n"/>
      <c r="C19" s="5">
        <f>IF(B19="","",IFERROR(INDEX(EqTypeCol,MATCH(B19,EqTag,0)),"Tag not in register"))</f>
        <v/>
      </c>
      <c r="D19" s="4" t="n"/>
      <c r="E19" s="4" t="n"/>
      <c r="F19" s="4" t="n"/>
      <c r="G19" s="4" t="n"/>
      <c r="H19" s="4" t="n"/>
      <c r="I19" s="4" t="n"/>
      <c r="J19" s="5">
        <f>_xlfn.TEXTJOIN(CHAR(10),TRUE,IF(G19="","","• "&amp;G19),IF(H19="","","• "&amp;H19),IF(I19="","","• "&amp;I19))</f>
        <v/>
      </c>
      <c r="K19" s="4" t="n"/>
      <c r="L19" s="4" t="n"/>
      <c r="M19" s="4" t="n"/>
      <c r="N19" s="16" t="n"/>
      <c r="O19" s="4" t="n"/>
      <c r="P19" s="16" t="n"/>
      <c r="Q19" s="4" t="n"/>
      <c r="R19" s="16" t="n"/>
      <c r="S19" s="20">
        <f>IF(OR(N19="",P19="",R19=""),"",(--TRIM(LEFT(N19,2)))*(--TRIM(LEFT(P19,2)))*(--TRIM(LEFT(R19,2))))</f>
        <v/>
      </c>
      <c r="T19" s="20">
        <f>IF(OR(N19="",P19="",R19=""),"",INDEX(APGrid,COUNTIF(APS,"&gt;"&amp;(--TRIM(LEFT(N19,2))))*5+COUNTIF(APO,"&gt;"&amp;(--TRIM(LEFT(P19,2))))+1,COUNTIF(APD,"&gt;"&amp;(--TRIM(LEFT(R19,2))))+1))</f>
        <v/>
      </c>
      <c r="U19" s="20">
        <f>IF(S19="","",IF(OR((--TRIM(LEFT(N19,2)))&gt;=SThr,S19&gt;=RPNThr,T19="H"),"Yes","No"))</f>
        <v/>
      </c>
      <c r="V19" s="4" t="n"/>
      <c r="W19" s="4" t="n"/>
      <c r="X19" s="4" t="n"/>
      <c r="Y19" s="29" t="n"/>
      <c r="Z19" s="16" t="n"/>
      <c r="AA19" s="16" t="n"/>
      <c r="AB19" s="16" t="n"/>
      <c r="AC19" s="20">
        <f>IF(OR(Z19="",AA19="",AB19=""),"",(--TRIM(LEFT(Z19,2)))*(--TRIM(LEFT(AA19,2)))*(--TRIM(LEFT(AB19,2))))</f>
        <v/>
      </c>
      <c r="AD19" s="20">
        <f>IF(OR(Z19="",AA19="",AB19=""),"",INDEX(APGrid,COUNTIF(APS,"&gt;"&amp;(--TRIM(LEFT(Z19,2))))*5+COUNTIF(APO,"&gt;"&amp;(--TRIM(LEFT(AA19,2))))+1,COUNTIF(APD,"&gt;"&amp;(--TRIM(LEFT(AB19,2))))+1))</f>
        <v/>
      </c>
      <c r="AE19" s="4" t="n"/>
      <c r="AF19" s="4" t="n"/>
      <c r="AH19">
        <f>IFERROR(INDEX(EqTag,_xlfn.AGGREGATE(15,6,(ROW(EqTag)-4)/((EqSys=$D$3)*(EqTag&lt;&gt;"")),ROWS($AH$14:AH19))),"")</f>
        <v/>
      </c>
    </row>
    <row r="20">
      <c r="A20" s="20">
        <f>IF(F20="","",LEFT($D$3,3)&amp;"-"&amp;TEXT(COUNTIF(F$14:F20,"?*"),"00"))</f>
        <v/>
      </c>
      <c r="B20" s="4" t="n"/>
      <c r="C20" s="5">
        <f>IF(B20="","",IFERROR(INDEX(EqTypeCol,MATCH(B20,EqTag,0)),"Tag not in register"))</f>
        <v/>
      </c>
      <c r="D20" s="4" t="n"/>
      <c r="E20" s="4" t="n"/>
      <c r="F20" s="4" t="n"/>
      <c r="G20" s="4" t="n"/>
      <c r="H20" s="4" t="n"/>
      <c r="I20" s="4" t="n"/>
      <c r="J20" s="5">
        <f>_xlfn.TEXTJOIN(CHAR(10),TRUE,IF(G20="","","• "&amp;G20),IF(H20="","","• "&amp;H20),IF(I20="","","• "&amp;I20))</f>
        <v/>
      </c>
      <c r="K20" s="4" t="n"/>
      <c r="L20" s="4" t="n"/>
      <c r="M20" s="4" t="n"/>
      <c r="N20" s="16" t="n"/>
      <c r="O20" s="4" t="n"/>
      <c r="P20" s="16" t="n"/>
      <c r="Q20" s="4" t="n"/>
      <c r="R20" s="16" t="n"/>
      <c r="S20" s="20">
        <f>IF(OR(N20="",P20="",R20=""),"",(--TRIM(LEFT(N20,2)))*(--TRIM(LEFT(P20,2)))*(--TRIM(LEFT(R20,2))))</f>
        <v/>
      </c>
      <c r="T20" s="20">
        <f>IF(OR(N20="",P20="",R20=""),"",INDEX(APGrid,COUNTIF(APS,"&gt;"&amp;(--TRIM(LEFT(N20,2))))*5+COUNTIF(APO,"&gt;"&amp;(--TRIM(LEFT(P20,2))))+1,COUNTIF(APD,"&gt;"&amp;(--TRIM(LEFT(R20,2))))+1))</f>
        <v/>
      </c>
      <c r="U20" s="20">
        <f>IF(S20="","",IF(OR((--TRIM(LEFT(N20,2)))&gt;=SThr,S20&gt;=RPNThr,T20="H"),"Yes","No"))</f>
        <v/>
      </c>
      <c r="V20" s="4" t="n"/>
      <c r="W20" s="4" t="n"/>
      <c r="X20" s="4" t="n"/>
      <c r="Y20" s="29" t="n"/>
      <c r="Z20" s="16" t="n"/>
      <c r="AA20" s="16" t="n"/>
      <c r="AB20" s="16" t="n"/>
      <c r="AC20" s="20">
        <f>IF(OR(Z20="",AA20="",AB20=""),"",(--TRIM(LEFT(Z20,2)))*(--TRIM(LEFT(AA20,2)))*(--TRIM(LEFT(AB20,2))))</f>
        <v/>
      </c>
      <c r="AD20" s="20">
        <f>IF(OR(Z20="",AA20="",AB20=""),"",INDEX(APGrid,COUNTIF(APS,"&gt;"&amp;(--TRIM(LEFT(Z20,2))))*5+COUNTIF(APO,"&gt;"&amp;(--TRIM(LEFT(AA20,2))))+1,COUNTIF(APD,"&gt;"&amp;(--TRIM(LEFT(AB20,2))))+1))</f>
        <v/>
      </c>
      <c r="AE20" s="4" t="n"/>
      <c r="AF20" s="4" t="n"/>
      <c r="AH20">
        <f>IFERROR(INDEX(EqTag,_xlfn.AGGREGATE(15,6,(ROW(EqTag)-4)/((EqSys=$D$3)*(EqTag&lt;&gt;"")),ROWS($AH$14:AH20))),"")</f>
        <v/>
      </c>
    </row>
    <row r="21">
      <c r="A21" s="20">
        <f>IF(F21="","",LEFT($D$3,3)&amp;"-"&amp;TEXT(COUNTIF(F$14:F21,"?*"),"00"))</f>
        <v/>
      </c>
      <c r="B21" s="4" t="n"/>
      <c r="C21" s="5">
        <f>IF(B21="","",IFERROR(INDEX(EqTypeCol,MATCH(B21,EqTag,0)),"Tag not in register"))</f>
        <v/>
      </c>
      <c r="D21" s="4" t="n"/>
      <c r="E21" s="4" t="n"/>
      <c r="F21" s="4" t="n"/>
      <c r="G21" s="4" t="n"/>
      <c r="H21" s="4" t="n"/>
      <c r="I21" s="4" t="n"/>
      <c r="J21" s="5">
        <f>_xlfn.TEXTJOIN(CHAR(10),TRUE,IF(G21="","","• "&amp;G21),IF(H21="","","• "&amp;H21),IF(I21="","","• "&amp;I21))</f>
        <v/>
      </c>
      <c r="K21" s="4" t="n"/>
      <c r="L21" s="4" t="n"/>
      <c r="M21" s="4" t="n"/>
      <c r="N21" s="16" t="n"/>
      <c r="O21" s="4" t="n"/>
      <c r="P21" s="16" t="n"/>
      <c r="Q21" s="4" t="n"/>
      <c r="R21" s="16" t="n"/>
      <c r="S21" s="20">
        <f>IF(OR(N21="",P21="",R21=""),"",(--TRIM(LEFT(N21,2)))*(--TRIM(LEFT(P21,2)))*(--TRIM(LEFT(R21,2))))</f>
        <v/>
      </c>
      <c r="T21" s="20">
        <f>IF(OR(N21="",P21="",R21=""),"",INDEX(APGrid,COUNTIF(APS,"&gt;"&amp;(--TRIM(LEFT(N21,2))))*5+COUNTIF(APO,"&gt;"&amp;(--TRIM(LEFT(P21,2))))+1,COUNTIF(APD,"&gt;"&amp;(--TRIM(LEFT(R21,2))))+1))</f>
        <v/>
      </c>
      <c r="U21" s="20">
        <f>IF(S21="","",IF(OR((--TRIM(LEFT(N21,2)))&gt;=SThr,S21&gt;=RPNThr,T21="H"),"Yes","No"))</f>
        <v/>
      </c>
      <c r="V21" s="4" t="n"/>
      <c r="W21" s="4" t="n"/>
      <c r="X21" s="4" t="n"/>
      <c r="Y21" s="29" t="n"/>
      <c r="Z21" s="16" t="n"/>
      <c r="AA21" s="16" t="n"/>
      <c r="AB21" s="16" t="n"/>
      <c r="AC21" s="20">
        <f>IF(OR(Z21="",AA21="",AB21=""),"",(--TRIM(LEFT(Z21,2)))*(--TRIM(LEFT(AA21,2)))*(--TRIM(LEFT(AB21,2))))</f>
        <v/>
      </c>
      <c r="AD21" s="20">
        <f>IF(OR(Z21="",AA21="",AB21=""),"",INDEX(APGrid,COUNTIF(APS,"&gt;"&amp;(--TRIM(LEFT(Z21,2))))*5+COUNTIF(APO,"&gt;"&amp;(--TRIM(LEFT(AA21,2))))+1,COUNTIF(APD,"&gt;"&amp;(--TRIM(LEFT(AB21,2))))+1))</f>
        <v/>
      </c>
      <c r="AE21" s="4" t="n"/>
      <c r="AF21" s="4" t="n"/>
      <c r="AH21">
        <f>IFERROR(INDEX(EqTag,_xlfn.AGGREGATE(15,6,(ROW(EqTag)-4)/((EqSys=$D$3)*(EqTag&lt;&gt;"")),ROWS($AH$14:AH21))),"")</f>
        <v/>
      </c>
    </row>
    <row r="22">
      <c r="A22" s="20">
        <f>IF(F22="","",LEFT($D$3,3)&amp;"-"&amp;TEXT(COUNTIF(F$14:F22,"?*"),"00"))</f>
        <v/>
      </c>
      <c r="B22" s="4" t="n"/>
      <c r="C22" s="5">
        <f>IF(B22="","",IFERROR(INDEX(EqTypeCol,MATCH(B22,EqTag,0)),"Tag not in register"))</f>
        <v/>
      </c>
      <c r="D22" s="4" t="n"/>
      <c r="E22" s="4" t="n"/>
      <c r="F22" s="4" t="n"/>
      <c r="G22" s="4" t="n"/>
      <c r="H22" s="4" t="n"/>
      <c r="I22" s="4" t="n"/>
      <c r="J22" s="5">
        <f>_xlfn.TEXTJOIN(CHAR(10),TRUE,IF(G22="","","• "&amp;G22),IF(H22="","","• "&amp;H22),IF(I22="","","• "&amp;I22))</f>
        <v/>
      </c>
      <c r="K22" s="4" t="n"/>
      <c r="L22" s="4" t="n"/>
      <c r="M22" s="4" t="n"/>
      <c r="N22" s="16" t="n"/>
      <c r="O22" s="4" t="n"/>
      <c r="P22" s="16" t="n"/>
      <c r="Q22" s="4" t="n"/>
      <c r="R22" s="16" t="n"/>
      <c r="S22" s="20">
        <f>IF(OR(N22="",P22="",R22=""),"",(--TRIM(LEFT(N22,2)))*(--TRIM(LEFT(P22,2)))*(--TRIM(LEFT(R22,2))))</f>
        <v/>
      </c>
      <c r="T22" s="20">
        <f>IF(OR(N22="",P22="",R22=""),"",INDEX(APGrid,COUNTIF(APS,"&gt;"&amp;(--TRIM(LEFT(N22,2))))*5+COUNTIF(APO,"&gt;"&amp;(--TRIM(LEFT(P22,2))))+1,COUNTIF(APD,"&gt;"&amp;(--TRIM(LEFT(R22,2))))+1))</f>
        <v/>
      </c>
      <c r="U22" s="20">
        <f>IF(S22="","",IF(OR((--TRIM(LEFT(N22,2)))&gt;=SThr,S22&gt;=RPNThr,T22="H"),"Yes","No"))</f>
        <v/>
      </c>
      <c r="V22" s="4" t="n"/>
      <c r="W22" s="4" t="n"/>
      <c r="X22" s="4" t="n"/>
      <c r="Y22" s="29" t="n"/>
      <c r="Z22" s="16" t="n"/>
      <c r="AA22" s="16" t="n"/>
      <c r="AB22" s="16" t="n"/>
      <c r="AC22" s="20">
        <f>IF(OR(Z22="",AA22="",AB22=""),"",(--TRIM(LEFT(Z22,2)))*(--TRIM(LEFT(AA22,2)))*(--TRIM(LEFT(AB22,2))))</f>
        <v/>
      </c>
      <c r="AD22" s="20">
        <f>IF(OR(Z22="",AA22="",AB22=""),"",INDEX(APGrid,COUNTIF(APS,"&gt;"&amp;(--TRIM(LEFT(Z22,2))))*5+COUNTIF(APO,"&gt;"&amp;(--TRIM(LEFT(AA22,2))))+1,COUNTIF(APD,"&gt;"&amp;(--TRIM(LEFT(AB22,2))))+1))</f>
        <v/>
      </c>
      <c r="AE22" s="4" t="n"/>
      <c r="AF22" s="4" t="n"/>
      <c r="AH22">
        <f>IFERROR(INDEX(EqTag,_xlfn.AGGREGATE(15,6,(ROW(EqTag)-4)/((EqSys=$D$3)*(EqTag&lt;&gt;"")),ROWS($AH$14:AH22))),"")</f>
        <v/>
      </c>
    </row>
    <row r="23">
      <c r="A23" s="20">
        <f>IF(F23="","",LEFT($D$3,3)&amp;"-"&amp;TEXT(COUNTIF(F$14:F23,"?*"),"00"))</f>
        <v/>
      </c>
      <c r="B23" s="4" t="n"/>
      <c r="C23" s="5">
        <f>IF(B23="","",IFERROR(INDEX(EqTypeCol,MATCH(B23,EqTag,0)),"Tag not in register"))</f>
        <v/>
      </c>
      <c r="D23" s="4" t="n"/>
      <c r="E23" s="4" t="n"/>
      <c r="F23" s="4" t="n"/>
      <c r="G23" s="4" t="n"/>
      <c r="H23" s="4" t="n"/>
      <c r="I23" s="4" t="n"/>
      <c r="J23" s="5">
        <f>_xlfn.TEXTJOIN(CHAR(10),TRUE,IF(G23="","","• "&amp;G23),IF(H23="","","• "&amp;H23),IF(I23="","","• "&amp;I23))</f>
        <v/>
      </c>
      <c r="K23" s="4" t="n"/>
      <c r="L23" s="4" t="n"/>
      <c r="M23" s="4" t="n"/>
      <c r="N23" s="16" t="n"/>
      <c r="O23" s="4" t="n"/>
      <c r="P23" s="16" t="n"/>
      <c r="Q23" s="4" t="n"/>
      <c r="R23" s="16" t="n"/>
      <c r="S23" s="20">
        <f>IF(OR(N23="",P23="",R23=""),"",(--TRIM(LEFT(N23,2)))*(--TRIM(LEFT(P23,2)))*(--TRIM(LEFT(R23,2))))</f>
        <v/>
      </c>
      <c r="T23" s="20">
        <f>IF(OR(N23="",P23="",R23=""),"",INDEX(APGrid,COUNTIF(APS,"&gt;"&amp;(--TRIM(LEFT(N23,2))))*5+COUNTIF(APO,"&gt;"&amp;(--TRIM(LEFT(P23,2))))+1,COUNTIF(APD,"&gt;"&amp;(--TRIM(LEFT(R23,2))))+1))</f>
        <v/>
      </c>
      <c r="U23" s="20">
        <f>IF(S23="","",IF(OR((--TRIM(LEFT(N23,2)))&gt;=SThr,S23&gt;=RPNThr,T23="H"),"Yes","No"))</f>
        <v/>
      </c>
      <c r="V23" s="4" t="n"/>
      <c r="W23" s="4" t="n"/>
      <c r="X23" s="4" t="n"/>
      <c r="Y23" s="29" t="n"/>
      <c r="Z23" s="16" t="n"/>
      <c r="AA23" s="16" t="n"/>
      <c r="AB23" s="16" t="n"/>
      <c r="AC23" s="20">
        <f>IF(OR(Z23="",AA23="",AB23=""),"",(--TRIM(LEFT(Z23,2)))*(--TRIM(LEFT(AA23,2)))*(--TRIM(LEFT(AB23,2))))</f>
        <v/>
      </c>
      <c r="AD23" s="20">
        <f>IF(OR(Z23="",AA23="",AB23=""),"",INDEX(APGrid,COUNTIF(APS,"&gt;"&amp;(--TRIM(LEFT(Z23,2))))*5+COUNTIF(APO,"&gt;"&amp;(--TRIM(LEFT(AA23,2))))+1,COUNTIF(APD,"&gt;"&amp;(--TRIM(LEFT(AB23,2))))+1))</f>
        <v/>
      </c>
      <c r="AE23" s="4" t="n"/>
      <c r="AF23" s="4" t="n"/>
      <c r="AH23">
        <f>IFERROR(INDEX(EqTag,_xlfn.AGGREGATE(15,6,(ROW(EqTag)-4)/((EqSys=$D$3)*(EqTag&lt;&gt;"")),ROWS($AH$14:AH23))),"")</f>
        <v/>
      </c>
    </row>
    <row r="24">
      <c r="A24" s="20">
        <f>IF(F24="","",LEFT($D$3,3)&amp;"-"&amp;TEXT(COUNTIF(F$14:F24,"?*"),"00"))</f>
        <v/>
      </c>
      <c r="B24" s="4" t="n"/>
      <c r="C24" s="5">
        <f>IF(B24="","",IFERROR(INDEX(EqTypeCol,MATCH(B24,EqTag,0)),"Tag not in register"))</f>
        <v/>
      </c>
      <c r="D24" s="4" t="n"/>
      <c r="E24" s="4" t="n"/>
      <c r="F24" s="4" t="n"/>
      <c r="G24" s="4" t="n"/>
      <c r="H24" s="4" t="n"/>
      <c r="I24" s="4" t="n"/>
      <c r="J24" s="5">
        <f>_xlfn.TEXTJOIN(CHAR(10),TRUE,IF(G24="","","• "&amp;G24),IF(H24="","","• "&amp;H24),IF(I24="","","• "&amp;I24))</f>
        <v/>
      </c>
      <c r="K24" s="4" t="n"/>
      <c r="L24" s="4" t="n"/>
      <c r="M24" s="4" t="n"/>
      <c r="N24" s="16" t="n"/>
      <c r="O24" s="4" t="n"/>
      <c r="P24" s="16" t="n"/>
      <c r="Q24" s="4" t="n"/>
      <c r="R24" s="16" t="n"/>
      <c r="S24" s="20">
        <f>IF(OR(N24="",P24="",R24=""),"",(--TRIM(LEFT(N24,2)))*(--TRIM(LEFT(P24,2)))*(--TRIM(LEFT(R24,2))))</f>
        <v/>
      </c>
      <c r="T24" s="20">
        <f>IF(OR(N24="",P24="",R24=""),"",INDEX(APGrid,COUNTIF(APS,"&gt;"&amp;(--TRIM(LEFT(N24,2))))*5+COUNTIF(APO,"&gt;"&amp;(--TRIM(LEFT(P24,2))))+1,COUNTIF(APD,"&gt;"&amp;(--TRIM(LEFT(R24,2))))+1))</f>
        <v/>
      </c>
      <c r="U24" s="20">
        <f>IF(S24="","",IF(OR((--TRIM(LEFT(N24,2)))&gt;=SThr,S24&gt;=RPNThr,T24="H"),"Yes","No"))</f>
        <v/>
      </c>
      <c r="V24" s="4" t="n"/>
      <c r="W24" s="4" t="n"/>
      <c r="X24" s="4" t="n"/>
      <c r="Y24" s="29" t="n"/>
      <c r="Z24" s="16" t="n"/>
      <c r="AA24" s="16" t="n"/>
      <c r="AB24" s="16" t="n"/>
      <c r="AC24" s="20">
        <f>IF(OR(Z24="",AA24="",AB24=""),"",(--TRIM(LEFT(Z24,2)))*(--TRIM(LEFT(AA24,2)))*(--TRIM(LEFT(AB24,2))))</f>
        <v/>
      </c>
      <c r="AD24" s="20">
        <f>IF(OR(Z24="",AA24="",AB24=""),"",INDEX(APGrid,COUNTIF(APS,"&gt;"&amp;(--TRIM(LEFT(Z24,2))))*5+COUNTIF(APO,"&gt;"&amp;(--TRIM(LEFT(AA24,2))))+1,COUNTIF(APD,"&gt;"&amp;(--TRIM(LEFT(AB24,2))))+1))</f>
        <v/>
      </c>
      <c r="AE24" s="4" t="n"/>
      <c r="AF24" s="4" t="n"/>
      <c r="AH24">
        <f>IFERROR(INDEX(EqTag,_xlfn.AGGREGATE(15,6,(ROW(EqTag)-4)/((EqSys=$D$3)*(EqTag&lt;&gt;"")),ROWS($AH$14:AH24))),"")</f>
        <v/>
      </c>
    </row>
    <row r="25">
      <c r="A25" s="20">
        <f>IF(F25="","",LEFT($D$3,3)&amp;"-"&amp;TEXT(COUNTIF(F$14:F25,"?*"),"00"))</f>
        <v/>
      </c>
      <c r="B25" s="4" t="n"/>
      <c r="C25" s="5">
        <f>IF(B25="","",IFERROR(INDEX(EqTypeCol,MATCH(B25,EqTag,0)),"Tag not in register"))</f>
        <v/>
      </c>
      <c r="D25" s="4" t="n"/>
      <c r="E25" s="4" t="n"/>
      <c r="F25" s="4" t="n"/>
      <c r="G25" s="4" t="n"/>
      <c r="H25" s="4" t="n"/>
      <c r="I25" s="4" t="n"/>
      <c r="J25" s="5">
        <f>_xlfn.TEXTJOIN(CHAR(10),TRUE,IF(G25="","","• "&amp;G25),IF(H25="","","• "&amp;H25),IF(I25="","","• "&amp;I25))</f>
        <v/>
      </c>
      <c r="K25" s="4" t="n"/>
      <c r="L25" s="4" t="n"/>
      <c r="M25" s="4" t="n"/>
      <c r="N25" s="16" t="n"/>
      <c r="O25" s="4" t="n"/>
      <c r="P25" s="16" t="n"/>
      <c r="Q25" s="4" t="n"/>
      <c r="R25" s="16" t="n"/>
      <c r="S25" s="20">
        <f>IF(OR(N25="",P25="",R25=""),"",(--TRIM(LEFT(N25,2)))*(--TRIM(LEFT(P25,2)))*(--TRIM(LEFT(R25,2))))</f>
        <v/>
      </c>
      <c r="T25" s="20">
        <f>IF(OR(N25="",P25="",R25=""),"",INDEX(APGrid,COUNTIF(APS,"&gt;"&amp;(--TRIM(LEFT(N25,2))))*5+COUNTIF(APO,"&gt;"&amp;(--TRIM(LEFT(P25,2))))+1,COUNTIF(APD,"&gt;"&amp;(--TRIM(LEFT(R25,2))))+1))</f>
        <v/>
      </c>
      <c r="U25" s="20">
        <f>IF(S25="","",IF(OR((--TRIM(LEFT(N25,2)))&gt;=SThr,S25&gt;=RPNThr,T25="H"),"Yes","No"))</f>
        <v/>
      </c>
      <c r="V25" s="4" t="n"/>
      <c r="W25" s="4" t="n"/>
      <c r="X25" s="4" t="n"/>
      <c r="Y25" s="29" t="n"/>
      <c r="Z25" s="16" t="n"/>
      <c r="AA25" s="16" t="n"/>
      <c r="AB25" s="16" t="n"/>
      <c r="AC25" s="20">
        <f>IF(OR(Z25="",AA25="",AB25=""),"",(--TRIM(LEFT(Z25,2)))*(--TRIM(LEFT(AA25,2)))*(--TRIM(LEFT(AB25,2))))</f>
        <v/>
      </c>
      <c r="AD25" s="20">
        <f>IF(OR(Z25="",AA25="",AB25=""),"",INDEX(APGrid,COUNTIF(APS,"&gt;"&amp;(--TRIM(LEFT(Z25,2))))*5+COUNTIF(APO,"&gt;"&amp;(--TRIM(LEFT(AA25,2))))+1,COUNTIF(APD,"&gt;"&amp;(--TRIM(LEFT(AB25,2))))+1))</f>
        <v/>
      </c>
      <c r="AE25" s="4" t="n"/>
      <c r="AF25" s="4" t="n"/>
      <c r="AH25">
        <f>IFERROR(INDEX(EqTag,_xlfn.AGGREGATE(15,6,(ROW(EqTag)-4)/((EqSys=$D$3)*(EqTag&lt;&gt;"")),ROWS($AH$14:AH25))),"")</f>
        <v/>
      </c>
    </row>
    <row r="26">
      <c r="A26" s="20">
        <f>IF(F26="","",LEFT($D$3,3)&amp;"-"&amp;TEXT(COUNTIF(F$14:F26,"?*"),"00"))</f>
        <v/>
      </c>
      <c r="B26" s="4" t="n"/>
      <c r="C26" s="5">
        <f>IF(B26="","",IFERROR(INDEX(EqTypeCol,MATCH(B26,EqTag,0)),"Tag not in register"))</f>
        <v/>
      </c>
      <c r="D26" s="4" t="n"/>
      <c r="E26" s="4" t="n"/>
      <c r="F26" s="4" t="n"/>
      <c r="G26" s="4" t="n"/>
      <c r="H26" s="4" t="n"/>
      <c r="I26" s="4" t="n"/>
      <c r="J26" s="5">
        <f>_xlfn.TEXTJOIN(CHAR(10),TRUE,IF(G26="","","• "&amp;G26),IF(H26="","","• "&amp;H26),IF(I26="","","• "&amp;I26))</f>
        <v/>
      </c>
      <c r="K26" s="4" t="n"/>
      <c r="L26" s="4" t="n"/>
      <c r="M26" s="4" t="n"/>
      <c r="N26" s="16" t="n"/>
      <c r="O26" s="4" t="n"/>
      <c r="P26" s="16" t="n"/>
      <c r="Q26" s="4" t="n"/>
      <c r="R26" s="16" t="n"/>
      <c r="S26" s="20">
        <f>IF(OR(N26="",P26="",R26=""),"",(--TRIM(LEFT(N26,2)))*(--TRIM(LEFT(P26,2)))*(--TRIM(LEFT(R26,2))))</f>
        <v/>
      </c>
      <c r="T26" s="20">
        <f>IF(OR(N26="",P26="",R26=""),"",INDEX(APGrid,COUNTIF(APS,"&gt;"&amp;(--TRIM(LEFT(N26,2))))*5+COUNTIF(APO,"&gt;"&amp;(--TRIM(LEFT(P26,2))))+1,COUNTIF(APD,"&gt;"&amp;(--TRIM(LEFT(R26,2))))+1))</f>
        <v/>
      </c>
      <c r="U26" s="20">
        <f>IF(S26="","",IF(OR((--TRIM(LEFT(N26,2)))&gt;=SThr,S26&gt;=RPNThr,T26="H"),"Yes","No"))</f>
        <v/>
      </c>
      <c r="V26" s="4" t="n"/>
      <c r="W26" s="4" t="n"/>
      <c r="X26" s="4" t="n"/>
      <c r="Y26" s="29" t="n"/>
      <c r="Z26" s="16" t="n"/>
      <c r="AA26" s="16" t="n"/>
      <c r="AB26" s="16" t="n"/>
      <c r="AC26" s="20">
        <f>IF(OR(Z26="",AA26="",AB26=""),"",(--TRIM(LEFT(Z26,2)))*(--TRIM(LEFT(AA26,2)))*(--TRIM(LEFT(AB26,2))))</f>
        <v/>
      </c>
      <c r="AD26" s="20">
        <f>IF(OR(Z26="",AA26="",AB26=""),"",INDEX(APGrid,COUNTIF(APS,"&gt;"&amp;(--TRIM(LEFT(Z26,2))))*5+COUNTIF(APO,"&gt;"&amp;(--TRIM(LEFT(AA26,2))))+1,COUNTIF(APD,"&gt;"&amp;(--TRIM(LEFT(AB26,2))))+1))</f>
        <v/>
      </c>
      <c r="AE26" s="4" t="n"/>
      <c r="AF26" s="4" t="n"/>
      <c r="AH26">
        <f>IFERROR(INDEX(EqTag,_xlfn.AGGREGATE(15,6,(ROW(EqTag)-4)/((EqSys=$D$3)*(EqTag&lt;&gt;"")),ROWS($AH$14:AH26))),"")</f>
        <v/>
      </c>
    </row>
    <row r="27">
      <c r="A27" s="20">
        <f>IF(F27="","",LEFT($D$3,3)&amp;"-"&amp;TEXT(COUNTIF(F$14:F27,"?*"),"00"))</f>
        <v/>
      </c>
      <c r="B27" s="4" t="n"/>
      <c r="C27" s="5">
        <f>IF(B27="","",IFERROR(INDEX(EqTypeCol,MATCH(B27,EqTag,0)),"Tag not in register"))</f>
        <v/>
      </c>
      <c r="D27" s="4" t="n"/>
      <c r="E27" s="4" t="n"/>
      <c r="F27" s="4" t="n"/>
      <c r="G27" s="4" t="n"/>
      <c r="H27" s="4" t="n"/>
      <c r="I27" s="4" t="n"/>
      <c r="J27" s="5">
        <f>_xlfn.TEXTJOIN(CHAR(10),TRUE,IF(G27="","","• "&amp;G27),IF(H27="","","• "&amp;H27),IF(I27="","","• "&amp;I27))</f>
        <v/>
      </c>
      <c r="K27" s="4" t="n"/>
      <c r="L27" s="4" t="n"/>
      <c r="M27" s="4" t="n"/>
      <c r="N27" s="16" t="n"/>
      <c r="O27" s="4" t="n"/>
      <c r="P27" s="16" t="n"/>
      <c r="Q27" s="4" t="n"/>
      <c r="R27" s="16" t="n"/>
      <c r="S27" s="20">
        <f>IF(OR(N27="",P27="",R27=""),"",(--TRIM(LEFT(N27,2)))*(--TRIM(LEFT(P27,2)))*(--TRIM(LEFT(R27,2))))</f>
        <v/>
      </c>
      <c r="T27" s="20">
        <f>IF(OR(N27="",P27="",R27=""),"",INDEX(APGrid,COUNTIF(APS,"&gt;"&amp;(--TRIM(LEFT(N27,2))))*5+COUNTIF(APO,"&gt;"&amp;(--TRIM(LEFT(P27,2))))+1,COUNTIF(APD,"&gt;"&amp;(--TRIM(LEFT(R27,2))))+1))</f>
        <v/>
      </c>
      <c r="U27" s="20">
        <f>IF(S27="","",IF(OR((--TRIM(LEFT(N27,2)))&gt;=SThr,S27&gt;=RPNThr,T27="H"),"Yes","No"))</f>
        <v/>
      </c>
      <c r="V27" s="4" t="n"/>
      <c r="W27" s="4" t="n"/>
      <c r="X27" s="4" t="n"/>
      <c r="Y27" s="29" t="n"/>
      <c r="Z27" s="16" t="n"/>
      <c r="AA27" s="16" t="n"/>
      <c r="AB27" s="16" t="n"/>
      <c r="AC27" s="20">
        <f>IF(OR(Z27="",AA27="",AB27=""),"",(--TRIM(LEFT(Z27,2)))*(--TRIM(LEFT(AA27,2)))*(--TRIM(LEFT(AB27,2))))</f>
        <v/>
      </c>
      <c r="AD27" s="20">
        <f>IF(OR(Z27="",AA27="",AB27=""),"",INDEX(APGrid,COUNTIF(APS,"&gt;"&amp;(--TRIM(LEFT(Z27,2))))*5+COUNTIF(APO,"&gt;"&amp;(--TRIM(LEFT(AA27,2))))+1,COUNTIF(APD,"&gt;"&amp;(--TRIM(LEFT(AB27,2))))+1))</f>
        <v/>
      </c>
      <c r="AE27" s="4" t="n"/>
      <c r="AF27" s="4" t="n"/>
      <c r="AH27">
        <f>IFERROR(INDEX(EqTag,_xlfn.AGGREGATE(15,6,(ROW(EqTag)-4)/((EqSys=$D$3)*(EqTag&lt;&gt;"")),ROWS($AH$14:AH27))),"")</f>
        <v/>
      </c>
    </row>
    <row r="28">
      <c r="A28" s="20">
        <f>IF(F28="","",LEFT($D$3,3)&amp;"-"&amp;TEXT(COUNTIF(F$14:F28,"?*"),"00"))</f>
        <v/>
      </c>
      <c r="B28" s="4" t="n"/>
      <c r="C28" s="5">
        <f>IF(B28="","",IFERROR(INDEX(EqTypeCol,MATCH(B28,EqTag,0)),"Tag not in register"))</f>
        <v/>
      </c>
      <c r="D28" s="4" t="n"/>
      <c r="E28" s="4" t="n"/>
      <c r="F28" s="4" t="n"/>
      <c r="G28" s="4" t="n"/>
      <c r="H28" s="4" t="n"/>
      <c r="I28" s="4" t="n"/>
      <c r="J28" s="5">
        <f>_xlfn.TEXTJOIN(CHAR(10),TRUE,IF(G28="","","• "&amp;G28),IF(H28="","","• "&amp;H28),IF(I28="","","• "&amp;I28))</f>
        <v/>
      </c>
      <c r="K28" s="4" t="n"/>
      <c r="L28" s="4" t="n"/>
      <c r="M28" s="4" t="n"/>
      <c r="N28" s="16" t="n"/>
      <c r="O28" s="4" t="n"/>
      <c r="P28" s="16" t="n"/>
      <c r="Q28" s="4" t="n"/>
      <c r="R28" s="16" t="n"/>
      <c r="S28" s="20">
        <f>IF(OR(N28="",P28="",R28=""),"",(--TRIM(LEFT(N28,2)))*(--TRIM(LEFT(P28,2)))*(--TRIM(LEFT(R28,2))))</f>
        <v/>
      </c>
      <c r="T28" s="20">
        <f>IF(OR(N28="",P28="",R28=""),"",INDEX(APGrid,COUNTIF(APS,"&gt;"&amp;(--TRIM(LEFT(N28,2))))*5+COUNTIF(APO,"&gt;"&amp;(--TRIM(LEFT(P28,2))))+1,COUNTIF(APD,"&gt;"&amp;(--TRIM(LEFT(R28,2))))+1))</f>
        <v/>
      </c>
      <c r="U28" s="20">
        <f>IF(S28="","",IF(OR((--TRIM(LEFT(N28,2)))&gt;=SThr,S28&gt;=RPNThr,T28="H"),"Yes","No"))</f>
        <v/>
      </c>
      <c r="V28" s="4" t="n"/>
      <c r="W28" s="4" t="n"/>
      <c r="X28" s="4" t="n"/>
      <c r="Y28" s="29" t="n"/>
      <c r="Z28" s="16" t="n"/>
      <c r="AA28" s="16" t="n"/>
      <c r="AB28" s="16" t="n"/>
      <c r="AC28" s="20">
        <f>IF(OR(Z28="",AA28="",AB28=""),"",(--TRIM(LEFT(Z28,2)))*(--TRIM(LEFT(AA28,2)))*(--TRIM(LEFT(AB28,2))))</f>
        <v/>
      </c>
      <c r="AD28" s="20">
        <f>IF(OR(Z28="",AA28="",AB28=""),"",INDEX(APGrid,COUNTIF(APS,"&gt;"&amp;(--TRIM(LEFT(Z28,2))))*5+COUNTIF(APO,"&gt;"&amp;(--TRIM(LEFT(AA28,2))))+1,COUNTIF(APD,"&gt;"&amp;(--TRIM(LEFT(AB28,2))))+1))</f>
        <v/>
      </c>
      <c r="AE28" s="4" t="n"/>
      <c r="AF28" s="4" t="n"/>
      <c r="AH28">
        <f>IFERROR(INDEX(EqTag,_xlfn.AGGREGATE(15,6,(ROW(EqTag)-4)/((EqSys=$D$3)*(EqTag&lt;&gt;"")),ROWS($AH$14:AH28))),"")</f>
        <v/>
      </c>
    </row>
    <row r="29">
      <c r="A29" s="20">
        <f>IF(F29="","",LEFT($D$3,3)&amp;"-"&amp;TEXT(COUNTIF(F$14:F29,"?*"),"00"))</f>
        <v/>
      </c>
      <c r="B29" s="4" t="n"/>
      <c r="C29" s="5">
        <f>IF(B29="","",IFERROR(INDEX(EqTypeCol,MATCH(B29,EqTag,0)),"Tag not in register"))</f>
        <v/>
      </c>
      <c r="D29" s="4" t="n"/>
      <c r="E29" s="4" t="n"/>
      <c r="F29" s="4" t="n"/>
      <c r="G29" s="4" t="n"/>
      <c r="H29" s="4" t="n"/>
      <c r="I29" s="4" t="n"/>
      <c r="J29" s="5">
        <f>_xlfn.TEXTJOIN(CHAR(10),TRUE,IF(G29="","","• "&amp;G29),IF(H29="","","• "&amp;H29),IF(I29="","","• "&amp;I29))</f>
        <v/>
      </c>
      <c r="K29" s="4" t="n"/>
      <c r="L29" s="4" t="n"/>
      <c r="M29" s="4" t="n"/>
      <c r="N29" s="16" t="n"/>
      <c r="O29" s="4" t="n"/>
      <c r="P29" s="16" t="n"/>
      <c r="Q29" s="4" t="n"/>
      <c r="R29" s="16" t="n"/>
      <c r="S29" s="20">
        <f>IF(OR(N29="",P29="",R29=""),"",(--TRIM(LEFT(N29,2)))*(--TRIM(LEFT(P29,2)))*(--TRIM(LEFT(R29,2))))</f>
        <v/>
      </c>
      <c r="T29" s="20">
        <f>IF(OR(N29="",P29="",R29=""),"",INDEX(APGrid,COUNTIF(APS,"&gt;"&amp;(--TRIM(LEFT(N29,2))))*5+COUNTIF(APO,"&gt;"&amp;(--TRIM(LEFT(P29,2))))+1,COUNTIF(APD,"&gt;"&amp;(--TRIM(LEFT(R29,2))))+1))</f>
        <v/>
      </c>
      <c r="U29" s="20">
        <f>IF(S29="","",IF(OR((--TRIM(LEFT(N29,2)))&gt;=SThr,S29&gt;=RPNThr,T29="H"),"Yes","No"))</f>
        <v/>
      </c>
      <c r="V29" s="4" t="n"/>
      <c r="W29" s="4" t="n"/>
      <c r="X29" s="4" t="n"/>
      <c r="Y29" s="29" t="n"/>
      <c r="Z29" s="16" t="n"/>
      <c r="AA29" s="16" t="n"/>
      <c r="AB29" s="16" t="n"/>
      <c r="AC29" s="20">
        <f>IF(OR(Z29="",AA29="",AB29=""),"",(--TRIM(LEFT(Z29,2)))*(--TRIM(LEFT(AA29,2)))*(--TRIM(LEFT(AB29,2))))</f>
        <v/>
      </c>
      <c r="AD29" s="20">
        <f>IF(OR(Z29="",AA29="",AB29=""),"",INDEX(APGrid,COUNTIF(APS,"&gt;"&amp;(--TRIM(LEFT(Z29,2))))*5+COUNTIF(APO,"&gt;"&amp;(--TRIM(LEFT(AA29,2))))+1,COUNTIF(APD,"&gt;"&amp;(--TRIM(LEFT(AB29,2))))+1))</f>
        <v/>
      </c>
      <c r="AE29" s="4" t="n"/>
      <c r="AF29" s="4" t="n"/>
      <c r="AH29">
        <f>IFERROR(INDEX(EqTag,_xlfn.AGGREGATE(15,6,(ROW(EqTag)-4)/((EqSys=$D$3)*(EqTag&lt;&gt;"")),ROWS($AH$14:AH29))),"")</f>
        <v/>
      </c>
    </row>
    <row r="30">
      <c r="A30" s="20">
        <f>IF(F30="","",LEFT($D$3,3)&amp;"-"&amp;TEXT(COUNTIF(F$14:F30,"?*"),"00"))</f>
        <v/>
      </c>
      <c r="B30" s="4" t="n"/>
      <c r="C30" s="5">
        <f>IF(B30="","",IFERROR(INDEX(EqTypeCol,MATCH(B30,EqTag,0)),"Tag not in register"))</f>
        <v/>
      </c>
      <c r="D30" s="4" t="n"/>
      <c r="E30" s="4" t="n"/>
      <c r="F30" s="4" t="n"/>
      <c r="G30" s="4" t="n"/>
      <c r="H30" s="4" t="n"/>
      <c r="I30" s="4" t="n"/>
      <c r="J30" s="5">
        <f>_xlfn.TEXTJOIN(CHAR(10),TRUE,IF(G30="","","• "&amp;G30),IF(H30="","","• "&amp;H30),IF(I30="","","• "&amp;I30))</f>
        <v/>
      </c>
      <c r="K30" s="4" t="n"/>
      <c r="L30" s="4" t="n"/>
      <c r="M30" s="4" t="n"/>
      <c r="N30" s="16" t="n"/>
      <c r="O30" s="4" t="n"/>
      <c r="P30" s="16" t="n"/>
      <c r="Q30" s="4" t="n"/>
      <c r="R30" s="16" t="n"/>
      <c r="S30" s="20">
        <f>IF(OR(N30="",P30="",R30=""),"",(--TRIM(LEFT(N30,2)))*(--TRIM(LEFT(P30,2)))*(--TRIM(LEFT(R30,2))))</f>
        <v/>
      </c>
      <c r="T30" s="20">
        <f>IF(OR(N30="",P30="",R30=""),"",INDEX(APGrid,COUNTIF(APS,"&gt;"&amp;(--TRIM(LEFT(N30,2))))*5+COUNTIF(APO,"&gt;"&amp;(--TRIM(LEFT(P30,2))))+1,COUNTIF(APD,"&gt;"&amp;(--TRIM(LEFT(R30,2))))+1))</f>
        <v/>
      </c>
      <c r="U30" s="20">
        <f>IF(S30="","",IF(OR((--TRIM(LEFT(N30,2)))&gt;=SThr,S30&gt;=RPNThr,T30="H"),"Yes","No"))</f>
        <v/>
      </c>
      <c r="V30" s="4" t="n"/>
      <c r="W30" s="4" t="n"/>
      <c r="X30" s="4" t="n"/>
      <c r="Y30" s="29" t="n"/>
      <c r="Z30" s="16" t="n"/>
      <c r="AA30" s="16" t="n"/>
      <c r="AB30" s="16" t="n"/>
      <c r="AC30" s="20">
        <f>IF(OR(Z30="",AA30="",AB30=""),"",(--TRIM(LEFT(Z30,2)))*(--TRIM(LEFT(AA30,2)))*(--TRIM(LEFT(AB30,2))))</f>
        <v/>
      </c>
      <c r="AD30" s="20">
        <f>IF(OR(Z30="",AA30="",AB30=""),"",INDEX(APGrid,COUNTIF(APS,"&gt;"&amp;(--TRIM(LEFT(Z30,2))))*5+COUNTIF(APO,"&gt;"&amp;(--TRIM(LEFT(AA30,2))))+1,COUNTIF(APD,"&gt;"&amp;(--TRIM(LEFT(AB30,2))))+1))</f>
        <v/>
      </c>
      <c r="AE30" s="4" t="n"/>
      <c r="AF30" s="4" t="n"/>
      <c r="AH30">
        <f>IFERROR(INDEX(EqTag,_xlfn.AGGREGATE(15,6,(ROW(EqTag)-4)/((EqSys=$D$3)*(EqTag&lt;&gt;"")),ROWS($AH$14:AH30))),"")</f>
        <v/>
      </c>
    </row>
    <row r="31">
      <c r="A31" s="20">
        <f>IF(F31="","",LEFT($D$3,3)&amp;"-"&amp;TEXT(COUNTIF(F$14:F31,"?*"),"00"))</f>
        <v/>
      </c>
      <c r="B31" s="4" t="n"/>
      <c r="C31" s="5">
        <f>IF(B31="","",IFERROR(INDEX(EqTypeCol,MATCH(B31,EqTag,0)),"Tag not in register"))</f>
        <v/>
      </c>
      <c r="D31" s="4" t="n"/>
      <c r="E31" s="4" t="n"/>
      <c r="F31" s="4" t="n"/>
      <c r="G31" s="4" t="n"/>
      <c r="H31" s="4" t="n"/>
      <c r="I31" s="4" t="n"/>
      <c r="J31" s="5">
        <f>_xlfn.TEXTJOIN(CHAR(10),TRUE,IF(G31="","","• "&amp;G31),IF(H31="","","• "&amp;H31),IF(I31="","","• "&amp;I31))</f>
        <v/>
      </c>
      <c r="K31" s="4" t="n"/>
      <c r="L31" s="4" t="n"/>
      <c r="M31" s="4" t="n"/>
      <c r="N31" s="16" t="n"/>
      <c r="O31" s="4" t="n"/>
      <c r="P31" s="16" t="n"/>
      <c r="Q31" s="4" t="n"/>
      <c r="R31" s="16" t="n"/>
      <c r="S31" s="20">
        <f>IF(OR(N31="",P31="",R31=""),"",(--TRIM(LEFT(N31,2)))*(--TRIM(LEFT(P31,2)))*(--TRIM(LEFT(R31,2))))</f>
        <v/>
      </c>
      <c r="T31" s="20">
        <f>IF(OR(N31="",P31="",R31=""),"",INDEX(APGrid,COUNTIF(APS,"&gt;"&amp;(--TRIM(LEFT(N31,2))))*5+COUNTIF(APO,"&gt;"&amp;(--TRIM(LEFT(P31,2))))+1,COUNTIF(APD,"&gt;"&amp;(--TRIM(LEFT(R31,2))))+1))</f>
        <v/>
      </c>
      <c r="U31" s="20">
        <f>IF(S31="","",IF(OR((--TRIM(LEFT(N31,2)))&gt;=SThr,S31&gt;=RPNThr,T31="H"),"Yes","No"))</f>
        <v/>
      </c>
      <c r="V31" s="4" t="n"/>
      <c r="W31" s="4" t="n"/>
      <c r="X31" s="4" t="n"/>
      <c r="Y31" s="29" t="n"/>
      <c r="Z31" s="16" t="n"/>
      <c r="AA31" s="16" t="n"/>
      <c r="AB31" s="16" t="n"/>
      <c r="AC31" s="20">
        <f>IF(OR(Z31="",AA31="",AB31=""),"",(--TRIM(LEFT(Z31,2)))*(--TRIM(LEFT(AA31,2)))*(--TRIM(LEFT(AB31,2))))</f>
        <v/>
      </c>
      <c r="AD31" s="20">
        <f>IF(OR(Z31="",AA31="",AB31=""),"",INDEX(APGrid,COUNTIF(APS,"&gt;"&amp;(--TRIM(LEFT(Z31,2))))*5+COUNTIF(APO,"&gt;"&amp;(--TRIM(LEFT(AA31,2))))+1,COUNTIF(APD,"&gt;"&amp;(--TRIM(LEFT(AB31,2))))+1))</f>
        <v/>
      </c>
      <c r="AE31" s="4" t="n"/>
      <c r="AF31" s="4" t="n"/>
      <c r="AH31">
        <f>IFERROR(INDEX(EqTag,_xlfn.AGGREGATE(15,6,(ROW(EqTag)-4)/((EqSys=$D$3)*(EqTag&lt;&gt;"")),ROWS($AH$14:AH31))),"")</f>
        <v/>
      </c>
    </row>
    <row r="32">
      <c r="A32" s="20">
        <f>IF(F32="","",LEFT($D$3,3)&amp;"-"&amp;TEXT(COUNTIF(F$14:F32,"?*"),"00"))</f>
        <v/>
      </c>
      <c r="B32" s="4" t="n"/>
      <c r="C32" s="5">
        <f>IF(B32="","",IFERROR(INDEX(EqTypeCol,MATCH(B32,EqTag,0)),"Tag not in register"))</f>
        <v/>
      </c>
      <c r="D32" s="4" t="n"/>
      <c r="E32" s="4" t="n"/>
      <c r="F32" s="4" t="n"/>
      <c r="G32" s="4" t="n"/>
      <c r="H32" s="4" t="n"/>
      <c r="I32" s="4" t="n"/>
      <c r="J32" s="5">
        <f>_xlfn.TEXTJOIN(CHAR(10),TRUE,IF(G32="","","• "&amp;G32),IF(H32="","","• "&amp;H32),IF(I32="","","• "&amp;I32))</f>
        <v/>
      </c>
      <c r="K32" s="4" t="n"/>
      <c r="L32" s="4" t="n"/>
      <c r="M32" s="4" t="n"/>
      <c r="N32" s="16" t="n"/>
      <c r="O32" s="4" t="n"/>
      <c r="P32" s="16" t="n"/>
      <c r="Q32" s="4" t="n"/>
      <c r="R32" s="16" t="n"/>
      <c r="S32" s="20">
        <f>IF(OR(N32="",P32="",R32=""),"",(--TRIM(LEFT(N32,2)))*(--TRIM(LEFT(P32,2)))*(--TRIM(LEFT(R32,2))))</f>
        <v/>
      </c>
      <c r="T32" s="20">
        <f>IF(OR(N32="",P32="",R32=""),"",INDEX(APGrid,COUNTIF(APS,"&gt;"&amp;(--TRIM(LEFT(N32,2))))*5+COUNTIF(APO,"&gt;"&amp;(--TRIM(LEFT(P32,2))))+1,COUNTIF(APD,"&gt;"&amp;(--TRIM(LEFT(R32,2))))+1))</f>
        <v/>
      </c>
      <c r="U32" s="20">
        <f>IF(S32="","",IF(OR((--TRIM(LEFT(N32,2)))&gt;=SThr,S32&gt;=RPNThr,T32="H"),"Yes","No"))</f>
        <v/>
      </c>
      <c r="V32" s="4" t="n"/>
      <c r="W32" s="4" t="n"/>
      <c r="X32" s="4" t="n"/>
      <c r="Y32" s="29" t="n"/>
      <c r="Z32" s="16" t="n"/>
      <c r="AA32" s="16" t="n"/>
      <c r="AB32" s="16" t="n"/>
      <c r="AC32" s="20">
        <f>IF(OR(Z32="",AA32="",AB32=""),"",(--TRIM(LEFT(Z32,2)))*(--TRIM(LEFT(AA32,2)))*(--TRIM(LEFT(AB32,2))))</f>
        <v/>
      </c>
      <c r="AD32" s="20">
        <f>IF(OR(Z32="",AA32="",AB32=""),"",INDEX(APGrid,COUNTIF(APS,"&gt;"&amp;(--TRIM(LEFT(Z32,2))))*5+COUNTIF(APO,"&gt;"&amp;(--TRIM(LEFT(AA32,2))))+1,COUNTIF(APD,"&gt;"&amp;(--TRIM(LEFT(AB32,2))))+1))</f>
        <v/>
      </c>
      <c r="AE32" s="4" t="n"/>
      <c r="AF32" s="4" t="n"/>
      <c r="AH32">
        <f>IFERROR(INDEX(EqTag,_xlfn.AGGREGATE(15,6,(ROW(EqTag)-4)/((EqSys=$D$3)*(EqTag&lt;&gt;"")),ROWS($AH$14:AH32))),"")</f>
        <v/>
      </c>
    </row>
    <row r="33">
      <c r="A33" s="20">
        <f>IF(F33="","",LEFT($D$3,3)&amp;"-"&amp;TEXT(COUNTIF(F$14:F33,"?*"),"00"))</f>
        <v/>
      </c>
      <c r="B33" s="4" t="n"/>
      <c r="C33" s="5">
        <f>IF(B33="","",IFERROR(INDEX(EqTypeCol,MATCH(B33,EqTag,0)),"Tag not in register"))</f>
        <v/>
      </c>
      <c r="D33" s="4" t="n"/>
      <c r="E33" s="4" t="n"/>
      <c r="F33" s="4" t="n"/>
      <c r="G33" s="4" t="n"/>
      <c r="H33" s="4" t="n"/>
      <c r="I33" s="4" t="n"/>
      <c r="J33" s="5">
        <f>_xlfn.TEXTJOIN(CHAR(10),TRUE,IF(G33="","","• "&amp;G33),IF(H33="","","• "&amp;H33),IF(I33="","","• "&amp;I33))</f>
        <v/>
      </c>
      <c r="K33" s="4" t="n"/>
      <c r="L33" s="4" t="n"/>
      <c r="M33" s="4" t="n"/>
      <c r="N33" s="16" t="n"/>
      <c r="O33" s="4" t="n"/>
      <c r="P33" s="16" t="n"/>
      <c r="Q33" s="4" t="n"/>
      <c r="R33" s="16" t="n"/>
      <c r="S33" s="20">
        <f>IF(OR(N33="",P33="",R33=""),"",(--TRIM(LEFT(N33,2)))*(--TRIM(LEFT(P33,2)))*(--TRIM(LEFT(R33,2))))</f>
        <v/>
      </c>
      <c r="T33" s="20">
        <f>IF(OR(N33="",P33="",R33=""),"",INDEX(APGrid,COUNTIF(APS,"&gt;"&amp;(--TRIM(LEFT(N33,2))))*5+COUNTIF(APO,"&gt;"&amp;(--TRIM(LEFT(P33,2))))+1,COUNTIF(APD,"&gt;"&amp;(--TRIM(LEFT(R33,2))))+1))</f>
        <v/>
      </c>
      <c r="U33" s="20">
        <f>IF(S33="","",IF(OR((--TRIM(LEFT(N33,2)))&gt;=SThr,S33&gt;=RPNThr,T33="H"),"Yes","No"))</f>
        <v/>
      </c>
      <c r="V33" s="4" t="n"/>
      <c r="W33" s="4" t="n"/>
      <c r="X33" s="4" t="n"/>
      <c r="Y33" s="29" t="n"/>
      <c r="Z33" s="16" t="n"/>
      <c r="AA33" s="16" t="n"/>
      <c r="AB33" s="16" t="n"/>
      <c r="AC33" s="20">
        <f>IF(OR(Z33="",AA33="",AB33=""),"",(--TRIM(LEFT(Z33,2)))*(--TRIM(LEFT(AA33,2)))*(--TRIM(LEFT(AB33,2))))</f>
        <v/>
      </c>
      <c r="AD33" s="20">
        <f>IF(OR(Z33="",AA33="",AB33=""),"",INDEX(APGrid,COUNTIF(APS,"&gt;"&amp;(--TRIM(LEFT(Z33,2))))*5+COUNTIF(APO,"&gt;"&amp;(--TRIM(LEFT(AA33,2))))+1,COUNTIF(APD,"&gt;"&amp;(--TRIM(LEFT(AB33,2))))+1))</f>
        <v/>
      </c>
      <c r="AE33" s="4" t="n"/>
      <c r="AF33" s="4" t="n"/>
      <c r="AH33">
        <f>IFERROR(INDEX(EqTag,_xlfn.AGGREGATE(15,6,(ROW(EqTag)-4)/((EqSys=$D$3)*(EqTag&lt;&gt;"")),ROWS($AH$14:AH33))),"")</f>
        <v/>
      </c>
    </row>
    <row r="34">
      <c r="A34" s="20">
        <f>IF(F34="","",LEFT($D$3,3)&amp;"-"&amp;TEXT(COUNTIF(F$14:F34,"?*"),"00"))</f>
        <v/>
      </c>
      <c r="B34" s="4" t="n"/>
      <c r="C34" s="5">
        <f>IF(B34="","",IFERROR(INDEX(EqTypeCol,MATCH(B34,EqTag,0)),"Tag not in register"))</f>
        <v/>
      </c>
      <c r="D34" s="4" t="n"/>
      <c r="E34" s="4" t="n"/>
      <c r="F34" s="4" t="n"/>
      <c r="G34" s="4" t="n"/>
      <c r="H34" s="4" t="n"/>
      <c r="I34" s="4" t="n"/>
      <c r="J34" s="5">
        <f>_xlfn.TEXTJOIN(CHAR(10),TRUE,IF(G34="","","• "&amp;G34),IF(H34="","","• "&amp;H34),IF(I34="","","• "&amp;I34))</f>
        <v/>
      </c>
      <c r="K34" s="4" t="n"/>
      <c r="L34" s="4" t="n"/>
      <c r="M34" s="4" t="n"/>
      <c r="N34" s="16" t="n"/>
      <c r="O34" s="4" t="n"/>
      <c r="P34" s="16" t="n"/>
      <c r="Q34" s="4" t="n"/>
      <c r="R34" s="16" t="n"/>
      <c r="S34" s="20">
        <f>IF(OR(N34="",P34="",R34=""),"",(--TRIM(LEFT(N34,2)))*(--TRIM(LEFT(P34,2)))*(--TRIM(LEFT(R34,2))))</f>
        <v/>
      </c>
      <c r="T34" s="20">
        <f>IF(OR(N34="",P34="",R34=""),"",INDEX(APGrid,COUNTIF(APS,"&gt;"&amp;(--TRIM(LEFT(N34,2))))*5+COUNTIF(APO,"&gt;"&amp;(--TRIM(LEFT(P34,2))))+1,COUNTIF(APD,"&gt;"&amp;(--TRIM(LEFT(R34,2))))+1))</f>
        <v/>
      </c>
      <c r="U34" s="20">
        <f>IF(S34="","",IF(OR((--TRIM(LEFT(N34,2)))&gt;=SThr,S34&gt;=RPNThr,T34="H"),"Yes","No"))</f>
        <v/>
      </c>
      <c r="V34" s="4" t="n"/>
      <c r="W34" s="4" t="n"/>
      <c r="X34" s="4" t="n"/>
      <c r="Y34" s="29" t="n"/>
      <c r="Z34" s="16" t="n"/>
      <c r="AA34" s="16" t="n"/>
      <c r="AB34" s="16" t="n"/>
      <c r="AC34" s="20">
        <f>IF(OR(Z34="",AA34="",AB34=""),"",(--TRIM(LEFT(Z34,2)))*(--TRIM(LEFT(AA34,2)))*(--TRIM(LEFT(AB34,2))))</f>
        <v/>
      </c>
      <c r="AD34" s="20">
        <f>IF(OR(Z34="",AA34="",AB34=""),"",INDEX(APGrid,COUNTIF(APS,"&gt;"&amp;(--TRIM(LEFT(Z34,2))))*5+COUNTIF(APO,"&gt;"&amp;(--TRIM(LEFT(AA34,2))))+1,COUNTIF(APD,"&gt;"&amp;(--TRIM(LEFT(AB34,2))))+1))</f>
        <v/>
      </c>
      <c r="AE34" s="4" t="n"/>
      <c r="AF34" s="4" t="n"/>
      <c r="AH34">
        <f>IFERROR(INDEX(EqTag,_xlfn.AGGREGATE(15,6,(ROW(EqTag)-4)/((EqSys=$D$3)*(EqTag&lt;&gt;"")),ROWS($AH$14:AH34))),"")</f>
        <v/>
      </c>
    </row>
    <row r="35">
      <c r="A35" s="20">
        <f>IF(F35="","",LEFT($D$3,3)&amp;"-"&amp;TEXT(COUNTIF(F$14:F35,"?*"),"00"))</f>
        <v/>
      </c>
      <c r="B35" s="4" t="n"/>
      <c r="C35" s="5">
        <f>IF(B35="","",IFERROR(INDEX(EqTypeCol,MATCH(B35,EqTag,0)),"Tag not in register"))</f>
        <v/>
      </c>
      <c r="D35" s="4" t="n"/>
      <c r="E35" s="4" t="n"/>
      <c r="F35" s="4" t="n"/>
      <c r="G35" s="4" t="n"/>
      <c r="H35" s="4" t="n"/>
      <c r="I35" s="4" t="n"/>
      <c r="J35" s="5">
        <f>_xlfn.TEXTJOIN(CHAR(10),TRUE,IF(G35="","","• "&amp;G35),IF(H35="","","• "&amp;H35),IF(I35="","","• "&amp;I35))</f>
        <v/>
      </c>
      <c r="K35" s="4" t="n"/>
      <c r="L35" s="4" t="n"/>
      <c r="M35" s="4" t="n"/>
      <c r="N35" s="16" t="n"/>
      <c r="O35" s="4" t="n"/>
      <c r="P35" s="16" t="n"/>
      <c r="Q35" s="4" t="n"/>
      <c r="R35" s="16" t="n"/>
      <c r="S35" s="20">
        <f>IF(OR(N35="",P35="",R35=""),"",(--TRIM(LEFT(N35,2)))*(--TRIM(LEFT(P35,2)))*(--TRIM(LEFT(R35,2))))</f>
        <v/>
      </c>
      <c r="T35" s="20">
        <f>IF(OR(N35="",P35="",R35=""),"",INDEX(APGrid,COUNTIF(APS,"&gt;"&amp;(--TRIM(LEFT(N35,2))))*5+COUNTIF(APO,"&gt;"&amp;(--TRIM(LEFT(P35,2))))+1,COUNTIF(APD,"&gt;"&amp;(--TRIM(LEFT(R35,2))))+1))</f>
        <v/>
      </c>
      <c r="U35" s="20">
        <f>IF(S35="","",IF(OR((--TRIM(LEFT(N35,2)))&gt;=SThr,S35&gt;=RPNThr,T35="H"),"Yes","No"))</f>
        <v/>
      </c>
      <c r="V35" s="4" t="n"/>
      <c r="W35" s="4" t="n"/>
      <c r="X35" s="4" t="n"/>
      <c r="Y35" s="29" t="n"/>
      <c r="Z35" s="16" t="n"/>
      <c r="AA35" s="16" t="n"/>
      <c r="AB35" s="16" t="n"/>
      <c r="AC35" s="20">
        <f>IF(OR(Z35="",AA35="",AB35=""),"",(--TRIM(LEFT(Z35,2)))*(--TRIM(LEFT(AA35,2)))*(--TRIM(LEFT(AB35,2))))</f>
        <v/>
      </c>
      <c r="AD35" s="20">
        <f>IF(OR(Z35="",AA35="",AB35=""),"",INDEX(APGrid,COUNTIF(APS,"&gt;"&amp;(--TRIM(LEFT(Z35,2))))*5+COUNTIF(APO,"&gt;"&amp;(--TRIM(LEFT(AA35,2))))+1,COUNTIF(APD,"&gt;"&amp;(--TRIM(LEFT(AB35,2))))+1))</f>
        <v/>
      </c>
      <c r="AE35" s="4" t="n"/>
      <c r="AF35" s="4" t="n"/>
      <c r="AH35">
        <f>IFERROR(INDEX(EqTag,_xlfn.AGGREGATE(15,6,(ROW(EqTag)-4)/((EqSys=$D$3)*(EqTag&lt;&gt;"")),ROWS($AH$14:AH35))),"")</f>
        <v/>
      </c>
    </row>
    <row r="36">
      <c r="A36" s="20">
        <f>IF(F36="","",LEFT($D$3,3)&amp;"-"&amp;TEXT(COUNTIF(F$14:F36,"?*"),"00"))</f>
        <v/>
      </c>
      <c r="B36" s="4" t="n"/>
      <c r="C36" s="5">
        <f>IF(B36="","",IFERROR(INDEX(EqTypeCol,MATCH(B36,EqTag,0)),"Tag not in register"))</f>
        <v/>
      </c>
      <c r="D36" s="4" t="n"/>
      <c r="E36" s="4" t="n"/>
      <c r="F36" s="4" t="n"/>
      <c r="G36" s="4" t="n"/>
      <c r="H36" s="4" t="n"/>
      <c r="I36" s="4" t="n"/>
      <c r="J36" s="5">
        <f>_xlfn.TEXTJOIN(CHAR(10),TRUE,IF(G36="","","• "&amp;G36),IF(H36="","","• "&amp;H36),IF(I36="","","• "&amp;I36))</f>
        <v/>
      </c>
      <c r="K36" s="4" t="n"/>
      <c r="L36" s="4" t="n"/>
      <c r="M36" s="4" t="n"/>
      <c r="N36" s="16" t="n"/>
      <c r="O36" s="4" t="n"/>
      <c r="P36" s="16" t="n"/>
      <c r="Q36" s="4" t="n"/>
      <c r="R36" s="16" t="n"/>
      <c r="S36" s="20">
        <f>IF(OR(N36="",P36="",R36=""),"",(--TRIM(LEFT(N36,2)))*(--TRIM(LEFT(P36,2)))*(--TRIM(LEFT(R36,2))))</f>
        <v/>
      </c>
      <c r="T36" s="20">
        <f>IF(OR(N36="",P36="",R36=""),"",INDEX(APGrid,COUNTIF(APS,"&gt;"&amp;(--TRIM(LEFT(N36,2))))*5+COUNTIF(APO,"&gt;"&amp;(--TRIM(LEFT(P36,2))))+1,COUNTIF(APD,"&gt;"&amp;(--TRIM(LEFT(R36,2))))+1))</f>
        <v/>
      </c>
      <c r="U36" s="20">
        <f>IF(S36="","",IF(OR((--TRIM(LEFT(N36,2)))&gt;=SThr,S36&gt;=RPNThr,T36="H"),"Yes","No"))</f>
        <v/>
      </c>
      <c r="V36" s="4" t="n"/>
      <c r="W36" s="4" t="n"/>
      <c r="X36" s="4" t="n"/>
      <c r="Y36" s="29" t="n"/>
      <c r="Z36" s="16" t="n"/>
      <c r="AA36" s="16" t="n"/>
      <c r="AB36" s="16" t="n"/>
      <c r="AC36" s="20">
        <f>IF(OR(Z36="",AA36="",AB36=""),"",(--TRIM(LEFT(Z36,2)))*(--TRIM(LEFT(AA36,2)))*(--TRIM(LEFT(AB36,2))))</f>
        <v/>
      </c>
      <c r="AD36" s="20">
        <f>IF(OR(Z36="",AA36="",AB36=""),"",INDEX(APGrid,COUNTIF(APS,"&gt;"&amp;(--TRIM(LEFT(Z36,2))))*5+COUNTIF(APO,"&gt;"&amp;(--TRIM(LEFT(AA36,2))))+1,COUNTIF(APD,"&gt;"&amp;(--TRIM(LEFT(AB36,2))))+1))</f>
        <v/>
      </c>
      <c r="AE36" s="4" t="n"/>
      <c r="AF36" s="4" t="n"/>
      <c r="AH36">
        <f>IFERROR(INDEX(EqTag,_xlfn.AGGREGATE(15,6,(ROW(EqTag)-4)/((EqSys=$D$3)*(EqTag&lt;&gt;"")),ROWS($AH$14:AH36))),"")</f>
        <v/>
      </c>
    </row>
    <row r="37">
      <c r="A37" s="20">
        <f>IF(F37="","",LEFT($D$3,3)&amp;"-"&amp;TEXT(COUNTIF(F$14:F37,"?*"),"00"))</f>
        <v/>
      </c>
      <c r="B37" s="4" t="n"/>
      <c r="C37" s="5">
        <f>IF(B37="","",IFERROR(INDEX(EqTypeCol,MATCH(B37,EqTag,0)),"Tag not in register"))</f>
        <v/>
      </c>
      <c r="D37" s="4" t="n"/>
      <c r="E37" s="4" t="n"/>
      <c r="F37" s="4" t="n"/>
      <c r="G37" s="4" t="n"/>
      <c r="H37" s="4" t="n"/>
      <c r="I37" s="4" t="n"/>
      <c r="J37" s="5">
        <f>_xlfn.TEXTJOIN(CHAR(10),TRUE,IF(G37="","","• "&amp;G37),IF(H37="","","• "&amp;H37),IF(I37="","","• "&amp;I37))</f>
        <v/>
      </c>
      <c r="K37" s="4" t="n"/>
      <c r="L37" s="4" t="n"/>
      <c r="M37" s="4" t="n"/>
      <c r="N37" s="16" t="n"/>
      <c r="O37" s="4" t="n"/>
      <c r="P37" s="16" t="n"/>
      <c r="Q37" s="4" t="n"/>
      <c r="R37" s="16" t="n"/>
      <c r="S37" s="20">
        <f>IF(OR(N37="",P37="",R37=""),"",(--TRIM(LEFT(N37,2)))*(--TRIM(LEFT(P37,2)))*(--TRIM(LEFT(R37,2))))</f>
        <v/>
      </c>
      <c r="T37" s="20">
        <f>IF(OR(N37="",P37="",R37=""),"",INDEX(APGrid,COUNTIF(APS,"&gt;"&amp;(--TRIM(LEFT(N37,2))))*5+COUNTIF(APO,"&gt;"&amp;(--TRIM(LEFT(P37,2))))+1,COUNTIF(APD,"&gt;"&amp;(--TRIM(LEFT(R37,2))))+1))</f>
        <v/>
      </c>
      <c r="U37" s="20">
        <f>IF(S37="","",IF(OR((--TRIM(LEFT(N37,2)))&gt;=SThr,S37&gt;=RPNThr,T37="H"),"Yes","No"))</f>
        <v/>
      </c>
      <c r="V37" s="4" t="n"/>
      <c r="W37" s="4" t="n"/>
      <c r="X37" s="4" t="n"/>
      <c r="Y37" s="29" t="n"/>
      <c r="Z37" s="16" t="n"/>
      <c r="AA37" s="16" t="n"/>
      <c r="AB37" s="16" t="n"/>
      <c r="AC37" s="20">
        <f>IF(OR(Z37="",AA37="",AB37=""),"",(--TRIM(LEFT(Z37,2)))*(--TRIM(LEFT(AA37,2)))*(--TRIM(LEFT(AB37,2))))</f>
        <v/>
      </c>
      <c r="AD37" s="20">
        <f>IF(OR(Z37="",AA37="",AB37=""),"",INDEX(APGrid,COUNTIF(APS,"&gt;"&amp;(--TRIM(LEFT(Z37,2))))*5+COUNTIF(APO,"&gt;"&amp;(--TRIM(LEFT(AA37,2))))+1,COUNTIF(APD,"&gt;"&amp;(--TRIM(LEFT(AB37,2))))+1))</f>
        <v/>
      </c>
      <c r="AE37" s="4" t="n"/>
      <c r="AF37" s="4" t="n"/>
      <c r="AH37">
        <f>IFERROR(INDEX(EqTag,_xlfn.AGGREGATE(15,6,(ROW(EqTag)-4)/((EqSys=$D$3)*(EqTag&lt;&gt;"")),ROWS($AH$14:AH37))),"")</f>
        <v/>
      </c>
    </row>
    <row r="38">
      <c r="A38" s="20">
        <f>IF(F38="","",LEFT($D$3,3)&amp;"-"&amp;TEXT(COUNTIF(F$14:F38,"?*"),"00"))</f>
        <v/>
      </c>
      <c r="B38" s="4" t="n"/>
      <c r="C38" s="5">
        <f>IF(B38="","",IFERROR(INDEX(EqTypeCol,MATCH(B38,EqTag,0)),"Tag not in register"))</f>
        <v/>
      </c>
      <c r="D38" s="4" t="n"/>
      <c r="E38" s="4" t="n"/>
      <c r="F38" s="4" t="n"/>
      <c r="G38" s="4" t="n"/>
      <c r="H38" s="4" t="n"/>
      <c r="I38" s="4" t="n"/>
      <c r="J38" s="5">
        <f>_xlfn.TEXTJOIN(CHAR(10),TRUE,IF(G38="","","• "&amp;G38),IF(H38="","","• "&amp;H38),IF(I38="","","• "&amp;I38))</f>
        <v/>
      </c>
      <c r="K38" s="4" t="n"/>
      <c r="L38" s="4" t="n"/>
      <c r="M38" s="4" t="n"/>
      <c r="N38" s="16" t="n"/>
      <c r="O38" s="4" t="n"/>
      <c r="P38" s="16" t="n"/>
      <c r="Q38" s="4" t="n"/>
      <c r="R38" s="16" t="n"/>
      <c r="S38" s="20">
        <f>IF(OR(N38="",P38="",R38=""),"",(--TRIM(LEFT(N38,2)))*(--TRIM(LEFT(P38,2)))*(--TRIM(LEFT(R38,2))))</f>
        <v/>
      </c>
      <c r="T38" s="20">
        <f>IF(OR(N38="",P38="",R38=""),"",INDEX(APGrid,COUNTIF(APS,"&gt;"&amp;(--TRIM(LEFT(N38,2))))*5+COUNTIF(APO,"&gt;"&amp;(--TRIM(LEFT(P38,2))))+1,COUNTIF(APD,"&gt;"&amp;(--TRIM(LEFT(R38,2))))+1))</f>
        <v/>
      </c>
      <c r="U38" s="20">
        <f>IF(S38="","",IF(OR((--TRIM(LEFT(N38,2)))&gt;=SThr,S38&gt;=RPNThr,T38="H"),"Yes","No"))</f>
        <v/>
      </c>
      <c r="V38" s="4" t="n"/>
      <c r="W38" s="4" t="n"/>
      <c r="X38" s="4" t="n"/>
      <c r="Y38" s="29" t="n"/>
      <c r="Z38" s="16" t="n"/>
      <c r="AA38" s="16" t="n"/>
      <c r="AB38" s="16" t="n"/>
      <c r="AC38" s="20">
        <f>IF(OR(Z38="",AA38="",AB38=""),"",(--TRIM(LEFT(Z38,2)))*(--TRIM(LEFT(AA38,2)))*(--TRIM(LEFT(AB38,2))))</f>
        <v/>
      </c>
      <c r="AD38" s="20">
        <f>IF(OR(Z38="",AA38="",AB38=""),"",INDEX(APGrid,COUNTIF(APS,"&gt;"&amp;(--TRIM(LEFT(Z38,2))))*5+COUNTIF(APO,"&gt;"&amp;(--TRIM(LEFT(AA38,2))))+1,COUNTIF(APD,"&gt;"&amp;(--TRIM(LEFT(AB38,2))))+1))</f>
        <v/>
      </c>
      <c r="AE38" s="4" t="n"/>
      <c r="AF38" s="4" t="n"/>
      <c r="AH38">
        <f>IFERROR(INDEX(EqTag,_xlfn.AGGREGATE(15,6,(ROW(EqTag)-4)/((EqSys=$D$3)*(EqTag&lt;&gt;"")),ROWS($AH$14:AH38))),"")</f>
        <v/>
      </c>
    </row>
    <row r="39">
      <c r="A39" s="20">
        <f>IF(F39="","",LEFT($D$3,3)&amp;"-"&amp;TEXT(COUNTIF(F$14:F39,"?*"),"00"))</f>
        <v/>
      </c>
      <c r="B39" s="4" t="n"/>
      <c r="C39" s="5">
        <f>IF(B39="","",IFERROR(INDEX(EqTypeCol,MATCH(B39,EqTag,0)),"Tag not in register"))</f>
        <v/>
      </c>
      <c r="D39" s="4" t="n"/>
      <c r="E39" s="4" t="n"/>
      <c r="F39" s="4" t="n"/>
      <c r="G39" s="4" t="n"/>
      <c r="H39" s="4" t="n"/>
      <c r="I39" s="4" t="n"/>
      <c r="J39" s="5">
        <f>_xlfn.TEXTJOIN(CHAR(10),TRUE,IF(G39="","","• "&amp;G39),IF(H39="","","• "&amp;H39),IF(I39="","","• "&amp;I39))</f>
        <v/>
      </c>
      <c r="K39" s="4" t="n"/>
      <c r="L39" s="4" t="n"/>
      <c r="M39" s="4" t="n"/>
      <c r="N39" s="16" t="n"/>
      <c r="O39" s="4" t="n"/>
      <c r="P39" s="16" t="n"/>
      <c r="Q39" s="4" t="n"/>
      <c r="R39" s="16" t="n"/>
      <c r="S39" s="20">
        <f>IF(OR(N39="",P39="",R39=""),"",(--TRIM(LEFT(N39,2)))*(--TRIM(LEFT(P39,2)))*(--TRIM(LEFT(R39,2))))</f>
        <v/>
      </c>
      <c r="T39" s="20">
        <f>IF(OR(N39="",P39="",R39=""),"",INDEX(APGrid,COUNTIF(APS,"&gt;"&amp;(--TRIM(LEFT(N39,2))))*5+COUNTIF(APO,"&gt;"&amp;(--TRIM(LEFT(P39,2))))+1,COUNTIF(APD,"&gt;"&amp;(--TRIM(LEFT(R39,2))))+1))</f>
        <v/>
      </c>
      <c r="U39" s="20">
        <f>IF(S39="","",IF(OR((--TRIM(LEFT(N39,2)))&gt;=SThr,S39&gt;=RPNThr,T39="H"),"Yes","No"))</f>
        <v/>
      </c>
      <c r="V39" s="4" t="n"/>
      <c r="W39" s="4" t="n"/>
      <c r="X39" s="4" t="n"/>
      <c r="Y39" s="29" t="n"/>
      <c r="Z39" s="16" t="n"/>
      <c r="AA39" s="16" t="n"/>
      <c r="AB39" s="16" t="n"/>
      <c r="AC39" s="20">
        <f>IF(OR(Z39="",AA39="",AB39=""),"",(--TRIM(LEFT(Z39,2)))*(--TRIM(LEFT(AA39,2)))*(--TRIM(LEFT(AB39,2))))</f>
        <v/>
      </c>
      <c r="AD39" s="20">
        <f>IF(OR(Z39="",AA39="",AB39=""),"",INDEX(APGrid,COUNTIF(APS,"&gt;"&amp;(--TRIM(LEFT(Z39,2))))*5+COUNTIF(APO,"&gt;"&amp;(--TRIM(LEFT(AA39,2))))+1,COUNTIF(APD,"&gt;"&amp;(--TRIM(LEFT(AB39,2))))+1))</f>
        <v/>
      </c>
      <c r="AE39" s="4" t="n"/>
      <c r="AF39" s="4" t="n"/>
      <c r="AH39">
        <f>IFERROR(INDEX(EqTag,_xlfn.AGGREGATE(15,6,(ROW(EqTag)-4)/((EqSys=$D$3)*(EqTag&lt;&gt;"")),ROWS($AH$14:AH39))),"")</f>
        <v/>
      </c>
    </row>
    <row r="40">
      <c r="A40" s="20">
        <f>IF(F40="","",LEFT($D$3,3)&amp;"-"&amp;TEXT(COUNTIF(F$14:F40,"?*"),"00"))</f>
        <v/>
      </c>
      <c r="B40" s="4" t="n"/>
      <c r="C40" s="5">
        <f>IF(B40="","",IFERROR(INDEX(EqTypeCol,MATCH(B40,EqTag,0)),"Tag not in register"))</f>
        <v/>
      </c>
      <c r="D40" s="4" t="n"/>
      <c r="E40" s="4" t="n"/>
      <c r="F40" s="4" t="n"/>
      <c r="G40" s="4" t="n"/>
      <c r="H40" s="4" t="n"/>
      <c r="I40" s="4" t="n"/>
      <c r="J40" s="5">
        <f>_xlfn.TEXTJOIN(CHAR(10),TRUE,IF(G40="","","• "&amp;G40),IF(H40="","","• "&amp;H40),IF(I40="","","• "&amp;I40))</f>
        <v/>
      </c>
      <c r="K40" s="4" t="n"/>
      <c r="L40" s="4" t="n"/>
      <c r="M40" s="4" t="n"/>
      <c r="N40" s="16" t="n"/>
      <c r="O40" s="4" t="n"/>
      <c r="P40" s="16" t="n"/>
      <c r="Q40" s="4" t="n"/>
      <c r="R40" s="16" t="n"/>
      <c r="S40" s="20">
        <f>IF(OR(N40="",P40="",R40=""),"",(--TRIM(LEFT(N40,2)))*(--TRIM(LEFT(P40,2)))*(--TRIM(LEFT(R40,2))))</f>
        <v/>
      </c>
      <c r="T40" s="20">
        <f>IF(OR(N40="",P40="",R40=""),"",INDEX(APGrid,COUNTIF(APS,"&gt;"&amp;(--TRIM(LEFT(N40,2))))*5+COUNTIF(APO,"&gt;"&amp;(--TRIM(LEFT(P40,2))))+1,COUNTIF(APD,"&gt;"&amp;(--TRIM(LEFT(R40,2))))+1))</f>
        <v/>
      </c>
      <c r="U40" s="20">
        <f>IF(S40="","",IF(OR((--TRIM(LEFT(N40,2)))&gt;=SThr,S40&gt;=RPNThr,T40="H"),"Yes","No"))</f>
        <v/>
      </c>
      <c r="V40" s="4" t="n"/>
      <c r="W40" s="4" t="n"/>
      <c r="X40" s="4" t="n"/>
      <c r="Y40" s="29" t="n"/>
      <c r="Z40" s="16" t="n"/>
      <c r="AA40" s="16" t="n"/>
      <c r="AB40" s="16" t="n"/>
      <c r="AC40" s="20">
        <f>IF(OR(Z40="",AA40="",AB40=""),"",(--TRIM(LEFT(Z40,2)))*(--TRIM(LEFT(AA40,2)))*(--TRIM(LEFT(AB40,2))))</f>
        <v/>
      </c>
      <c r="AD40" s="20">
        <f>IF(OR(Z40="",AA40="",AB40=""),"",INDEX(APGrid,COUNTIF(APS,"&gt;"&amp;(--TRIM(LEFT(Z40,2))))*5+COUNTIF(APO,"&gt;"&amp;(--TRIM(LEFT(AA40,2))))+1,COUNTIF(APD,"&gt;"&amp;(--TRIM(LEFT(AB40,2))))+1))</f>
        <v/>
      </c>
      <c r="AE40" s="4" t="n"/>
      <c r="AF40" s="4" t="n"/>
      <c r="AH40">
        <f>IFERROR(INDEX(EqTag,_xlfn.AGGREGATE(15,6,(ROW(EqTag)-4)/((EqSys=$D$3)*(EqTag&lt;&gt;"")),ROWS($AH$14:AH40))),"")</f>
        <v/>
      </c>
    </row>
    <row r="41">
      <c r="A41" s="20">
        <f>IF(F41="","",LEFT($D$3,3)&amp;"-"&amp;TEXT(COUNTIF(F$14:F41,"?*"),"00"))</f>
        <v/>
      </c>
      <c r="B41" s="4" t="n"/>
      <c r="C41" s="5">
        <f>IF(B41="","",IFERROR(INDEX(EqTypeCol,MATCH(B41,EqTag,0)),"Tag not in register"))</f>
        <v/>
      </c>
      <c r="D41" s="4" t="n"/>
      <c r="E41" s="4" t="n"/>
      <c r="F41" s="4" t="n"/>
      <c r="G41" s="4" t="n"/>
      <c r="H41" s="4" t="n"/>
      <c r="I41" s="4" t="n"/>
      <c r="J41" s="5">
        <f>_xlfn.TEXTJOIN(CHAR(10),TRUE,IF(G41="","","• "&amp;G41),IF(H41="","","• "&amp;H41),IF(I41="","","• "&amp;I41))</f>
        <v/>
      </c>
      <c r="K41" s="4" t="n"/>
      <c r="L41" s="4" t="n"/>
      <c r="M41" s="4" t="n"/>
      <c r="N41" s="16" t="n"/>
      <c r="O41" s="4" t="n"/>
      <c r="P41" s="16" t="n"/>
      <c r="Q41" s="4" t="n"/>
      <c r="R41" s="16" t="n"/>
      <c r="S41" s="20">
        <f>IF(OR(N41="",P41="",R41=""),"",(--TRIM(LEFT(N41,2)))*(--TRIM(LEFT(P41,2)))*(--TRIM(LEFT(R41,2))))</f>
        <v/>
      </c>
      <c r="T41" s="20">
        <f>IF(OR(N41="",P41="",R41=""),"",INDEX(APGrid,COUNTIF(APS,"&gt;"&amp;(--TRIM(LEFT(N41,2))))*5+COUNTIF(APO,"&gt;"&amp;(--TRIM(LEFT(P41,2))))+1,COUNTIF(APD,"&gt;"&amp;(--TRIM(LEFT(R41,2))))+1))</f>
        <v/>
      </c>
      <c r="U41" s="20">
        <f>IF(S41="","",IF(OR((--TRIM(LEFT(N41,2)))&gt;=SThr,S41&gt;=RPNThr,T41="H"),"Yes","No"))</f>
        <v/>
      </c>
      <c r="V41" s="4" t="n"/>
      <c r="W41" s="4" t="n"/>
      <c r="X41" s="4" t="n"/>
      <c r="Y41" s="29" t="n"/>
      <c r="Z41" s="16" t="n"/>
      <c r="AA41" s="16" t="n"/>
      <c r="AB41" s="16" t="n"/>
      <c r="AC41" s="20">
        <f>IF(OR(Z41="",AA41="",AB41=""),"",(--TRIM(LEFT(Z41,2)))*(--TRIM(LEFT(AA41,2)))*(--TRIM(LEFT(AB41,2))))</f>
        <v/>
      </c>
      <c r="AD41" s="20">
        <f>IF(OR(Z41="",AA41="",AB41=""),"",INDEX(APGrid,COUNTIF(APS,"&gt;"&amp;(--TRIM(LEFT(Z41,2))))*5+COUNTIF(APO,"&gt;"&amp;(--TRIM(LEFT(AA41,2))))+1,COUNTIF(APD,"&gt;"&amp;(--TRIM(LEFT(AB41,2))))+1))</f>
        <v/>
      </c>
      <c r="AE41" s="4" t="n"/>
      <c r="AF41" s="4" t="n"/>
      <c r="AH41">
        <f>IFERROR(INDEX(EqTag,_xlfn.AGGREGATE(15,6,(ROW(EqTag)-4)/((EqSys=$D$3)*(EqTag&lt;&gt;"")),ROWS($AH$14:AH41))),"")</f>
        <v/>
      </c>
    </row>
    <row r="42">
      <c r="A42" s="20">
        <f>IF(F42="","",LEFT($D$3,3)&amp;"-"&amp;TEXT(COUNTIF(F$14:F42,"?*"),"00"))</f>
        <v/>
      </c>
      <c r="B42" s="4" t="n"/>
      <c r="C42" s="5">
        <f>IF(B42="","",IFERROR(INDEX(EqTypeCol,MATCH(B42,EqTag,0)),"Tag not in register"))</f>
        <v/>
      </c>
      <c r="D42" s="4" t="n"/>
      <c r="E42" s="4" t="n"/>
      <c r="F42" s="4" t="n"/>
      <c r="G42" s="4" t="n"/>
      <c r="H42" s="4" t="n"/>
      <c r="I42" s="4" t="n"/>
      <c r="J42" s="5">
        <f>_xlfn.TEXTJOIN(CHAR(10),TRUE,IF(G42="","","• "&amp;G42),IF(H42="","","• "&amp;H42),IF(I42="","","• "&amp;I42))</f>
        <v/>
      </c>
      <c r="K42" s="4" t="n"/>
      <c r="L42" s="4" t="n"/>
      <c r="M42" s="4" t="n"/>
      <c r="N42" s="16" t="n"/>
      <c r="O42" s="4" t="n"/>
      <c r="P42" s="16" t="n"/>
      <c r="Q42" s="4" t="n"/>
      <c r="R42" s="16" t="n"/>
      <c r="S42" s="20">
        <f>IF(OR(N42="",P42="",R42=""),"",(--TRIM(LEFT(N42,2)))*(--TRIM(LEFT(P42,2)))*(--TRIM(LEFT(R42,2))))</f>
        <v/>
      </c>
      <c r="T42" s="20">
        <f>IF(OR(N42="",P42="",R42=""),"",INDEX(APGrid,COUNTIF(APS,"&gt;"&amp;(--TRIM(LEFT(N42,2))))*5+COUNTIF(APO,"&gt;"&amp;(--TRIM(LEFT(P42,2))))+1,COUNTIF(APD,"&gt;"&amp;(--TRIM(LEFT(R42,2))))+1))</f>
        <v/>
      </c>
      <c r="U42" s="20">
        <f>IF(S42="","",IF(OR((--TRIM(LEFT(N42,2)))&gt;=SThr,S42&gt;=RPNThr,T42="H"),"Yes","No"))</f>
        <v/>
      </c>
      <c r="V42" s="4" t="n"/>
      <c r="W42" s="4" t="n"/>
      <c r="X42" s="4" t="n"/>
      <c r="Y42" s="29" t="n"/>
      <c r="Z42" s="16" t="n"/>
      <c r="AA42" s="16" t="n"/>
      <c r="AB42" s="16" t="n"/>
      <c r="AC42" s="20">
        <f>IF(OR(Z42="",AA42="",AB42=""),"",(--TRIM(LEFT(Z42,2)))*(--TRIM(LEFT(AA42,2)))*(--TRIM(LEFT(AB42,2))))</f>
        <v/>
      </c>
      <c r="AD42" s="20">
        <f>IF(OR(Z42="",AA42="",AB42=""),"",INDEX(APGrid,COUNTIF(APS,"&gt;"&amp;(--TRIM(LEFT(Z42,2))))*5+COUNTIF(APO,"&gt;"&amp;(--TRIM(LEFT(AA42,2))))+1,COUNTIF(APD,"&gt;"&amp;(--TRIM(LEFT(AB42,2))))+1))</f>
        <v/>
      </c>
      <c r="AE42" s="4" t="n"/>
      <c r="AF42" s="4" t="n"/>
      <c r="AH42">
        <f>IFERROR(INDEX(EqTag,_xlfn.AGGREGATE(15,6,(ROW(EqTag)-4)/((EqSys=$D$3)*(EqTag&lt;&gt;"")),ROWS($AH$14:AH42))),"")</f>
        <v/>
      </c>
    </row>
    <row r="43">
      <c r="A43" s="20">
        <f>IF(F43="","",LEFT($D$3,3)&amp;"-"&amp;TEXT(COUNTIF(F$14:F43,"?*"),"00"))</f>
        <v/>
      </c>
      <c r="B43" s="4" t="n"/>
      <c r="C43" s="5">
        <f>IF(B43="","",IFERROR(INDEX(EqTypeCol,MATCH(B43,EqTag,0)),"Tag not in register"))</f>
        <v/>
      </c>
      <c r="D43" s="4" t="n"/>
      <c r="E43" s="4" t="n"/>
      <c r="F43" s="4" t="n"/>
      <c r="G43" s="4" t="n"/>
      <c r="H43" s="4" t="n"/>
      <c r="I43" s="4" t="n"/>
      <c r="J43" s="5">
        <f>_xlfn.TEXTJOIN(CHAR(10),TRUE,IF(G43="","","• "&amp;G43),IF(H43="","","• "&amp;H43),IF(I43="","","• "&amp;I43))</f>
        <v/>
      </c>
      <c r="K43" s="4" t="n"/>
      <c r="L43" s="4" t="n"/>
      <c r="M43" s="4" t="n"/>
      <c r="N43" s="16" t="n"/>
      <c r="O43" s="4" t="n"/>
      <c r="P43" s="16" t="n"/>
      <c r="Q43" s="4" t="n"/>
      <c r="R43" s="16" t="n"/>
      <c r="S43" s="20">
        <f>IF(OR(N43="",P43="",R43=""),"",(--TRIM(LEFT(N43,2)))*(--TRIM(LEFT(P43,2)))*(--TRIM(LEFT(R43,2))))</f>
        <v/>
      </c>
      <c r="T43" s="20">
        <f>IF(OR(N43="",P43="",R43=""),"",INDEX(APGrid,COUNTIF(APS,"&gt;"&amp;(--TRIM(LEFT(N43,2))))*5+COUNTIF(APO,"&gt;"&amp;(--TRIM(LEFT(P43,2))))+1,COUNTIF(APD,"&gt;"&amp;(--TRIM(LEFT(R43,2))))+1))</f>
        <v/>
      </c>
      <c r="U43" s="20">
        <f>IF(S43="","",IF(OR((--TRIM(LEFT(N43,2)))&gt;=SThr,S43&gt;=RPNThr,T43="H"),"Yes","No"))</f>
        <v/>
      </c>
      <c r="V43" s="4" t="n"/>
      <c r="W43" s="4" t="n"/>
      <c r="X43" s="4" t="n"/>
      <c r="Y43" s="29" t="n"/>
      <c r="Z43" s="16" t="n"/>
      <c r="AA43" s="16" t="n"/>
      <c r="AB43" s="16" t="n"/>
      <c r="AC43" s="20">
        <f>IF(OR(Z43="",AA43="",AB43=""),"",(--TRIM(LEFT(Z43,2)))*(--TRIM(LEFT(AA43,2)))*(--TRIM(LEFT(AB43,2))))</f>
        <v/>
      </c>
      <c r="AD43" s="20">
        <f>IF(OR(Z43="",AA43="",AB43=""),"",INDEX(APGrid,COUNTIF(APS,"&gt;"&amp;(--TRIM(LEFT(Z43,2))))*5+COUNTIF(APO,"&gt;"&amp;(--TRIM(LEFT(AA43,2))))+1,COUNTIF(APD,"&gt;"&amp;(--TRIM(LEFT(AB43,2))))+1))</f>
        <v/>
      </c>
      <c r="AE43" s="4" t="n"/>
      <c r="AF43" s="4" t="n"/>
      <c r="AH43">
        <f>IFERROR(INDEX(EqTag,_xlfn.AGGREGATE(15,6,(ROW(EqTag)-4)/((EqSys=$D$3)*(EqTag&lt;&gt;"")),ROWS($AH$14:AH43))),"")</f>
        <v/>
      </c>
    </row>
    <row r="44">
      <c r="A44" s="20">
        <f>IF(F44="","",LEFT($D$3,3)&amp;"-"&amp;TEXT(COUNTIF(F$14:F44,"?*"),"00"))</f>
        <v/>
      </c>
      <c r="B44" s="4" t="n"/>
      <c r="C44" s="5">
        <f>IF(B44="","",IFERROR(INDEX(EqTypeCol,MATCH(B44,EqTag,0)),"Tag not in register"))</f>
        <v/>
      </c>
      <c r="D44" s="4" t="n"/>
      <c r="E44" s="4" t="n"/>
      <c r="F44" s="4" t="n"/>
      <c r="G44" s="4" t="n"/>
      <c r="H44" s="4" t="n"/>
      <c r="I44" s="4" t="n"/>
      <c r="J44" s="5">
        <f>_xlfn.TEXTJOIN(CHAR(10),TRUE,IF(G44="","","• "&amp;G44),IF(H44="","","• "&amp;H44),IF(I44="","","• "&amp;I44))</f>
        <v/>
      </c>
      <c r="K44" s="4" t="n"/>
      <c r="L44" s="4" t="n"/>
      <c r="M44" s="4" t="n"/>
      <c r="N44" s="16" t="n"/>
      <c r="O44" s="4" t="n"/>
      <c r="P44" s="16" t="n"/>
      <c r="Q44" s="4" t="n"/>
      <c r="R44" s="16" t="n"/>
      <c r="S44" s="20">
        <f>IF(OR(N44="",P44="",R44=""),"",(--TRIM(LEFT(N44,2)))*(--TRIM(LEFT(P44,2)))*(--TRIM(LEFT(R44,2))))</f>
        <v/>
      </c>
      <c r="T44" s="20">
        <f>IF(OR(N44="",P44="",R44=""),"",INDEX(APGrid,COUNTIF(APS,"&gt;"&amp;(--TRIM(LEFT(N44,2))))*5+COUNTIF(APO,"&gt;"&amp;(--TRIM(LEFT(P44,2))))+1,COUNTIF(APD,"&gt;"&amp;(--TRIM(LEFT(R44,2))))+1))</f>
        <v/>
      </c>
      <c r="U44" s="20">
        <f>IF(S44="","",IF(OR((--TRIM(LEFT(N44,2)))&gt;=SThr,S44&gt;=RPNThr,T44="H"),"Yes","No"))</f>
        <v/>
      </c>
      <c r="V44" s="4" t="n"/>
      <c r="W44" s="4" t="n"/>
      <c r="X44" s="4" t="n"/>
      <c r="Y44" s="29" t="n"/>
      <c r="Z44" s="16" t="n"/>
      <c r="AA44" s="16" t="n"/>
      <c r="AB44" s="16" t="n"/>
      <c r="AC44" s="20">
        <f>IF(OR(Z44="",AA44="",AB44=""),"",(--TRIM(LEFT(Z44,2)))*(--TRIM(LEFT(AA44,2)))*(--TRIM(LEFT(AB44,2))))</f>
        <v/>
      </c>
      <c r="AD44" s="20">
        <f>IF(OR(Z44="",AA44="",AB44=""),"",INDEX(APGrid,COUNTIF(APS,"&gt;"&amp;(--TRIM(LEFT(Z44,2))))*5+COUNTIF(APO,"&gt;"&amp;(--TRIM(LEFT(AA44,2))))+1,COUNTIF(APD,"&gt;"&amp;(--TRIM(LEFT(AB44,2))))+1))</f>
        <v/>
      </c>
      <c r="AE44" s="4" t="n"/>
      <c r="AF44" s="4" t="n"/>
      <c r="AH44">
        <f>IFERROR(INDEX(EqTag,_xlfn.AGGREGATE(15,6,(ROW(EqTag)-4)/((EqSys=$D$3)*(EqTag&lt;&gt;"")),ROWS($AH$14:AH44))),"")</f>
        <v/>
      </c>
    </row>
    <row r="45">
      <c r="A45" s="20">
        <f>IF(F45="","",LEFT($D$3,3)&amp;"-"&amp;TEXT(COUNTIF(F$14:F45,"?*"),"00"))</f>
        <v/>
      </c>
      <c r="B45" s="4" t="n"/>
      <c r="C45" s="5">
        <f>IF(B45="","",IFERROR(INDEX(EqTypeCol,MATCH(B45,EqTag,0)),"Tag not in register"))</f>
        <v/>
      </c>
      <c r="D45" s="4" t="n"/>
      <c r="E45" s="4" t="n"/>
      <c r="F45" s="4" t="n"/>
      <c r="G45" s="4" t="n"/>
      <c r="H45" s="4" t="n"/>
      <c r="I45" s="4" t="n"/>
      <c r="J45" s="5">
        <f>_xlfn.TEXTJOIN(CHAR(10),TRUE,IF(G45="","","• "&amp;G45),IF(H45="","","• "&amp;H45),IF(I45="","","• "&amp;I45))</f>
        <v/>
      </c>
      <c r="K45" s="4" t="n"/>
      <c r="L45" s="4" t="n"/>
      <c r="M45" s="4" t="n"/>
      <c r="N45" s="16" t="n"/>
      <c r="O45" s="4" t="n"/>
      <c r="P45" s="16" t="n"/>
      <c r="Q45" s="4" t="n"/>
      <c r="R45" s="16" t="n"/>
      <c r="S45" s="20">
        <f>IF(OR(N45="",P45="",R45=""),"",(--TRIM(LEFT(N45,2)))*(--TRIM(LEFT(P45,2)))*(--TRIM(LEFT(R45,2))))</f>
        <v/>
      </c>
      <c r="T45" s="20">
        <f>IF(OR(N45="",P45="",R45=""),"",INDEX(APGrid,COUNTIF(APS,"&gt;"&amp;(--TRIM(LEFT(N45,2))))*5+COUNTIF(APO,"&gt;"&amp;(--TRIM(LEFT(P45,2))))+1,COUNTIF(APD,"&gt;"&amp;(--TRIM(LEFT(R45,2))))+1))</f>
        <v/>
      </c>
      <c r="U45" s="20">
        <f>IF(S45="","",IF(OR((--TRIM(LEFT(N45,2)))&gt;=SThr,S45&gt;=RPNThr,T45="H"),"Yes","No"))</f>
        <v/>
      </c>
      <c r="V45" s="4" t="n"/>
      <c r="W45" s="4" t="n"/>
      <c r="X45" s="4" t="n"/>
      <c r="Y45" s="29" t="n"/>
      <c r="Z45" s="16" t="n"/>
      <c r="AA45" s="16" t="n"/>
      <c r="AB45" s="16" t="n"/>
      <c r="AC45" s="20">
        <f>IF(OR(Z45="",AA45="",AB45=""),"",(--TRIM(LEFT(Z45,2)))*(--TRIM(LEFT(AA45,2)))*(--TRIM(LEFT(AB45,2))))</f>
        <v/>
      </c>
      <c r="AD45" s="20">
        <f>IF(OR(Z45="",AA45="",AB45=""),"",INDEX(APGrid,COUNTIF(APS,"&gt;"&amp;(--TRIM(LEFT(Z45,2))))*5+COUNTIF(APO,"&gt;"&amp;(--TRIM(LEFT(AA45,2))))+1,COUNTIF(APD,"&gt;"&amp;(--TRIM(LEFT(AB45,2))))+1))</f>
        <v/>
      </c>
      <c r="AE45" s="4" t="n"/>
      <c r="AF45" s="4" t="n"/>
      <c r="AH45">
        <f>IFERROR(INDEX(EqTag,_xlfn.AGGREGATE(15,6,(ROW(EqTag)-4)/((EqSys=$D$3)*(EqTag&lt;&gt;"")),ROWS($AH$14:AH45))),"")</f>
        <v/>
      </c>
    </row>
    <row r="46">
      <c r="A46" s="20">
        <f>IF(F46="","",LEFT($D$3,3)&amp;"-"&amp;TEXT(COUNTIF(F$14:F46,"?*"),"00"))</f>
        <v/>
      </c>
      <c r="B46" s="4" t="n"/>
      <c r="C46" s="5">
        <f>IF(B46="","",IFERROR(INDEX(EqTypeCol,MATCH(B46,EqTag,0)),"Tag not in register"))</f>
        <v/>
      </c>
      <c r="D46" s="4" t="n"/>
      <c r="E46" s="4" t="n"/>
      <c r="F46" s="4" t="n"/>
      <c r="G46" s="4" t="n"/>
      <c r="H46" s="4" t="n"/>
      <c r="I46" s="4" t="n"/>
      <c r="J46" s="5">
        <f>_xlfn.TEXTJOIN(CHAR(10),TRUE,IF(G46="","","• "&amp;G46),IF(H46="","","• "&amp;H46),IF(I46="","","• "&amp;I46))</f>
        <v/>
      </c>
      <c r="K46" s="4" t="n"/>
      <c r="L46" s="4" t="n"/>
      <c r="M46" s="4" t="n"/>
      <c r="N46" s="16" t="n"/>
      <c r="O46" s="4" t="n"/>
      <c r="P46" s="16" t="n"/>
      <c r="Q46" s="4" t="n"/>
      <c r="R46" s="16" t="n"/>
      <c r="S46" s="20">
        <f>IF(OR(N46="",P46="",R46=""),"",(--TRIM(LEFT(N46,2)))*(--TRIM(LEFT(P46,2)))*(--TRIM(LEFT(R46,2))))</f>
        <v/>
      </c>
      <c r="T46" s="20">
        <f>IF(OR(N46="",P46="",R46=""),"",INDEX(APGrid,COUNTIF(APS,"&gt;"&amp;(--TRIM(LEFT(N46,2))))*5+COUNTIF(APO,"&gt;"&amp;(--TRIM(LEFT(P46,2))))+1,COUNTIF(APD,"&gt;"&amp;(--TRIM(LEFT(R46,2))))+1))</f>
        <v/>
      </c>
      <c r="U46" s="20">
        <f>IF(S46="","",IF(OR((--TRIM(LEFT(N46,2)))&gt;=SThr,S46&gt;=RPNThr,T46="H"),"Yes","No"))</f>
        <v/>
      </c>
      <c r="V46" s="4" t="n"/>
      <c r="W46" s="4" t="n"/>
      <c r="X46" s="4" t="n"/>
      <c r="Y46" s="29" t="n"/>
      <c r="Z46" s="16" t="n"/>
      <c r="AA46" s="16" t="n"/>
      <c r="AB46" s="16" t="n"/>
      <c r="AC46" s="20">
        <f>IF(OR(Z46="",AA46="",AB46=""),"",(--TRIM(LEFT(Z46,2)))*(--TRIM(LEFT(AA46,2)))*(--TRIM(LEFT(AB46,2))))</f>
        <v/>
      </c>
      <c r="AD46" s="20">
        <f>IF(OR(Z46="",AA46="",AB46=""),"",INDEX(APGrid,COUNTIF(APS,"&gt;"&amp;(--TRIM(LEFT(Z46,2))))*5+COUNTIF(APO,"&gt;"&amp;(--TRIM(LEFT(AA46,2))))+1,COUNTIF(APD,"&gt;"&amp;(--TRIM(LEFT(AB46,2))))+1))</f>
        <v/>
      </c>
      <c r="AE46" s="4" t="n"/>
      <c r="AF46" s="4" t="n"/>
      <c r="AH46">
        <f>IFERROR(INDEX(EqTag,_xlfn.AGGREGATE(15,6,(ROW(EqTag)-4)/((EqSys=$D$3)*(EqTag&lt;&gt;"")),ROWS($AH$14:AH46))),"")</f>
        <v/>
      </c>
    </row>
    <row r="47">
      <c r="A47" s="20">
        <f>IF(F47="","",LEFT($D$3,3)&amp;"-"&amp;TEXT(COUNTIF(F$14:F47,"?*"),"00"))</f>
        <v/>
      </c>
      <c r="B47" s="4" t="n"/>
      <c r="C47" s="5">
        <f>IF(B47="","",IFERROR(INDEX(EqTypeCol,MATCH(B47,EqTag,0)),"Tag not in register"))</f>
        <v/>
      </c>
      <c r="D47" s="4" t="n"/>
      <c r="E47" s="4" t="n"/>
      <c r="F47" s="4" t="n"/>
      <c r="G47" s="4" t="n"/>
      <c r="H47" s="4" t="n"/>
      <c r="I47" s="4" t="n"/>
      <c r="J47" s="5">
        <f>_xlfn.TEXTJOIN(CHAR(10),TRUE,IF(G47="","","• "&amp;G47),IF(H47="","","• "&amp;H47),IF(I47="","","• "&amp;I47))</f>
        <v/>
      </c>
      <c r="K47" s="4" t="n"/>
      <c r="L47" s="4" t="n"/>
      <c r="M47" s="4" t="n"/>
      <c r="N47" s="16" t="n"/>
      <c r="O47" s="4" t="n"/>
      <c r="P47" s="16" t="n"/>
      <c r="Q47" s="4" t="n"/>
      <c r="R47" s="16" t="n"/>
      <c r="S47" s="20">
        <f>IF(OR(N47="",P47="",R47=""),"",(--TRIM(LEFT(N47,2)))*(--TRIM(LEFT(P47,2)))*(--TRIM(LEFT(R47,2))))</f>
        <v/>
      </c>
      <c r="T47" s="20">
        <f>IF(OR(N47="",P47="",R47=""),"",INDEX(APGrid,COUNTIF(APS,"&gt;"&amp;(--TRIM(LEFT(N47,2))))*5+COUNTIF(APO,"&gt;"&amp;(--TRIM(LEFT(P47,2))))+1,COUNTIF(APD,"&gt;"&amp;(--TRIM(LEFT(R47,2))))+1))</f>
        <v/>
      </c>
      <c r="U47" s="20">
        <f>IF(S47="","",IF(OR((--TRIM(LEFT(N47,2)))&gt;=SThr,S47&gt;=RPNThr,T47="H"),"Yes","No"))</f>
        <v/>
      </c>
      <c r="V47" s="4" t="n"/>
      <c r="W47" s="4" t="n"/>
      <c r="X47" s="4" t="n"/>
      <c r="Y47" s="29" t="n"/>
      <c r="Z47" s="16" t="n"/>
      <c r="AA47" s="16" t="n"/>
      <c r="AB47" s="16" t="n"/>
      <c r="AC47" s="20">
        <f>IF(OR(Z47="",AA47="",AB47=""),"",(--TRIM(LEFT(Z47,2)))*(--TRIM(LEFT(AA47,2)))*(--TRIM(LEFT(AB47,2))))</f>
        <v/>
      </c>
      <c r="AD47" s="20">
        <f>IF(OR(Z47="",AA47="",AB47=""),"",INDEX(APGrid,COUNTIF(APS,"&gt;"&amp;(--TRIM(LEFT(Z47,2))))*5+COUNTIF(APO,"&gt;"&amp;(--TRIM(LEFT(AA47,2))))+1,COUNTIF(APD,"&gt;"&amp;(--TRIM(LEFT(AB47,2))))+1))</f>
        <v/>
      </c>
      <c r="AE47" s="4" t="n"/>
      <c r="AF47" s="4" t="n"/>
      <c r="AH47">
        <f>IFERROR(INDEX(EqTag,_xlfn.AGGREGATE(15,6,(ROW(EqTag)-4)/((EqSys=$D$3)*(EqTag&lt;&gt;"")),ROWS($AH$14:AH47))),"")</f>
        <v/>
      </c>
    </row>
    <row r="48">
      <c r="A48" s="20">
        <f>IF(F48="","",LEFT($D$3,3)&amp;"-"&amp;TEXT(COUNTIF(F$14:F48,"?*"),"00"))</f>
        <v/>
      </c>
      <c r="B48" s="4" t="n"/>
      <c r="C48" s="5">
        <f>IF(B48="","",IFERROR(INDEX(EqTypeCol,MATCH(B48,EqTag,0)),"Tag not in register"))</f>
        <v/>
      </c>
      <c r="D48" s="4" t="n"/>
      <c r="E48" s="4" t="n"/>
      <c r="F48" s="4" t="n"/>
      <c r="G48" s="4" t="n"/>
      <c r="H48" s="4" t="n"/>
      <c r="I48" s="4" t="n"/>
      <c r="J48" s="5">
        <f>_xlfn.TEXTJOIN(CHAR(10),TRUE,IF(G48="","","• "&amp;G48),IF(H48="","","• "&amp;H48),IF(I48="","","• "&amp;I48))</f>
        <v/>
      </c>
      <c r="K48" s="4" t="n"/>
      <c r="L48" s="4" t="n"/>
      <c r="M48" s="4" t="n"/>
      <c r="N48" s="16" t="n"/>
      <c r="O48" s="4" t="n"/>
      <c r="P48" s="16" t="n"/>
      <c r="Q48" s="4" t="n"/>
      <c r="R48" s="16" t="n"/>
      <c r="S48" s="20">
        <f>IF(OR(N48="",P48="",R48=""),"",(--TRIM(LEFT(N48,2)))*(--TRIM(LEFT(P48,2)))*(--TRIM(LEFT(R48,2))))</f>
        <v/>
      </c>
      <c r="T48" s="20">
        <f>IF(OR(N48="",P48="",R48=""),"",INDEX(APGrid,COUNTIF(APS,"&gt;"&amp;(--TRIM(LEFT(N48,2))))*5+COUNTIF(APO,"&gt;"&amp;(--TRIM(LEFT(P48,2))))+1,COUNTIF(APD,"&gt;"&amp;(--TRIM(LEFT(R48,2))))+1))</f>
        <v/>
      </c>
      <c r="U48" s="20">
        <f>IF(S48="","",IF(OR((--TRIM(LEFT(N48,2)))&gt;=SThr,S48&gt;=RPNThr,T48="H"),"Yes","No"))</f>
        <v/>
      </c>
      <c r="V48" s="4" t="n"/>
      <c r="W48" s="4" t="n"/>
      <c r="X48" s="4" t="n"/>
      <c r="Y48" s="29" t="n"/>
      <c r="Z48" s="16" t="n"/>
      <c r="AA48" s="16" t="n"/>
      <c r="AB48" s="16" t="n"/>
      <c r="AC48" s="20">
        <f>IF(OR(Z48="",AA48="",AB48=""),"",(--TRIM(LEFT(Z48,2)))*(--TRIM(LEFT(AA48,2)))*(--TRIM(LEFT(AB48,2))))</f>
        <v/>
      </c>
      <c r="AD48" s="20">
        <f>IF(OR(Z48="",AA48="",AB48=""),"",INDEX(APGrid,COUNTIF(APS,"&gt;"&amp;(--TRIM(LEFT(Z48,2))))*5+COUNTIF(APO,"&gt;"&amp;(--TRIM(LEFT(AA48,2))))+1,COUNTIF(APD,"&gt;"&amp;(--TRIM(LEFT(AB48,2))))+1))</f>
        <v/>
      </c>
      <c r="AE48" s="4" t="n"/>
      <c r="AF48" s="4" t="n"/>
      <c r="AH48">
        <f>IFERROR(INDEX(EqTag,_xlfn.AGGREGATE(15,6,(ROW(EqTag)-4)/((EqSys=$D$3)*(EqTag&lt;&gt;"")),ROWS($AH$14:AH48))),"")</f>
        <v/>
      </c>
    </row>
    <row r="49">
      <c r="A49" s="20">
        <f>IF(F49="","",LEFT($D$3,3)&amp;"-"&amp;TEXT(COUNTIF(F$14:F49,"?*"),"00"))</f>
        <v/>
      </c>
      <c r="B49" s="4" t="n"/>
      <c r="C49" s="5">
        <f>IF(B49="","",IFERROR(INDEX(EqTypeCol,MATCH(B49,EqTag,0)),"Tag not in register"))</f>
        <v/>
      </c>
      <c r="D49" s="4" t="n"/>
      <c r="E49" s="4" t="n"/>
      <c r="F49" s="4" t="n"/>
      <c r="G49" s="4" t="n"/>
      <c r="H49" s="4" t="n"/>
      <c r="I49" s="4" t="n"/>
      <c r="J49" s="5">
        <f>_xlfn.TEXTJOIN(CHAR(10),TRUE,IF(G49="","","• "&amp;G49),IF(H49="","","• "&amp;H49),IF(I49="","","• "&amp;I49))</f>
        <v/>
      </c>
      <c r="K49" s="4" t="n"/>
      <c r="L49" s="4" t="n"/>
      <c r="M49" s="4" t="n"/>
      <c r="N49" s="16" t="n"/>
      <c r="O49" s="4" t="n"/>
      <c r="P49" s="16" t="n"/>
      <c r="Q49" s="4" t="n"/>
      <c r="R49" s="16" t="n"/>
      <c r="S49" s="20">
        <f>IF(OR(N49="",P49="",R49=""),"",(--TRIM(LEFT(N49,2)))*(--TRIM(LEFT(P49,2)))*(--TRIM(LEFT(R49,2))))</f>
        <v/>
      </c>
      <c r="T49" s="20">
        <f>IF(OR(N49="",P49="",R49=""),"",INDEX(APGrid,COUNTIF(APS,"&gt;"&amp;(--TRIM(LEFT(N49,2))))*5+COUNTIF(APO,"&gt;"&amp;(--TRIM(LEFT(P49,2))))+1,COUNTIF(APD,"&gt;"&amp;(--TRIM(LEFT(R49,2))))+1))</f>
        <v/>
      </c>
      <c r="U49" s="20">
        <f>IF(S49="","",IF(OR((--TRIM(LEFT(N49,2)))&gt;=SThr,S49&gt;=RPNThr,T49="H"),"Yes","No"))</f>
        <v/>
      </c>
      <c r="V49" s="4" t="n"/>
      <c r="W49" s="4" t="n"/>
      <c r="X49" s="4" t="n"/>
      <c r="Y49" s="29" t="n"/>
      <c r="Z49" s="16" t="n"/>
      <c r="AA49" s="16" t="n"/>
      <c r="AB49" s="16" t="n"/>
      <c r="AC49" s="20">
        <f>IF(OR(Z49="",AA49="",AB49=""),"",(--TRIM(LEFT(Z49,2)))*(--TRIM(LEFT(AA49,2)))*(--TRIM(LEFT(AB49,2))))</f>
        <v/>
      </c>
      <c r="AD49" s="20">
        <f>IF(OR(Z49="",AA49="",AB49=""),"",INDEX(APGrid,COUNTIF(APS,"&gt;"&amp;(--TRIM(LEFT(Z49,2))))*5+COUNTIF(APO,"&gt;"&amp;(--TRIM(LEFT(AA49,2))))+1,COUNTIF(APD,"&gt;"&amp;(--TRIM(LEFT(AB49,2))))+1))</f>
        <v/>
      </c>
      <c r="AE49" s="4" t="n"/>
      <c r="AF49" s="4" t="n"/>
      <c r="AH49">
        <f>IFERROR(INDEX(EqTag,_xlfn.AGGREGATE(15,6,(ROW(EqTag)-4)/((EqSys=$D$3)*(EqTag&lt;&gt;"")),ROWS($AH$14:AH49))),"")</f>
        <v/>
      </c>
    </row>
    <row r="50">
      <c r="A50" s="20">
        <f>IF(F50="","",LEFT($D$3,3)&amp;"-"&amp;TEXT(COUNTIF(F$14:F50,"?*"),"00"))</f>
        <v/>
      </c>
      <c r="B50" s="4" t="n"/>
      <c r="C50" s="5">
        <f>IF(B50="","",IFERROR(INDEX(EqTypeCol,MATCH(B50,EqTag,0)),"Tag not in register"))</f>
        <v/>
      </c>
      <c r="D50" s="4" t="n"/>
      <c r="E50" s="4" t="n"/>
      <c r="F50" s="4" t="n"/>
      <c r="G50" s="4" t="n"/>
      <c r="H50" s="4" t="n"/>
      <c r="I50" s="4" t="n"/>
      <c r="J50" s="5">
        <f>_xlfn.TEXTJOIN(CHAR(10),TRUE,IF(G50="","","• "&amp;G50),IF(H50="","","• "&amp;H50),IF(I50="","","• "&amp;I50))</f>
        <v/>
      </c>
      <c r="K50" s="4" t="n"/>
      <c r="L50" s="4" t="n"/>
      <c r="M50" s="4" t="n"/>
      <c r="N50" s="16" t="n"/>
      <c r="O50" s="4" t="n"/>
      <c r="P50" s="16" t="n"/>
      <c r="Q50" s="4" t="n"/>
      <c r="R50" s="16" t="n"/>
      <c r="S50" s="20">
        <f>IF(OR(N50="",P50="",R50=""),"",(--TRIM(LEFT(N50,2)))*(--TRIM(LEFT(P50,2)))*(--TRIM(LEFT(R50,2))))</f>
        <v/>
      </c>
      <c r="T50" s="20">
        <f>IF(OR(N50="",P50="",R50=""),"",INDEX(APGrid,COUNTIF(APS,"&gt;"&amp;(--TRIM(LEFT(N50,2))))*5+COUNTIF(APO,"&gt;"&amp;(--TRIM(LEFT(P50,2))))+1,COUNTIF(APD,"&gt;"&amp;(--TRIM(LEFT(R50,2))))+1))</f>
        <v/>
      </c>
      <c r="U50" s="20">
        <f>IF(S50="","",IF(OR((--TRIM(LEFT(N50,2)))&gt;=SThr,S50&gt;=RPNThr,T50="H"),"Yes","No"))</f>
        <v/>
      </c>
      <c r="V50" s="4" t="n"/>
      <c r="W50" s="4" t="n"/>
      <c r="X50" s="4" t="n"/>
      <c r="Y50" s="29" t="n"/>
      <c r="Z50" s="16" t="n"/>
      <c r="AA50" s="16" t="n"/>
      <c r="AB50" s="16" t="n"/>
      <c r="AC50" s="20">
        <f>IF(OR(Z50="",AA50="",AB50=""),"",(--TRIM(LEFT(Z50,2)))*(--TRIM(LEFT(AA50,2)))*(--TRIM(LEFT(AB50,2))))</f>
        <v/>
      </c>
      <c r="AD50" s="20">
        <f>IF(OR(Z50="",AA50="",AB50=""),"",INDEX(APGrid,COUNTIF(APS,"&gt;"&amp;(--TRIM(LEFT(Z50,2))))*5+COUNTIF(APO,"&gt;"&amp;(--TRIM(LEFT(AA50,2))))+1,COUNTIF(APD,"&gt;"&amp;(--TRIM(LEFT(AB50,2))))+1))</f>
        <v/>
      </c>
      <c r="AE50" s="4" t="n"/>
      <c r="AF50" s="4" t="n"/>
      <c r="AH50">
        <f>IFERROR(INDEX(EqTag,_xlfn.AGGREGATE(15,6,(ROW(EqTag)-4)/((EqSys=$D$3)*(EqTag&lt;&gt;"")),ROWS($AH$14:AH50))),"")</f>
        <v/>
      </c>
    </row>
    <row r="51">
      <c r="A51" s="20">
        <f>IF(F51="","",LEFT($D$3,3)&amp;"-"&amp;TEXT(COUNTIF(F$14:F51,"?*"),"00"))</f>
        <v/>
      </c>
      <c r="B51" s="4" t="n"/>
      <c r="C51" s="5">
        <f>IF(B51="","",IFERROR(INDEX(EqTypeCol,MATCH(B51,EqTag,0)),"Tag not in register"))</f>
        <v/>
      </c>
      <c r="D51" s="4" t="n"/>
      <c r="E51" s="4" t="n"/>
      <c r="F51" s="4" t="n"/>
      <c r="G51" s="4" t="n"/>
      <c r="H51" s="4" t="n"/>
      <c r="I51" s="4" t="n"/>
      <c r="J51" s="5">
        <f>_xlfn.TEXTJOIN(CHAR(10),TRUE,IF(G51="","","• "&amp;G51),IF(H51="","","• "&amp;H51),IF(I51="","","• "&amp;I51))</f>
        <v/>
      </c>
      <c r="K51" s="4" t="n"/>
      <c r="L51" s="4" t="n"/>
      <c r="M51" s="4" t="n"/>
      <c r="N51" s="16" t="n"/>
      <c r="O51" s="4" t="n"/>
      <c r="P51" s="16" t="n"/>
      <c r="Q51" s="4" t="n"/>
      <c r="R51" s="16" t="n"/>
      <c r="S51" s="20">
        <f>IF(OR(N51="",P51="",R51=""),"",(--TRIM(LEFT(N51,2)))*(--TRIM(LEFT(P51,2)))*(--TRIM(LEFT(R51,2))))</f>
        <v/>
      </c>
      <c r="T51" s="20">
        <f>IF(OR(N51="",P51="",R51=""),"",INDEX(APGrid,COUNTIF(APS,"&gt;"&amp;(--TRIM(LEFT(N51,2))))*5+COUNTIF(APO,"&gt;"&amp;(--TRIM(LEFT(P51,2))))+1,COUNTIF(APD,"&gt;"&amp;(--TRIM(LEFT(R51,2))))+1))</f>
        <v/>
      </c>
      <c r="U51" s="20">
        <f>IF(S51="","",IF(OR((--TRIM(LEFT(N51,2)))&gt;=SThr,S51&gt;=RPNThr,T51="H"),"Yes","No"))</f>
        <v/>
      </c>
      <c r="V51" s="4" t="n"/>
      <c r="W51" s="4" t="n"/>
      <c r="X51" s="4" t="n"/>
      <c r="Y51" s="29" t="n"/>
      <c r="Z51" s="16" t="n"/>
      <c r="AA51" s="16" t="n"/>
      <c r="AB51" s="16" t="n"/>
      <c r="AC51" s="20">
        <f>IF(OR(Z51="",AA51="",AB51=""),"",(--TRIM(LEFT(Z51,2)))*(--TRIM(LEFT(AA51,2)))*(--TRIM(LEFT(AB51,2))))</f>
        <v/>
      </c>
      <c r="AD51" s="20">
        <f>IF(OR(Z51="",AA51="",AB51=""),"",INDEX(APGrid,COUNTIF(APS,"&gt;"&amp;(--TRIM(LEFT(Z51,2))))*5+COUNTIF(APO,"&gt;"&amp;(--TRIM(LEFT(AA51,2))))+1,COUNTIF(APD,"&gt;"&amp;(--TRIM(LEFT(AB51,2))))+1))</f>
        <v/>
      </c>
      <c r="AE51" s="4" t="n"/>
      <c r="AF51" s="4" t="n"/>
      <c r="AH51">
        <f>IFERROR(INDEX(EqTag,_xlfn.AGGREGATE(15,6,(ROW(EqTag)-4)/((EqSys=$D$3)*(EqTag&lt;&gt;"")),ROWS($AH$14:AH51))),"")</f>
        <v/>
      </c>
    </row>
    <row r="52">
      <c r="A52" s="20">
        <f>IF(F52="","",LEFT($D$3,3)&amp;"-"&amp;TEXT(COUNTIF(F$14:F52,"?*"),"00"))</f>
        <v/>
      </c>
      <c r="B52" s="4" t="n"/>
      <c r="C52" s="5">
        <f>IF(B52="","",IFERROR(INDEX(EqTypeCol,MATCH(B52,EqTag,0)),"Tag not in register"))</f>
        <v/>
      </c>
      <c r="D52" s="4" t="n"/>
      <c r="E52" s="4" t="n"/>
      <c r="F52" s="4" t="n"/>
      <c r="G52" s="4" t="n"/>
      <c r="H52" s="4" t="n"/>
      <c r="I52" s="4" t="n"/>
      <c r="J52" s="5">
        <f>_xlfn.TEXTJOIN(CHAR(10),TRUE,IF(G52="","","• "&amp;G52),IF(H52="","","• "&amp;H52),IF(I52="","","• "&amp;I52))</f>
        <v/>
      </c>
      <c r="K52" s="4" t="n"/>
      <c r="L52" s="4" t="n"/>
      <c r="M52" s="4" t="n"/>
      <c r="N52" s="16" t="n"/>
      <c r="O52" s="4" t="n"/>
      <c r="P52" s="16" t="n"/>
      <c r="Q52" s="4" t="n"/>
      <c r="R52" s="16" t="n"/>
      <c r="S52" s="20">
        <f>IF(OR(N52="",P52="",R52=""),"",(--TRIM(LEFT(N52,2)))*(--TRIM(LEFT(P52,2)))*(--TRIM(LEFT(R52,2))))</f>
        <v/>
      </c>
      <c r="T52" s="20">
        <f>IF(OR(N52="",P52="",R52=""),"",INDEX(APGrid,COUNTIF(APS,"&gt;"&amp;(--TRIM(LEFT(N52,2))))*5+COUNTIF(APO,"&gt;"&amp;(--TRIM(LEFT(P52,2))))+1,COUNTIF(APD,"&gt;"&amp;(--TRIM(LEFT(R52,2))))+1))</f>
        <v/>
      </c>
      <c r="U52" s="20">
        <f>IF(S52="","",IF(OR((--TRIM(LEFT(N52,2)))&gt;=SThr,S52&gt;=RPNThr,T52="H"),"Yes","No"))</f>
        <v/>
      </c>
      <c r="V52" s="4" t="n"/>
      <c r="W52" s="4" t="n"/>
      <c r="X52" s="4" t="n"/>
      <c r="Y52" s="29" t="n"/>
      <c r="Z52" s="16" t="n"/>
      <c r="AA52" s="16" t="n"/>
      <c r="AB52" s="16" t="n"/>
      <c r="AC52" s="20">
        <f>IF(OR(Z52="",AA52="",AB52=""),"",(--TRIM(LEFT(Z52,2)))*(--TRIM(LEFT(AA52,2)))*(--TRIM(LEFT(AB52,2))))</f>
        <v/>
      </c>
      <c r="AD52" s="20">
        <f>IF(OR(Z52="",AA52="",AB52=""),"",INDEX(APGrid,COUNTIF(APS,"&gt;"&amp;(--TRIM(LEFT(Z52,2))))*5+COUNTIF(APO,"&gt;"&amp;(--TRIM(LEFT(AA52,2))))+1,COUNTIF(APD,"&gt;"&amp;(--TRIM(LEFT(AB52,2))))+1))</f>
        <v/>
      </c>
      <c r="AE52" s="4" t="n"/>
      <c r="AF52" s="4" t="n"/>
      <c r="AH52">
        <f>IFERROR(INDEX(EqTag,_xlfn.AGGREGATE(15,6,(ROW(EqTag)-4)/((EqSys=$D$3)*(EqTag&lt;&gt;"")),ROWS($AH$14:AH52))),"")</f>
        <v/>
      </c>
    </row>
    <row r="53">
      <c r="A53" s="20">
        <f>IF(F53="","",LEFT($D$3,3)&amp;"-"&amp;TEXT(COUNTIF(F$14:F53,"?*"),"00"))</f>
        <v/>
      </c>
      <c r="B53" s="4" t="n"/>
      <c r="C53" s="5">
        <f>IF(B53="","",IFERROR(INDEX(EqTypeCol,MATCH(B53,EqTag,0)),"Tag not in register"))</f>
        <v/>
      </c>
      <c r="D53" s="4" t="n"/>
      <c r="E53" s="4" t="n"/>
      <c r="F53" s="4" t="n"/>
      <c r="G53" s="4" t="n"/>
      <c r="H53" s="4" t="n"/>
      <c r="I53" s="4" t="n"/>
      <c r="J53" s="5">
        <f>_xlfn.TEXTJOIN(CHAR(10),TRUE,IF(G53="","","• "&amp;G53),IF(H53="","","• "&amp;H53),IF(I53="","","• "&amp;I53))</f>
        <v/>
      </c>
      <c r="K53" s="4" t="n"/>
      <c r="L53" s="4" t="n"/>
      <c r="M53" s="4" t="n"/>
      <c r="N53" s="16" t="n"/>
      <c r="O53" s="4" t="n"/>
      <c r="P53" s="16" t="n"/>
      <c r="Q53" s="4" t="n"/>
      <c r="R53" s="16" t="n"/>
      <c r="S53" s="20">
        <f>IF(OR(N53="",P53="",R53=""),"",(--TRIM(LEFT(N53,2)))*(--TRIM(LEFT(P53,2)))*(--TRIM(LEFT(R53,2))))</f>
        <v/>
      </c>
      <c r="T53" s="20">
        <f>IF(OR(N53="",P53="",R53=""),"",INDEX(APGrid,COUNTIF(APS,"&gt;"&amp;(--TRIM(LEFT(N53,2))))*5+COUNTIF(APO,"&gt;"&amp;(--TRIM(LEFT(P53,2))))+1,COUNTIF(APD,"&gt;"&amp;(--TRIM(LEFT(R53,2))))+1))</f>
        <v/>
      </c>
      <c r="U53" s="20">
        <f>IF(S53="","",IF(OR((--TRIM(LEFT(N53,2)))&gt;=SThr,S53&gt;=RPNThr,T53="H"),"Yes","No"))</f>
        <v/>
      </c>
      <c r="V53" s="4" t="n"/>
      <c r="W53" s="4" t="n"/>
      <c r="X53" s="4" t="n"/>
      <c r="Y53" s="29" t="n"/>
      <c r="Z53" s="16" t="n"/>
      <c r="AA53" s="16" t="n"/>
      <c r="AB53" s="16" t="n"/>
      <c r="AC53" s="20">
        <f>IF(OR(Z53="",AA53="",AB53=""),"",(--TRIM(LEFT(Z53,2)))*(--TRIM(LEFT(AA53,2)))*(--TRIM(LEFT(AB53,2))))</f>
        <v/>
      </c>
      <c r="AD53" s="20">
        <f>IF(OR(Z53="",AA53="",AB53=""),"",INDEX(APGrid,COUNTIF(APS,"&gt;"&amp;(--TRIM(LEFT(Z53,2))))*5+COUNTIF(APO,"&gt;"&amp;(--TRIM(LEFT(AA53,2))))+1,COUNTIF(APD,"&gt;"&amp;(--TRIM(LEFT(AB53,2))))+1))</f>
        <v/>
      </c>
      <c r="AE53" s="4" t="n"/>
      <c r="AF53" s="4" t="n"/>
      <c r="AH53">
        <f>IFERROR(INDEX(EqTag,_xlfn.AGGREGATE(15,6,(ROW(EqTag)-4)/((EqSys=$D$3)*(EqTag&lt;&gt;"")),ROWS($AH$14:AH53))),"")</f>
        <v/>
      </c>
    </row>
    <row r="54">
      <c r="A54" s="20">
        <f>IF(F54="","",LEFT($D$3,3)&amp;"-"&amp;TEXT(COUNTIF(F$14:F54,"?*"),"00"))</f>
        <v/>
      </c>
      <c r="B54" s="4" t="n"/>
      <c r="C54" s="5">
        <f>IF(B54="","",IFERROR(INDEX(EqTypeCol,MATCH(B54,EqTag,0)),"Tag not in register"))</f>
        <v/>
      </c>
      <c r="D54" s="4" t="n"/>
      <c r="E54" s="4" t="n"/>
      <c r="F54" s="4" t="n"/>
      <c r="G54" s="4" t="n"/>
      <c r="H54" s="4" t="n"/>
      <c r="I54" s="4" t="n"/>
      <c r="J54" s="5">
        <f>_xlfn.TEXTJOIN(CHAR(10),TRUE,IF(G54="","","• "&amp;G54),IF(H54="","","• "&amp;H54),IF(I54="","","• "&amp;I54))</f>
        <v/>
      </c>
      <c r="K54" s="4" t="n"/>
      <c r="L54" s="4" t="n"/>
      <c r="M54" s="4" t="n"/>
      <c r="N54" s="16" t="n"/>
      <c r="O54" s="4" t="n"/>
      <c r="P54" s="16" t="n"/>
      <c r="Q54" s="4" t="n"/>
      <c r="R54" s="16" t="n"/>
      <c r="S54" s="20">
        <f>IF(OR(N54="",P54="",R54=""),"",(--TRIM(LEFT(N54,2)))*(--TRIM(LEFT(P54,2)))*(--TRIM(LEFT(R54,2))))</f>
        <v/>
      </c>
      <c r="T54" s="20">
        <f>IF(OR(N54="",P54="",R54=""),"",INDEX(APGrid,COUNTIF(APS,"&gt;"&amp;(--TRIM(LEFT(N54,2))))*5+COUNTIF(APO,"&gt;"&amp;(--TRIM(LEFT(P54,2))))+1,COUNTIF(APD,"&gt;"&amp;(--TRIM(LEFT(R54,2))))+1))</f>
        <v/>
      </c>
      <c r="U54" s="20">
        <f>IF(S54="","",IF(OR((--TRIM(LEFT(N54,2)))&gt;=SThr,S54&gt;=RPNThr,T54="H"),"Yes","No"))</f>
        <v/>
      </c>
      <c r="V54" s="4" t="n"/>
      <c r="W54" s="4" t="n"/>
      <c r="X54" s="4" t="n"/>
      <c r="Y54" s="29" t="n"/>
      <c r="Z54" s="16" t="n"/>
      <c r="AA54" s="16" t="n"/>
      <c r="AB54" s="16" t="n"/>
      <c r="AC54" s="20">
        <f>IF(OR(Z54="",AA54="",AB54=""),"",(--TRIM(LEFT(Z54,2)))*(--TRIM(LEFT(AA54,2)))*(--TRIM(LEFT(AB54,2))))</f>
        <v/>
      </c>
      <c r="AD54" s="20">
        <f>IF(OR(Z54="",AA54="",AB54=""),"",INDEX(APGrid,COUNTIF(APS,"&gt;"&amp;(--TRIM(LEFT(Z54,2))))*5+COUNTIF(APO,"&gt;"&amp;(--TRIM(LEFT(AA54,2))))+1,COUNTIF(APD,"&gt;"&amp;(--TRIM(LEFT(AB54,2))))+1))</f>
        <v/>
      </c>
      <c r="AE54" s="4" t="n"/>
      <c r="AF54" s="4" t="n"/>
      <c r="AH54">
        <f>IFERROR(INDEX(EqTag,_xlfn.AGGREGATE(15,6,(ROW(EqTag)-4)/((EqSys=$D$3)*(EqTag&lt;&gt;"")),ROWS($AH$14:AH54))),"")</f>
        <v/>
      </c>
    </row>
    <row r="55">
      <c r="A55" s="20">
        <f>IF(F55="","",LEFT($D$3,3)&amp;"-"&amp;TEXT(COUNTIF(F$14:F55,"?*"),"00"))</f>
        <v/>
      </c>
      <c r="B55" s="4" t="n"/>
      <c r="C55" s="5">
        <f>IF(B55="","",IFERROR(INDEX(EqTypeCol,MATCH(B55,EqTag,0)),"Tag not in register"))</f>
        <v/>
      </c>
      <c r="D55" s="4" t="n"/>
      <c r="E55" s="4" t="n"/>
      <c r="F55" s="4" t="n"/>
      <c r="G55" s="4" t="n"/>
      <c r="H55" s="4" t="n"/>
      <c r="I55" s="4" t="n"/>
      <c r="J55" s="5">
        <f>_xlfn.TEXTJOIN(CHAR(10),TRUE,IF(G55="","","• "&amp;G55),IF(H55="","","• "&amp;H55),IF(I55="","","• "&amp;I55))</f>
        <v/>
      </c>
      <c r="K55" s="4" t="n"/>
      <c r="L55" s="4" t="n"/>
      <c r="M55" s="4" t="n"/>
      <c r="N55" s="16" t="n"/>
      <c r="O55" s="4" t="n"/>
      <c r="P55" s="16" t="n"/>
      <c r="Q55" s="4" t="n"/>
      <c r="R55" s="16" t="n"/>
      <c r="S55" s="20">
        <f>IF(OR(N55="",P55="",R55=""),"",(--TRIM(LEFT(N55,2)))*(--TRIM(LEFT(P55,2)))*(--TRIM(LEFT(R55,2))))</f>
        <v/>
      </c>
      <c r="T55" s="20">
        <f>IF(OR(N55="",P55="",R55=""),"",INDEX(APGrid,COUNTIF(APS,"&gt;"&amp;(--TRIM(LEFT(N55,2))))*5+COUNTIF(APO,"&gt;"&amp;(--TRIM(LEFT(P55,2))))+1,COUNTIF(APD,"&gt;"&amp;(--TRIM(LEFT(R55,2))))+1))</f>
        <v/>
      </c>
      <c r="U55" s="20">
        <f>IF(S55="","",IF(OR((--TRIM(LEFT(N55,2)))&gt;=SThr,S55&gt;=RPNThr,T55="H"),"Yes","No"))</f>
        <v/>
      </c>
      <c r="V55" s="4" t="n"/>
      <c r="W55" s="4" t="n"/>
      <c r="X55" s="4" t="n"/>
      <c r="Y55" s="29" t="n"/>
      <c r="Z55" s="16" t="n"/>
      <c r="AA55" s="16" t="n"/>
      <c r="AB55" s="16" t="n"/>
      <c r="AC55" s="20">
        <f>IF(OR(Z55="",AA55="",AB55=""),"",(--TRIM(LEFT(Z55,2)))*(--TRIM(LEFT(AA55,2)))*(--TRIM(LEFT(AB55,2))))</f>
        <v/>
      </c>
      <c r="AD55" s="20">
        <f>IF(OR(Z55="",AA55="",AB55=""),"",INDEX(APGrid,COUNTIF(APS,"&gt;"&amp;(--TRIM(LEFT(Z55,2))))*5+COUNTIF(APO,"&gt;"&amp;(--TRIM(LEFT(AA55,2))))+1,COUNTIF(APD,"&gt;"&amp;(--TRIM(LEFT(AB55,2))))+1))</f>
        <v/>
      </c>
      <c r="AE55" s="4" t="n"/>
      <c r="AF55" s="4" t="n"/>
      <c r="AH55">
        <f>IFERROR(INDEX(EqTag,_xlfn.AGGREGATE(15,6,(ROW(EqTag)-4)/((EqSys=$D$3)*(EqTag&lt;&gt;"")),ROWS($AH$14:AH55))),"")</f>
        <v/>
      </c>
    </row>
    <row r="56">
      <c r="A56" s="20">
        <f>IF(F56="","",LEFT($D$3,3)&amp;"-"&amp;TEXT(COUNTIF(F$14:F56,"?*"),"00"))</f>
        <v/>
      </c>
      <c r="B56" s="4" t="n"/>
      <c r="C56" s="5">
        <f>IF(B56="","",IFERROR(INDEX(EqTypeCol,MATCH(B56,EqTag,0)),"Tag not in register"))</f>
        <v/>
      </c>
      <c r="D56" s="4" t="n"/>
      <c r="E56" s="4" t="n"/>
      <c r="F56" s="4" t="n"/>
      <c r="G56" s="4" t="n"/>
      <c r="H56" s="4" t="n"/>
      <c r="I56" s="4" t="n"/>
      <c r="J56" s="5">
        <f>_xlfn.TEXTJOIN(CHAR(10),TRUE,IF(G56="","","• "&amp;G56),IF(H56="","","• "&amp;H56),IF(I56="","","• "&amp;I56))</f>
        <v/>
      </c>
      <c r="K56" s="4" t="n"/>
      <c r="L56" s="4" t="n"/>
      <c r="M56" s="4" t="n"/>
      <c r="N56" s="16" t="n"/>
      <c r="O56" s="4" t="n"/>
      <c r="P56" s="16" t="n"/>
      <c r="Q56" s="4" t="n"/>
      <c r="R56" s="16" t="n"/>
      <c r="S56" s="20">
        <f>IF(OR(N56="",P56="",R56=""),"",(--TRIM(LEFT(N56,2)))*(--TRIM(LEFT(P56,2)))*(--TRIM(LEFT(R56,2))))</f>
        <v/>
      </c>
      <c r="T56" s="20">
        <f>IF(OR(N56="",P56="",R56=""),"",INDEX(APGrid,COUNTIF(APS,"&gt;"&amp;(--TRIM(LEFT(N56,2))))*5+COUNTIF(APO,"&gt;"&amp;(--TRIM(LEFT(P56,2))))+1,COUNTIF(APD,"&gt;"&amp;(--TRIM(LEFT(R56,2))))+1))</f>
        <v/>
      </c>
      <c r="U56" s="20">
        <f>IF(S56="","",IF(OR((--TRIM(LEFT(N56,2)))&gt;=SThr,S56&gt;=RPNThr,T56="H"),"Yes","No"))</f>
        <v/>
      </c>
      <c r="V56" s="4" t="n"/>
      <c r="W56" s="4" t="n"/>
      <c r="X56" s="4" t="n"/>
      <c r="Y56" s="29" t="n"/>
      <c r="Z56" s="16" t="n"/>
      <c r="AA56" s="16" t="n"/>
      <c r="AB56" s="16" t="n"/>
      <c r="AC56" s="20">
        <f>IF(OR(Z56="",AA56="",AB56=""),"",(--TRIM(LEFT(Z56,2)))*(--TRIM(LEFT(AA56,2)))*(--TRIM(LEFT(AB56,2))))</f>
        <v/>
      </c>
      <c r="AD56" s="20">
        <f>IF(OR(Z56="",AA56="",AB56=""),"",INDEX(APGrid,COUNTIF(APS,"&gt;"&amp;(--TRIM(LEFT(Z56,2))))*5+COUNTIF(APO,"&gt;"&amp;(--TRIM(LEFT(AA56,2))))+1,COUNTIF(APD,"&gt;"&amp;(--TRIM(LEFT(AB56,2))))+1))</f>
        <v/>
      </c>
      <c r="AE56" s="4" t="n"/>
      <c r="AF56" s="4" t="n"/>
      <c r="AH56">
        <f>IFERROR(INDEX(EqTag,_xlfn.AGGREGATE(15,6,(ROW(EqTag)-4)/((EqSys=$D$3)*(EqTag&lt;&gt;"")),ROWS($AH$14:AH56))),"")</f>
        <v/>
      </c>
    </row>
    <row r="57">
      <c r="A57" s="20">
        <f>IF(F57="","",LEFT($D$3,3)&amp;"-"&amp;TEXT(COUNTIF(F$14:F57,"?*"),"00"))</f>
        <v/>
      </c>
      <c r="B57" s="4" t="n"/>
      <c r="C57" s="5">
        <f>IF(B57="","",IFERROR(INDEX(EqTypeCol,MATCH(B57,EqTag,0)),"Tag not in register"))</f>
        <v/>
      </c>
      <c r="D57" s="4" t="n"/>
      <c r="E57" s="4" t="n"/>
      <c r="F57" s="4" t="n"/>
      <c r="G57" s="4" t="n"/>
      <c r="H57" s="4" t="n"/>
      <c r="I57" s="4" t="n"/>
      <c r="J57" s="5">
        <f>_xlfn.TEXTJOIN(CHAR(10),TRUE,IF(G57="","","• "&amp;G57),IF(H57="","","• "&amp;H57),IF(I57="","","• "&amp;I57))</f>
        <v/>
      </c>
      <c r="K57" s="4" t="n"/>
      <c r="L57" s="4" t="n"/>
      <c r="M57" s="4" t="n"/>
      <c r="N57" s="16" t="n"/>
      <c r="O57" s="4" t="n"/>
      <c r="P57" s="16" t="n"/>
      <c r="Q57" s="4" t="n"/>
      <c r="R57" s="16" t="n"/>
      <c r="S57" s="20">
        <f>IF(OR(N57="",P57="",R57=""),"",(--TRIM(LEFT(N57,2)))*(--TRIM(LEFT(P57,2)))*(--TRIM(LEFT(R57,2))))</f>
        <v/>
      </c>
      <c r="T57" s="20">
        <f>IF(OR(N57="",P57="",R57=""),"",INDEX(APGrid,COUNTIF(APS,"&gt;"&amp;(--TRIM(LEFT(N57,2))))*5+COUNTIF(APO,"&gt;"&amp;(--TRIM(LEFT(P57,2))))+1,COUNTIF(APD,"&gt;"&amp;(--TRIM(LEFT(R57,2))))+1))</f>
        <v/>
      </c>
      <c r="U57" s="20">
        <f>IF(S57="","",IF(OR((--TRIM(LEFT(N57,2)))&gt;=SThr,S57&gt;=RPNThr,T57="H"),"Yes","No"))</f>
        <v/>
      </c>
      <c r="V57" s="4" t="n"/>
      <c r="W57" s="4" t="n"/>
      <c r="X57" s="4" t="n"/>
      <c r="Y57" s="29" t="n"/>
      <c r="Z57" s="16" t="n"/>
      <c r="AA57" s="16" t="n"/>
      <c r="AB57" s="16" t="n"/>
      <c r="AC57" s="20">
        <f>IF(OR(Z57="",AA57="",AB57=""),"",(--TRIM(LEFT(Z57,2)))*(--TRIM(LEFT(AA57,2)))*(--TRIM(LEFT(AB57,2))))</f>
        <v/>
      </c>
      <c r="AD57" s="20">
        <f>IF(OR(Z57="",AA57="",AB57=""),"",INDEX(APGrid,COUNTIF(APS,"&gt;"&amp;(--TRIM(LEFT(Z57,2))))*5+COUNTIF(APO,"&gt;"&amp;(--TRIM(LEFT(AA57,2))))+1,COUNTIF(APD,"&gt;"&amp;(--TRIM(LEFT(AB57,2))))+1))</f>
        <v/>
      </c>
      <c r="AE57" s="4" t="n"/>
      <c r="AF57" s="4" t="n"/>
      <c r="AH57">
        <f>IFERROR(INDEX(EqTag,_xlfn.AGGREGATE(15,6,(ROW(EqTag)-4)/((EqSys=$D$3)*(EqTag&lt;&gt;"")),ROWS($AH$14:AH57))),"")</f>
        <v/>
      </c>
    </row>
    <row r="58">
      <c r="A58" s="20">
        <f>IF(F58="","",LEFT($D$3,3)&amp;"-"&amp;TEXT(COUNTIF(F$14:F58,"?*"),"00"))</f>
        <v/>
      </c>
      <c r="B58" s="4" t="n"/>
      <c r="C58" s="5">
        <f>IF(B58="","",IFERROR(INDEX(EqTypeCol,MATCH(B58,EqTag,0)),"Tag not in register"))</f>
        <v/>
      </c>
      <c r="D58" s="4" t="n"/>
      <c r="E58" s="4" t="n"/>
      <c r="F58" s="4" t="n"/>
      <c r="G58" s="4" t="n"/>
      <c r="H58" s="4" t="n"/>
      <c r="I58" s="4" t="n"/>
      <c r="J58" s="5">
        <f>_xlfn.TEXTJOIN(CHAR(10),TRUE,IF(G58="","","• "&amp;G58),IF(H58="","","• "&amp;H58),IF(I58="","","• "&amp;I58))</f>
        <v/>
      </c>
      <c r="K58" s="4" t="n"/>
      <c r="L58" s="4" t="n"/>
      <c r="M58" s="4" t="n"/>
      <c r="N58" s="16" t="n"/>
      <c r="O58" s="4" t="n"/>
      <c r="P58" s="16" t="n"/>
      <c r="Q58" s="4" t="n"/>
      <c r="R58" s="16" t="n"/>
      <c r="S58" s="20">
        <f>IF(OR(N58="",P58="",R58=""),"",(--TRIM(LEFT(N58,2)))*(--TRIM(LEFT(P58,2)))*(--TRIM(LEFT(R58,2))))</f>
        <v/>
      </c>
      <c r="T58" s="20">
        <f>IF(OR(N58="",P58="",R58=""),"",INDEX(APGrid,COUNTIF(APS,"&gt;"&amp;(--TRIM(LEFT(N58,2))))*5+COUNTIF(APO,"&gt;"&amp;(--TRIM(LEFT(P58,2))))+1,COUNTIF(APD,"&gt;"&amp;(--TRIM(LEFT(R58,2))))+1))</f>
        <v/>
      </c>
      <c r="U58" s="20">
        <f>IF(S58="","",IF(OR((--TRIM(LEFT(N58,2)))&gt;=SThr,S58&gt;=RPNThr,T58="H"),"Yes","No"))</f>
        <v/>
      </c>
      <c r="V58" s="4" t="n"/>
      <c r="W58" s="4" t="n"/>
      <c r="X58" s="4" t="n"/>
      <c r="Y58" s="29" t="n"/>
      <c r="Z58" s="16" t="n"/>
      <c r="AA58" s="16" t="n"/>
      <c r="AB58" s="16" t="n"/>
      <c r="AC58" s="20">
        <f>IF(OR(Z58="",AA58="",AB58=""),"",(--TRIM(LEFT(Z58,2)))*(--TRIM(LEFT(AA58,2)))*(--TRIM(LEFT(AB58,2))))</f>
        <v/>
      </c>
      <c r="AD58" s="20">
        <f>IF(OR(Z58="",AA58="",AB58=""),"",INDEX(APGrid,COUNTIF(APS,"&gt;"&amp;(--TRIM(LEFT(Z58,2))))*5+COUNTIF(APO,"&gt;"&amp;(--TRIM(LEFT(AA58,2))))+1,COUNTIF(APD,"&gt;"&amp;(--TRIM(LEFT(AB58,2))))+1))</f>
        <v/>
      </c>
      <c r="AE58" s="4" t="n"/>
      <c r="AF58" s="4" t="n"/>
      <c r="AH58">
        <f>IFERROR(INDEX(EqTag,_xlfn.AGGREGATE(15,6,(ROW(EqTag)-4)/((EqSys=$D$3)*(EqTag&lt;&gt;"")),ROWS($AH$14:AH58))),"")</f>
        <v/>
      </c>
    </row>
    <row r="59">
      <c r="A59" s="20">
        <f>IF(F59="","",LEFT($D$3,3)&amp;"-"&amp;TEXT(COUNTIF(F$14:F59,"?*"),"00"))</f>
        <v/>
      </c>
      <c r="B59" s="4" t="n"/>
      <c r="C59" s="5">
        <f>IF(B59="","",IFERROR(INDEX(EqTypeCol,MATCH(B59,EqTag,0)),"Tag not in register"))</f>
        <v/>
      </c>
      <c r="D59" s="4" t="n"/>
      <c r="E59" s="4" t="n"/>
      <c r="F59" s="4" t="n"/>
      <c r="G59" s="4" t="n"/>
      <c r="H59" s="4" t="n"/>
      <c r="I59" s="4" t="n"/>
      <c r="J59" s="5">
        <f>_xlfn.TEXTJOIN(CHAR(10),TRUE,IF(G59="","","• "&amp;G59),IF(H59="","","• "&amp;H59),IF(I59="","","• "&amp;I59))</f>
        <v/>
      </c>
      <c r="K59" s="4" t="n"/>
      <c r="L59" s="4" t="n"/>
      <c r="M59" s="4" t="n"/>
      <c r="N59" s="16" t="n"/>
      <c r="O59" s="4" t="n"/>
      <c r="P59" s="16" t="n"/>
      <c r="Q59" s="4" t="n"/>
      <c r="R59" s="16" t="n"/>
      <c r="S59" s="20">
        <f>IF(OR(N59="",P59="",R59=""),"",(--TRIM(LEFT(N59,2)))*(--TRIM(LEFT(P59,2)))*(--TRIM(LEFT(R59,2))))</f>
        <v/>
      </c>
      <c r="T59" s="20">
        <f>IF(OR(N59="",P59="",R59=""),"",INDEX(APGrid,COUNTIF(APS,"&gt;"&amp;(--TRIM(LEFT(N59,2))))*5+COUNTIF(APO,"&gt;"&amp;(--TRIM(LEFT(P59,2))))+1,COUNTIF(APD,"&gt;"&amp;(--TRIM(LEFT(R59,2))))+1))</f>
        <v/>
      </c>
      <c r="U59" s="20">
        <f>IF(S59="","",IF(OR((--TRIM(LEFT(N59,2)))&gt;=SThr,S59&gt;=RPNThr,T59="H"),"Yes","No"))</f>
        <v/>
      </c>
      <c r="V59" s="4" t="n"/>
      <c r="W59" s="4" t="n"/>
      <c r="X59" s="4" t="n"/>
      <c r="Y59" s="29" t="n"/>
      <c r="Z59" s="16" t="n"/>
      <c r="AA59" s="16" t="n"/>
      <c r="AB59" s="16" t="n"/>
      <c r="AC59" s="20">
        <f>IF(OR(Z59="",AA59="",AB59=""),"",(--TRIM(LEFT(Z59,2)))*(--TRIM(LEFT(AA59,2)))*(--TRIM(LEFT(AB59,2))))</f>
        <v/>
      </c>
      <c r="AD59" s="20">
        <f>IF(OR(Z59="",AA59="",AB59=""),"",INDEX(APGrid,COUNTIF(APS,"&gt;"&amp;(--TRIM(LEFT(Z59,2))))*5+COUNTIF(APO,"&gt;"&amp;(--TRIM(LEFT(AA59,2))))+1,COUNTIF(APD,"&gt;"&amp;(--TRIM(LEFT(AB59,2))))+1))</f>
        <v/>
      </c>
      <c r="AE59" s="4" t="n"/>
      <c r="AF59" s="4" t="n"/>
      <c r="AH59">
        <f>IFERROR(INDEX(EqTag,_xlfn.AGGREGATE(15,6,(ROW(EqTag)-4)/((EqSys=$D$3)*(EqTag&lt;&gt;"")),ROWS($AH$14:AH59))),"")</f>
        <v/>
      </c>
    </row>
    <row r="60">
      <c r="A60" s="20">
        <f>IF(F60="","",LEFT($D$3,3)&amp;"-"&amp;TEXT(COUNTIF(F$14:F60,"?*"),"00"))</f>
        <v/>
      </c>
      <c r="B60" s="4" t="n"/>
      <c r="C60" s="5">
        <f>IF(B60="","",IFERROR(INDEX(EqTypeCol,MATCH(B60,EqTag,0)),"Tag not in register"))</f>
        <v/>
      </c>
      <c r="D60" s="4" t="n"/>
      <c r="E60" s="4" t="n"/>
      <c r="F60" s="4" t="n"/>
      <c r="G60" s="4" t="n"/>
      <c r="H60" s="4" t="n"/>
      <c r="I60" s="4" t="n"/>
      <c r="J60" s="5">
        <f>_xlfn.TEXTJOIN(CHAR(10),TRUE,IF(G60="","","• "&amp;G60),IF(H60="","","• "&amp;H60),IF(I60="","","• "&amp;I60))</f>
        <v/>
      </c>
      <c r="K60" s="4" t="n"/>
      <c r="L60" s="4" t="n"/>
      <c r="M60" s="4" t="n"/>
      <c r="N60" s="16" t="n"/>
      <c r="O60" s="4" t="n"/>
      <c r="P60" s="16" t="n"/>
      <c r="Q60" s="4" t="n"/>
      <c r="R60" s="16" t="n"/>
      <c r="S60" s="20">
        <f>IF(OR(N60="",P60="",R60=""),"",(--TRIM(LEFT(N60,2)))*(--TRIM(LEFT(P60,2)))*(--TRIM(LEFT(R60,2))))</f>
        <v/>
      </c>
      <c r="T60" s="20">
        <f>IF(OR(N60="",P60="",R60=""),"",INDEX(APGrid,COUNTIF(APS,"&gt;"&amp;(--TRIM(LEFT(N60,2))))*5+COUNTIF(APO,"&gt;"&amp;(--TRIM(LEFT(P60,2))))+1,COUNTIF(APD,"&gt;"&amp;(--TRIM(LEFT(R60,2))))+1))</f>
        <v/>
      </c>
      <c r="U60" s="20">
        <f>IF(S60="","",IF(OR((--TRIM(LEFT(N60,2)))&gt;=SThr,S60&gt;=RPNThr,T60="H"),"Yes","No"))</f>
        <v/>
      </c>
      <c r="V60" s="4" t="n"/>
      <c r="W60" s="4" t="n"/>
      <c r="X60" s="4" t="n"/>
      <c r="Y60" s="29" t="n"/>
      <c r="Z60" s="16" t="n"/>
      <c r="AA60" s="16" t="n"/>
      <c r="AB60" s="16" t="n"/>
      <c r="AC60" s="20">
        <f>IF(OR(Z60="",AA60="",AB60=""),"",(--TRIM(LEFT(Z60,2)))*(--TRIM(LEFT(AA60,2)))*(--TRIM(LEFT(AB60,2))))</f>
        <v/>
      </c>
      <c r="AD60" s="20">
        <f>IF(OR(Z60="",AA60="",AB60=""),"",INDEX(APGrid,COUNTIF(APS,"&gt;"&amp;(--TRIM(LEFT(Z60,2))))*5+COUNTIF(APO,"&gt;"&amp;(--TRIM(LEFT(AA60,2))))+1,COUNTIF(APD,"&gt;"&amp;(--TRIM(LEFT(AB60,2))))+1))</f>
        <v/>
      </c>
      <c r="AE60" s="4" t="n"/>
      <c r="AF60" s="4" t="n"/>
      <c r="AH60">
        <f>IFERROR(INDEX(EqTag,_xlfn.AGGREGATE(15,6,(ROW(EqTag)-4)/((EqSys=$D$3)*(EqTag&lt;&gt;"")),ROWS($AH$14:AH60))),"")</f>
        <v/>
      </c>
    </row>
    <row r="61">
      <c r="A61" s="20">
        <f>IF(F61="","",LEFT($D$3,3)&amp;"-"&amp;TEXT(COUNTIF(F$14:F61,"?*"),"00"))</f>
        <v/>
      </c>
      <c r="B61" s="4" t="n"/>
      <c r="C61" s="5">
        <f>IF(B61="","",IFERROR(INDEX(EqTypeCol,MATCH(B61,EqTag,0)),"Tag not in register"))</f>
        <v/>
      </c>
      <c r="D61" s="4" t="n"/>
      <c r="E61" s="4" t="n"/>
      <c r="F61" s="4" t="n"/>
      <c r="G61" s="4" t="n"/>
      <c r="H61" s="4" t="n"/>
      <c r="I61" s="4" t="n"/>
      <c r="J61" s="5">
        <f>_xlfn.TEXTJOIN(CHAR(10),TRUE,IF(G61="","","• "&amp;G61),IF(H61="","","• "&amp;H61),IF(I61="","","• "&amp;I61))</f>
        <v/>
      </c>
      <c r="K61" s="4" t="n"/>
      <c r="L61" s="4" t="n"/>
      <c r="M61" s="4" t="n"/>
      <c r="N61" s="16" t="n"/>
      <c r="O61" s="4" t="n"/>
      <c r="P61" s="16" t="n"/>
      <c r="Q61" s="4" t="n"/>
      <c r="R61" s="16" t="n"/>
      <c r="S61" s="20">
        <f>IF(OR(N61="",P61="",R61=""),"",(--TRIM(LEFT(N61,2)))*(--TRIM(LEFT(P61,2)))*(--TRIM(LEFT(R61,2))))</f>
        <v/>
      </c>
      <c r="T61" s="20">
        <f>IF(OR(N61="",P61="",R61=""),"",INDEX(APGrid,COUNTIF(APS,"&gt;"&amp;(--TRIM(LEFT(N61,2))))*5+COUNTIF(APO,"&gt;"&amp;(--TRIM(LEFT(P61,2))))+1,COUNTIF(APD,"&gt;"&amp;(--TRIM(LEFT(R61,2))))+1))</f>
        <v/>
      </c>
      <c r="U61" s="20">
        <f>IF(S61="","",IF(OR((--TRIM(LEFT(N61,2)))&gt;=SThr,S61&gt;=RPNThr,T61="H"),"Yes","No"))</f>
        <v/>
      </c>
      <c r="V61" s="4" t="n"/>
      <c r="W61" s="4" t="n"/>
      <c r="X61" s="4" t="n"/>
      <c r="Y61" s="29" t="n"/>
      <c r="Z61" s="16" t="n"/>
      <c r="AA61" s="16" t="n"/>
      <c r="AB61" s="16" t="n"/>
      <c r="AC61" s="20">
        <f>IF(OR(Z61="",AA61="",AB61=""),"",(--TRIM(LEFT(Z61,2)))*(--TRIM(LEFT(AA61,2)))*(--TRIM(LEFT(AB61,2))))</f>
        <v/>
      </c>
      <c r="AD61" s="20">
        <f>IF(OR(Z61="",AA61="",AB61=""),"",INDEX(APGrid,COUNTIF(APS,"&gt;"&amp;(--TRIM(LEFT(Z61,2))))*5+COUNTIF(APO,"&gt;"&amp;(--TRIM(LEFT(AA61,2))))+1,COUNTIF(APD,"&gt;"&amp;(--TRIM(LEFT(AB61,2))))+1))</f>
        <v/>
      </c>
      <c r="AE61" s="4" t="n"/>
      <c r="AF61" s="4" t="n"/>
      <c r="AH61">
        <f>IFERROR(INDEX(EqTag,_xlfn.AGGREGATE(15,6,(ROW(EqTag)-4)/((EqSys=$D$3)*(EqTag&lt;&gt;"")),ROWS($AH$14:AH61))),"")</f>
        <v/>
      </c>
    </row>
    <row r="62">
      <c r="A62" s="20">
        <f>IF(F62="","",LEFT($D$3,3)&amp;"-"&amp;TEXT(COUNTIF(F$14:F62,"?*"),"00"))</f>
        <v/>
      </c>
      <c r="B62" s="4" t="n"/>
      <c r="C62" s="5">
        <f>IF(B62="","",IFERROR(INDEX(EqTypeCol,MATCH(B62,EqTag,0)),"Tag not in register"))</f>
        <v/>
      </c>
      <c r="D62" s="4" t="n"/>
      <c r="E62" s="4" t="n"/>
      <c r="F62" s="4" t="n"/>
      <c r="G62" s="4" t="n"/>
      <c r="H62" s="4" t="n"/>
      <c r="I62" s="4" t="n"/>
      <c r="J62" s="5">
        <f>_xlfn.TEXTJOIN(CHAR(10),TRUE,IF(G62="","","• "&amp;G62),IF(H62="","","• "&amp;H62),IF(I62="","","• "&amp;I62))</f>
        <v/>
      </c>
      <c r="K62" s="4" t="n"/>
      <c r="L62" s="4" t="n"/>
      <c r="M62" s="4" t="n"/>
      <c r="N62" s="16" t="n"/>
      <c r="O62" s="4" t="n"/>
      <c r="P62" s="16" t="n"/>
      <c r="Q62" s="4" t="n"/>
      <c r="R62" s="16" t="n"/>
      <c r="S62" s="20">
        <f>IF(OR(N62="",P62="",R62=""),"",(--TRIM(LEFT(N62,2)))*(--TRIM(LEFT(P62,2)))*(--TRIM(LEFT(R62,2))))</f>
        <v/>
      </c>
      <c r="T62" s="20">
        <f>IF(OR(N62="",P62="",R62=""),"",INDEX(APGrid,COUNTIF(APS,"&gt;"&amp;(--TRIM(LEFT(N62,2))))*5+COUNTIF(APO,"&gt;"&amp;(--TRIM(LEFT(P62,2))))+1,COUNTIF(APD,"&gt;"&amp;(--TRIM(LEFT(R62,2))))+1))</f>
        <v/>
      </c>
      <c r="U62" s="20">
        <f>IF(S62="","",IF(OR((--TRIM(LEFT(N62,2)))&gt;=SThr,S62&gt;=RPNThr,T62="H"),"Yes","No"))</f>
        <v/>
      </c>
      <c r="V62" s="4" t="n"/>
      <c r="W62" s="4" t="n"/>
      <c r="X62" s="4" t="n"/>
      <c r="Y62" s="29" t="n"/>
      <c r="Z62" s="16" t="n"/>
      <c r="AA62" s="16" t="n"/>
      <c r="AB62" s="16" t="n"/>
      <c r="AC62" s="20">
        <f>IF(OR(Z62="",AA62="",AB62=""),"",(--TRIM(LEFT(Z62,2)))*(--TRIM(LEFT(AA62,2)))*(--TRIM(LEFT(AB62,2))))</f>
        <v/>
      </c>
      <c r="AD62" s="20">
        <f>IF(OR(Z62="",AA62="",AB62=""),"",INDEX(APGrid,COUNTIF(APS,"&gt;"&amp;(--TRIM(LEFT(Z62,2))))*5+COUNTIF(APO,"&gt;"&amp;(--TRIM(LEFT(AA62,2))))+1,COUNTIF(APD,"&gt;"&amp;(--TRIM(LEFT(AB62,2))))+1))</f>
        <v/>
      </c>
      <c r="AE62" s="4" t="n"/>
      <c r="AF62" s="4" t="n"/>
      <c r="AH62">
        <f>IFERROR(INDEX(EqTag,_xlfn.AGGREGATE(15,6,(ROW(EqTag)-4)/((EqSys=$D$3)*(EqTag&lt;&gt;"")),ROWS($AH$14:AH62))),"")</f>
        <v/>
      </c>
    </row>
    <row r="63">
      <c r="A63" s="20">
        <f>IF(F63="","",LEFT($D$3,3)&amp;"-"&amp;TEXT(COUNTIF(F$14:F63,"?*"),"00"))</f>
        <v/>
      </c>
      <c r="B63" s="4" t="n"/>
      <c r="C63" s="5">
        <f>IF(B63="","",IFERROR(INDEX(EqTypeCol,MATCH(B63,EqTag,0)),"Tag not in register"))</f>
        <v/>
      </c>
      <c r="D63" s="4" t="n"/>
      <c r="E63" s="4" t="n"/>
      <c r="F63" s="4" t="n"/>
      <c r="G63" s="4" t="n"/>
      <c r="H63" s="4" t="n"/>
      <c r="I63" s="4" t="n"/>
      <c r="J63" s="5">
        <f>_xlfn.TEXTJOIN(CHAR(10),TRUE,IF(G63="","","• "&amp;G63),IF(H63="","","• "&amp;H63),IF(I63="","","• "&amp;I63))</f>
        <v/>
      </c>
      <c r="K63" s="4" t="n"/>
      <c r="L63" s="4" t="n"/>
      <c r="M63" s="4" t="n"/>
      <c r="N63" s="16" t="n"/>
      <c r="O63" s="4" t="n"/>
      <c r="P63" s="16" t="n"/>
      <c r="Q63" s="4" t="n"/>
      <c r="R63" s="16" t="n"/>
      <c r="S63" s="20">
        <f>IF(OR(N63="",P63="",R63=""),"",(--TRIM(LEFT(N63,2)))*(--TRIM(LEFT(P63,2)))*(--TRIM(LEFT(R63,2))))</f>
        <v/>
      </c>
      <c r="T63" s="20">
        <f>IF(OR(N63="",P63="",R63=""),"",INDEX(APGrid,COUNTIF(APS,"&gt;"&amp;(--TRIM(LEFT(N63,2))))*5+COUNTIF(APO,"&gt;"&amp;(--TRIM(LEFT(P63,2))))+1,COUNTIF(APD,"&gt;"&amp;(--TRIM(LEFT(R63,2))))+1))</f>
        <v/>
      </c>
      <c r="U63" s="20">
        <f>IF(S63="","",IF(OR((--TRIM(LEFT(N63,2)))&gt;=SThr,S63&gt;=RPNThr,T63="H"),"Yes","No"))</f>
        <v/>
      </c>
      <c r="V63" s="4" t="n"/>
      <c r="W63" s="4" t="n"/>
      <c r="X63" s="4" t="n"/>
      <c r="Y63" s="29" t="n"/>
      <c r="Z63" s="16" t="n"/>
      <c r="AA63" s="16" t="n"/>
      <c r="AB63" s="16" t="n"/>
      <c r="AC63" s="20">
        <f>IF(OR(Z63="",AA63="",AB63=""),"",(--TRIM(LEFT(Z63,2)))*(--TRIM(LEFT(AA63,2)))*(--TRIM(LEFT(AB63,2))))</f>
        <v/>
      </c>
      <c r="AD63" s="20">
        <f>IF(OR(Z63="",AA63="",AB63=""),"",INDEX(APGrid,COUNTIF(APS,"&gt;"&amp;(--TRIM(LEFT(Z63,2))))*5+COUNTIF(APO,"&gt;"&amp;(--TRIM(LEFT(AA63,2))))+1,COUNTIF(APD,"&gt;"&amp;(--TRIM(LEFT(AB63,2))))+1))</f>
        <v/>
      </c>
      <c r="AE63" s="4" t="n"/>
      <c r="AF63" s="4" t="n"/>
      <c r="AH63">
        <f>IFERROR(INDEX(EqTag,_xlfn.AGGREGATE(15,6,(ROW(EqTag)-4)/((EqSys=$D$3)*(EqTag&lt;&gt;"")),ROWS($AH$14:AH63))),"")</f>
        <v/>
      </c>
    </row>
    <row r="64">
      <c r="A64" s="20">
        <f>IF(F64="","",LEFT($D$3,3)&amp;"-"&amp;TEXT(COUNTIF(F$14:F64,"?*"),"00"))</f>
        <v/>
      </c>
      <c r="B64" s="4" t="n"/>
      <c r="C64" s="5">
        <f>IF(B64="","",IFERROR(INDEX(EqTypeCol,MATCH(B64,EqTag,0)),"Tag not in register"))</f>
        <v/>
      </c>
      <c r="D64" s="4" t="n"/>
      <c r="E64" s="4" t="n"/>
      <c r="F64" s="4" t="n"/>
      <c r="G64" s="4" t="n"/>
      <c r="H64" s="4" t="n"/>
      <c r="I64" s="4" t="n"/>
      <c r="J64" s="5">
        <f>_xlfn.TEXTJOIN(CHAR(10),TRUE,IF(G64="","","• "&amp;G64),IF(H64="","","• "&amp;H64),IF(I64="","","• "&amp;I64))</f>
        <v/>
      </c>
      <c r="K64" s="4" t="n"/>
      <c r="L64" s="4" t="n"/>
      <c r="M64" s="4" t="n"/>
      <c r="N64" s="16" t="n"/>
      <c r="O64" s="4" t="n"/>
      <c r="P64" s="16" t="n"/>
      <c r="Q64" s="4" t="n"/>
      <c r="R64" s="16" t="n"/>
      <c r="S64" s="20">
        <f>IF(OR(N64="",P64="",R64=""),"",(--TRIM(LEFT(N64,2)))*(--TRIM(LEFT(P64,2)))*(--TRIM(LEFT(R64,2))))</f>
        <v/>
      </c>
      <c r="T64" s="20">
        <f>IF(OR(N64="",P64="",R64=""),"",INDEX(APGrid,COUNTIF(APS,"&gt;"&amp;(--TRIM(LEFT(N64,2))))*5+COUNTIF(APO,"&gt;"&amp;(--TRIM(LEFT(P64,2))))+1,COUNTIF(APD,"&gt;"&amp;(--TRIM(LEFT(R64,2))))+1))</f>
        <v/>
      </c>
      <c r="U64" s="20">
        <f>IF(S64="","",IF(OR((--TRIM(LEFT(N64,2)))&gt;=SThr,S64&gt;=RPNThr,T64="H"),"Yes","No"))</f>
        <v/>
      </c>
      <c r="V64" s="4" t="n"/>
      <c r="W64" s="4" t="n"/>
      <c r="X64" s="4" t="n"/>
      <c r="Y64" s="29" t="n"/>
      <c r="Z64" s="16" t="n"/>
      <c r="AA64" s="16" t="n"/>
      <c r="AB64" s="16" t="n"/>
      <c r="AC64" s="20">
        <f>IF(OR(Z64="",AA64="",AB64=""),"",(--TRIM(LEFT(Z64,2)))*(--TRIM(LEFT(AA64,2)))*(--TRIM(LEFT(AB64,2))))</f>
        <v/>
      </c>
      <c r="AD64" s="20">
        <f>IF(OR(Z64="",AA64="",AB64=""),"",INDEX(APGrid,COUNTIF(APS,"&gt;"&amp;(--TRIM(LEFT(Z64,2))))*5+COUNTIF(APO,"&gt;"&amp;(--TRIM(LEFT(AA64,2))))+1,COUNTIF(APD,"&gt;"&amp;(--TRIM(LEFT(AB64,2))))+1))</f>
        <v/>
      </c>
      <c r="AE64" s="4" t="n"/>
      <c r="AF64" s="4" t="n"/>
      <c r="AH64">
        <f>IFERROR(INDEX(EqTag,_xlfn.AGGREGATE(15,6,(ROW(EqTag)-4)/((EqSys=$D$3)*(EqTag&lt;&gt;"")),ROWS($AH$14:AH64))),"")</f>
        <v/>
      </c>
    </row>
    <row r="65">
      <c r="A65" s="20">
        <f>IF(F65="","",LEFT($D$3,3)&amp;"-"&amp;TEXT(COUNTIF(F$14:F65,"?*"),"00"))</f>
        <v/>
      </c>
      <c r="B65" s="4" t="n"/>
      <c r="C65" s="5">
        <f>IF(B65="","",IFERROR(INDEX(EqTypeCol,MATCH(B65,EqTag,0)),"Tag not in register"))</f>
        <v/>
      </c>
      <c r="D65" s="4" t="n"/>
      <c r="E65" s="4" t="n"/>
      <c r="F65" s="4" t="n"/>
      <c r="G65" s="4" t="n"/>
      <c r="H65" s="4" t="n"/>
      <c r="I65" s="4" t="n"/>
      <c r="J65" s="5">
        <f>_xlfn.TEXTJOIN(CHAR(10),TRUE,IF(G65="","","• "&amp;G65),IF(H65="","","• "&amp;H65),IF(I65="","","• "&amp;I65))</f>
        <v/>
      </c>
      <c r="K65" s="4" t="n"/>
      <c r="L65" s="4" t="n"/>
      <c r="M65" s="4" t="n"/>
      <c r="N65" s="16" t="n"/>
      <c r="O65" s="4" t="n"/>
      <c r="P65" s="16" t="n"/>
      <c r="Q65" s="4" t="n"/>
      <c r="R65" s="16" t="n"/>
      <c r="S65" s="20">
        <f>IF(OR(N65="",P65="",R65=""),"",(--TRIM(LEFT(N65,2)))*(--TRIM(LEFT(P65,2)))*(--TRIM(LEFT(R65,2))))</f>
        <v/>
      </c>
      <c r="T65" s="20">
        <f>IF(OR(N65="",P65="",R65=""),"",INDEX(APGrid,COUNTIF(APS,"&gt;"&amp;(--TRIM(LEFT(N65,2))))*5+COUNTIF(APO,"&gt;"&amp;(--TRIM(LEFT(P65,2))))+1,COUNTIF(APD,"&gt;"&amp;(--TRIM(LEFT(R65,2))))+1))</f>
        <v/>
      </c>
      <c r="U65" s="20">
        <f>IF(S65="","",IF(OR((--TRIM(LEFT(N65,2)))&gt;=SThr,S65&gt;=RPNThr,T65="H"),"Yes","No"))</f>
        <v/>
      </c>
      <c r="V65" s="4" t="n"/>
      <c r="W65" s="4" t="n"/>
      <c r="X65" s="4" t="n"/>
      <c r="Y65" s="29" t="n"/>
      <c r="Z65" s="16" t="n"/>
      <c r="AA65" s="16" t="n"/>
      <c r="AB65" s="16" t="n"/>
      <c r="AC65" s="20">
        <f>IF(OR(Z65="",AA65="",AB65=""),"",(--TRIM(LEFT(Z65,2)))*(--TRIM(LEFT(AA65,2)))*(--TRIM(LEFT(AB65,2))))</f>
        <v/>
      </c>
      <c r="AD65" s="20">
        <f>IF(OR(Z65="",AA65="",AB65=""),"",INDEX(APGrid,COUNTIF(APS,"&gt;"&amp;(--TRIM(LEFT(Z65,2))))*5+COUNTIF(APO,"&gt;"&amp;(--TRIM(LEFT(AA65,2))))+1,COUNTIF(APD,"&gt;"&amp;(--TRIM(LEFT(AB65,2))))+1))</f>
        <v/>
      </c>
      <c r="AE65" s="4" t="n"/>
      <c r="AF65" s="4" t="n"/>
      <c r="AH65">
        <f>IFERROR(INDEX(EqTag,_xlfn.AGGREGATE(15,6,(ROW(EqTag)-4)/((EqSys=$D$3)*(EqTag&lt;&gt;"")),ROWS($AH$14:AH65))),"")</f>
        <v/>
      </c>
    </row>
    <row r="66">
      <c r="A66" s="20">
        <f>IF(F66="","",LEFT($D$3,3)&amp;"-"&amp;TEXT(COUNTIF(F$14:F66,"?*"),"00"))</f>
        <v/>
      </c>
      <c r="B66" s="4" t="n"/>
      <c r="C66" s="5">
        <f>IF(B66="","",IFERROR(INDEX(EqTypeCol,MATCH(B66,EqTag,0)),"Tag not in register"))</f>
        <v/>
      </c>
      <c r="D66" s="4" t="n"/>
      <c r="E66" s="4" t="n"/>
      <c r="F66" s="4" t="n"/>
      <c r="G66" s="4" t="n"/>
      <c r="H66" s="4" t="n"/>
      <c r="I66" s="4" t="n"/>
      <c r="J66" s="5">
        <f>_xlfn.TEXTJOIN(CHAR(10),TRUE,IF(G66="","","• "&amp;G66),IF(H66="","","• "&amp;H66),IF(I66="","","• "&amp;I66))</f>
        <v/>
      </c>
      <c r="K66" s="4" t="n"/>
      <c r="L66" s="4" t="n"/>
      <c r="M66" s="4" t="n"/>
      <c r="N66" s="16" t="n"/>
      <c r="O66" s="4" t="n"/>
      <c r="P66" s="16" t="n"/>
      <c r="Q66" s="4" t="n"/>
      <c r="R66" s="16" t="n"/>
      <c r="S66" s="20">
        <f>IF(OR(N66="",P66="",R66=""),"",(--TRIM(LEFT(N66,2)))*(--TRIM(LEFT(P66,2)))*(--TRIM(LEFT(R66,2))))</f>
        <v/>
      </c>
      <c r="T66" s="20">
        <f>IF(OR(N66="",P66="",R66=""),"",INDEX(APGrid,COUNTIF(APS,"&gt;"&amp;(--TRIM(LEFT(N66,2))))*5+COUNTIF(APO,"&gt;"&amp;(--TRIM(LEFT(P66,2))))+1,COUNTIF(APD,"&gt;"&amp;(--TRIM(LEFT(R66,2))))+1))</f>
        <v/>
      </c>
      <c r="U66" s="20">
        <f>IF(S66="","",IF(OR((--TRIM(LEFT(N66,2)))&gt;=SThr,S66&gt;=RPNThr,T66="H"),"Yes","No"))</f>
        <v/>
      </c>
      <c r="V66" s="4" t="n"/>
      <c r="W66" s="4" t="n"/>
      <c r="X66" s="4" t="n"/>
      <c r="Y66" s="29" t="n"/>
      <c r="Z66" s="16" t="n"/>
      <c r="AA66" s="16" t="n"/>
      <c r="AB66" s="16" t="n"/>
      <c r="AC66" s="20">
        <f>IF(OR(Z66="",AA66="",AB66=""),"",(--TRIM(LEFT(Z66,2)))*(--TRIM(LEFT(AA66,2)))*(--TRIM(LEFT(AB66,2))))</f>
        <v/>
      </c>
      <c r="AD66" s="20">
        <f>IF(OR(Z66="",AA66="",AB66=""),"",INDEX(APGrid,COUNTIF(APS,"&gt;"&amp;(--TRIM(LEFT(Z66,2))))*5+COUNTIF(APO,"&gt;"&amp;(--TRIM(LEFT(AA66,2))))+1,COUNTIF(APD,"&gt;"&amp;(--TRIM(LEFT(AB66,2))))+1))</f>
        <v/>
      </c>
      <c r="AE66" s="4" t="n"/>
      <c r="AF66" s="4" t="n"/>
      <c r="AH66">
        <f>IFERROR(INDEX(EqTag,_xlfn.AGGREGATE(15,6,(ROW(EqTag)-4)/((EqSys=$D$3)*(EqTag&lt;&gt;"")),ROWS($AH$14:AH66))),"")</f>
        <v/>
      </c>
    </row>
    <row r="67">
      <c r="A67" s="20">
        <f>IF(F67="","",LEFT($D$3,3)&amp;"-"&amp;TEXT(COUNTIF(F$14:F67,"?*"),"00"))</f>
        <v/>
      </c>
      <c r="B67" s="4" t="n"/>
      <c r="C67" s="5">
        <f>IF(B67="","",IFERROR(INDEX(EqTypeCol,MATCH(B67,EqTag,0)),"Tag not in register"))</f>
        <v/>
      </c>
      <c r="D67" s="4" t="n"/>
      <c r="E67" s="4" t="n"/>
      <c r="F67" s="4" t="n"/>
      <c r="G67" s="4" t="n"/>
      <c r="H67" s="4" t="n"/>
      <c r="I67" s="4" t="n"/>
      <c r="J67" s="5">
        <f>_xlfn.TEXTJOIN(CHAR(10),TRUE,IF(G67="","","• "&amp;G67),IF(H67="","","• "&amp;H67),IF(I67="","","• "&amp;I67))</f>
        <v/>
      </c>
      <c r="K67" s="4" t="n"/>
      <c r="L67" s="4" t="n"/>
      <c r="M67" s="4" t="n"/>
      <c r="N67" s="16" t="n"/>
      <c r="O67" s="4" t="n"/>
      <c r="P67" s="16" t="n"/>
      <c r="Q67" s="4" t="n"/>
      <c r="R67" s="16" t="n"/>
      <c r="S67" s="20">
        <f>IF(OR(N67="",P67="",R67=""),"",(--TRIM(LEFT(N67,2)))*(--TRIM(LEFT(P67,2)))*(--TRIM(LEFT(R67,2))))</f>
        <v/>
      </c>
      <c r="T67" s="20">
        <f>IF(OR(N67="",P67="",R67=""),"",INDEX(APGrid,COUNTIF(APS,"&gt;"&amp;(--TRIM(LEFT(N67,2))))*5+COUNTIF(APO,"&gt;"&amp;(--TRIM(LEFT(P67,2))))+1,COUNTIF(APD,"&gt;"&amp;(--TRIM(LEFT(R67,2))))+1))</f>
        <v/>
      </c>
      <c r="U67" s="20">
        <f>IF(S67="","",IF(OR((--TRIM(LEFT(N67,2)))&gt;=SThr,S67&gt;=RPNThr,T67="H"),"Yes","No"))</f>
        <v/>
      </c>
      <c r="V67" s="4" t="n"/>
      <c r="W67" s="4" t="n"/>
      <c r="X67" s="4" t="n"/>
      <c r="Y67" s="29" t="n"/>
      <c r="Z67" s="16" t="n"/>
      <c r="AA67" s="16" t="n"/>
      <c r="AB67" s="16" t="n"/>
      <c r="AC67" s="20">
        <f>IF(OR(Z67="",AA67="",AB67=""),"",(--TRIM(LEFT(Z67,2)))*(--TRIM(LEFT(AA67,2)))*(--TRIM(LEFT(AB67,2))))</f>
        <v/>
      </c>
      <c r="AD67" s="20">
        <f>IF(OR(Z67="",AA67="",AB67=""),"",INDEX(APGrid,COUNTIF(APS,"&gt;"&amp;(--TRIM(LEFT(Z67,2))))*5+COUNTIF(APO,"&gt;"&amp;(--TRIM(LEFT(AA67,2))))+1,COUNTIF(APD,"&gt;"&amp;(--TRIM(LEFT(AB67,2))))+1))</f>
        <v/>
      </c>
      <c r="AE67" s="4" t="n"/>
      <c r="AF67" s="4" t="n"/>
      <c r="AH67">
        <f>IFERROR(INDEX(EqTag,_xlfn.AGGREGATE(15,6,(ROW(EqTag)-4)/((EqSys=$D$3)*(EqTag&lt;&gt;"")),ROWS($AH$14:AH67))),"")</f>
        <v/>
      </c>
    </row>
    <row r="68">
      <c r="A68" s="20">
        <f>IF(F68="","",LEFT($D$3,3)&amp;"-"&amp;TEXT(COUNTIF(F$14:F68,"?*"),"00"))</f>
        <v/>
      </c>
      <c r="B68" s="4" t="n"/>
      <c r="C68" s="5">
        <f>IF(B68="","",IFERROR(INDEX(EqTypeCol,MATCH(B68,EqTag,0)),"Tag not in register"))</f>
        <v/>
      </c>
      <c r="D68" s="4" t="n"/>
      <c r="E68" s="4" t="n"/>
      <c r="F68" s="4" t="n"/>
      <c r="G68" s="4" t="n"/>
      <c r="H68" s="4" t="n"/>
      <c r="I68" s="4" t="n"/>
      <c r="J68" s="5">
        <f>_xlfn.TEXTJOIN(CHAR(10),TRUE,IF(G68="","","• "&amp;G68),IF(H68="","","• "&amp;H68),IF(I68="","","• "&amp;I68))</f>
        <v/>
      </c>
      <c r="K68" s="4" t="n"/>
      <c r="L68" s="4" t="n"/>
      <c r="M68" s="4" t="n"/>
      <c r="N68" s="16" t="n"/>
      <c r="O68" s="4" t="n"/>
      <c r="P68" s="16" t="n"/>
      <c r="Q68" s="4" t="n"/>
      <c r="R68" s="16" t="n"/>
      <c r="S68" s="20">
        <f>IF(OR(N68="",P68="",R68=""),"",(--TRIM(LEFT(N68,2)))*(--TRIM(LEFT(P68,2)))*(--TRIM(LEFT(R68,2))))</f>
        <v/>
      </c>
      <c r="T68" s="20">
        <f>IF(OR(N68="",P68="",R68=""),"",INDEX(APGrid,COUNTIF(APS,"&gt;"&amp;(--TRIM(LEFT(N68,2))))*5+COUNTIF(APO,"&gt;"&amp;(--TRIM(LEFT(P68,2))))+1,COUNTIF(APD,"&gt;"&amp;(--TRIM(LEFT(R68,2))))+1))</f>
        <v/>
      </c>
      <c r="U68" s="20">
        <f>IF(S68="","",IF(OR((--TRIM(LEFT(N68,2)))&gt;=SThr,S68&gt;=RPNThr,T68="H"),"Yes","No"))</f>
        <v/>
      </c>
      <c r="V68" s="4" t="n"/>
      <c r="W68" s="4" t="n"/>
      <c r="X68" s="4" t="n"/>
      <c r="Y68" s="29" t="n"/>
      <c r="Z68" s="16" t="n"/>
      <c r="AA68" s="16" t="n"/>
      <c r="AB68" s="16" t="n"/>
      <c r="AC68" s="20">
        <f>IF(OR(Z68="",AA68="",AB68=""),"",(--TRIM(LEFT(Z68,2)))*(--TRIM(LEFT(AA68,2)))*(--TRIM(LEFT(AB68,2))))</f>
        <v/>
      </c>
      <c r="AD68" s="20">
        <f>IF(OR(Z68="",AA68="",AB68=""),"",INDEX(APGrid,COUNTIF(APS,"&gt;"&amp;(--TRIM(LEFT(Z68,2))))*5+COUNTIF(APO,"&gt;"&amp;(--TRIM(LEFT(AA68,2))))+1,COUNTIF(APD,"&gt;"&amp;(--TRIM(LEFT(AB68,2))))+1))</f>
        <v/>
      </c>
      <c r="AE68" s="4" t="n"/>
      <c r="AF68" s="4" t="n"/>
      <c r="AH68">
        <f>IFERROR(INDEX(EqTag,_xlfn.AGGREGATE(15,6,(ROW(EqTag)-4)/((EqSys=$D$3)*(EqTag&lt;&gt;"")),ROWS($AH$14:AH68))),"")</f>
        <v/>
      </c>
    </row>
    <row r="69">
      <c r="A69" s="20">
        <f>IF(F69="","",LEFT($D$3,3)&amp;"-"&amp;TEXT(COUNTIF(F$14:F69,"?*"),"00"))</f>
        <v/>
      </c>
      <c r="B69" s="4" t="n"/>
      <c r="C69" s="5">
        <f>IF(B69="","",IFERROR(INDEX(EqTypeCol,MATCH(B69,EqTag,0)),"Tag not in register"))</f>
        <v/>
      </c>
      <c r="D69" s="4" t="n"/>
      <c r="E69" s="4" t="n"/>
      <c r="F69" s="4" t="n"/>
      <c r="G69" s="4" t="n"/>
      <c r="H69" s="4" t="n"/>
      <c r="I69" s="4" t="n"/>
      <c r="J69" s="5">
        <f>_xlfn.TEXTJOIN(CHAR(10),TRUE,IF(G69="","","• "&amp;G69),IF(H69="","","• "&amp;H69),IF(I69="","","• "&amp;I69))</f>
        <v/>
      </c>
      <c r="K69" s="4" t="n"/>
      <c r="L69" s="4" t="n"/>
      <c r="M69" s="4" t="n"/>
      <c r="N69" s="16" t="n"/>
      <c r="O69" s="4" t="n"/>
      <c r="P69" s="16" t="n"/>
      <c r="Q69" s="4" t="n"/>
      <c r="R69" s="16" t="n"/>
      <c r="S69" s="20">
        <f>IF(OR(N69="",P69="",R69=""),"",(--TRIM(LEFT(N69,2)))*(--TRIM(LEFT(P69,2)))*(--TRIM(LEFT(R69,2))))</f>
        <v/>
      </c>
      <c r="T69" s="20">
        <f>IF(OR(N69="",P69="",R69=""),"",INDEX(APGrid,COUNTIF(APS,"&gt;"&amp;(--TRIM(LEFT(N69,2))))*5+COUNTIF(APO,"&gt;"&amp;(--TRIM(LEFT(P69,2))))+1,COUNTIF(APD,"&gt;"&amp;(--TRIM(LEFT(R69,2))))+1))</f>
        <v/>
      </c>
      <c r="U69" s="20">
        <f>IF(S69="","",IF(OR((--TRIM(LEFT(N69,2)))&gt;=SThr,S69&gt;=RPNThr,T69="H"),"Yes","No"))</f>
        <v/>
      </c>
      <c r="V69" s="4" t="n"/>
      <c r="W69" s="4" t="n"/>
      <c r="X69" s="4" t="n"/>
      <c r="Y69" s="29" t="n"/>
      <c r="Z69" s="16" t="n"/>
      <c r="AA69" s="16" t="n"/>
      <c r="AB69" s="16" t="n"/>
      <c r="AC69" s="20">
        <f>IF(OR(Z69="",AA69="",AB69=""),"",(--TRIM(LEFT(Z69,2)))*(--TRIM(LEFT(AA69,2)))*(--TRIM(LEFT(AB69,2))))</f>
        <v/>
      </c>
      <c r="AD69" s="20">
        <f>IF(OR(Z69="",AA69="",AB69=""),"",INDEX(APGrid,COUNTIF(APS,"&gt;"&amp;(--TRIM(LEFT(Z69,2))))*5+COUNTIF(APO,"&gt;"&amp;(--TRIM(LEFT(AA69,2))))+1,COUNTIF(APD,"&gt;"&amp;(--TRIM(LEFT(AB69,2))))+1))</f>
        <v/>
      </c>
      <c r="AE69" s="4" t="n"/>
      <c r="AF69" s="4" t="n"/>
      <c r="AH69">
        <f>IFERROR(INDEX(EqTag,_xlfn.AGGREGATE(15,6,(ROW(EqTag)-4)/((EqSys=$D$3)*(EqTag&lt;&gt;"")),ROWS($AH$14:AH69))),"")</f>
        <v/>
      </c>
    </row>
    <row r="70">
      <c r="A70" s="20">
        <f>IF(F70="","",LEFT($D$3,3)&amp;"-"&amp;TEXT(COUNTIF(F$14:F70,"?*"),"00"))</f>
        <v/>
      </c>
      <c r="B70" s="4" t="n"/>
      <c r="C70" s="5">
        <f>IF(B70="","",IFERROR(INDEX(EqTypeCol,MATCH(B70,EqTag,0)),"Tag not in register"))</f>
        <v/>
      </c>
      <c r="D70" s="4" t="n"/>
      <c r="E70" s="4" t="n"/>
      <c r="F70" s="4" t="n"/>
      <c r="G70" s="4" t="n"/>
      <c r="H70" s="4" t="n"/>
      <c r="I70" s="4" t="n"/>
      <c r="J70" s="5">
        <f>_xlfn.TEXTJOIN(CHAR(10),TRUE,IF(G70="","","• "&amp;G70),IF(H70="","","• "&amp;H70),IF(I70="","","• "&amp;I70))</f>
        <v/>
      </c>
      <c r="K70" s="4" t="n"/>
      <c r="L70" s="4" t="n"/>
      <c r="M70" s="4" t="n"/>
      <c r="N70" s="16" t="n"/>
      <c r="O70" s="4" t="n"/>
      <c r="P70" s="16" t="n"/>
      <c r="Q70" s="4" t="n"/>
      <c r="R70" s="16" t="n"/>
      <c r="S70" s="20">
        <f>IF(OR(N70="",P70="",R70=""),"",(--TRIM(LEFT(N70,2)))*(--TRIM(LEFT(P70,2)))*(--TRIM(LEFT(R70,2))))</f>
        <v/>
      </c>
      <c r="T70" s="20">
        <f>IF(OR(N70="",P70="",R70=""),"",INDEX(APGrid,COUNTIF(APS,"&gt;"&amp;(--TRIM(LEFT(N70,2))))*5+COUNTIF(APO,"&gt;"&amp;(--TRIM(LEFT(P70,2))))+1,COUNTIF(APD,"&gt;"&amp;(--TRIM(LEFT(R70,2))))+1))</f>
        <v/>
      </c>
      <c r="U70" s="20">
        <f>IF(S70="","",IF(OR((--TRIM(LEFT(N70,2)))&gt;=SThr,S70&gt;=RPNThr,T70="H"),"Yes","No"))</f>
        <v/>
      </c>
      <c r="V70" s="4" t="n"/>
      <c r="W70" s="4" t="n"/>
      <c r="X70" s="4" t="n"/>
      <c r="Y70" s="29" t="n"/>
      <c r="Z70" s="16" t="n"/>
      <c r="AA70" s="16" t="n"/>
      <c r="AB70" s="16" t="n"/>
      <c r="AC70" s="20">
        <f>IF(OR(Z70="",AA70="",AB70=""),"",(--TRIM(LEFT(Z70,2)))*(--TRIM(LEFT(AA70,2)))*(--TRIM(LEFT(AB70,2))))</f>
        <v/>
      </c>
      <c r="AD70" s="20">
        <f>IF(OR(Z70="",AA70="",AB70=""),"",INDEX(APGrid,COUNTIF(APS,"&gt;"&amp;(--TRIM(LEFT(Z70,2))))*5+COUNTIF(APO,"&gt;"&amp;(--TRIM(LEFT(AA70,2))))+1,COUNTIF(APD,"&gt;"&amp;(--TRIM(LEFT(AB70,2))))+1))</f>
        <v/>
      </c>
      <c r="AE70" s="4" t="n"/>
      <c r="AF70" s="4" t="n"/>
      <c r="AH70">
        <f>IFERROR(INDEX(EqTag,_xlfn.AGGREGATE(15,6,(ROW(EqTag)-4)/((EqSys=$D$3)*(EqTag&lt;&gt;"")),ROWS($AH$14:AH70))),"")</f>
        <v/>
      </c>
    </row>
    <row r="71">
      <c r="A71" s="20">
        <f>IF(F71="","",LEFT($D$3,3)&amp;"-"&amp;TEXT(COUNTIF(F$14:F71,"?*"),"00"))</f>
        <v/>
      </c>
      <c r="B71" s="4" t="n"/>
      <c r="C71" s="5">
        <f>IF(B71="","",IFERROR(INDEX(EqTypeCol,MATCH(B71,EqTag,0)),"Tag not in register"))</f>
        <v/>
      </c>
      <c r="D71" s="4" t="n"/>
      <c r="E71" s="4" t="n"/>
      <c r="F71" s="4" t="n"/>
      <c r="G71" s="4" t="n"/>
      <c r="H71" s="4" t="n"/>
      <c r="I71" s="4" t="n"/>
      <c r="J71" s="5">
        <f>_xlfn.TEXTJOIN(CHAR(10),TRUE,IF(G71="","","• "&amp;G71),IF(H71="","","• "&amp;H71),IF(I71="","","• "&amp;I71))</f>
        <v/>
      </c>
      <c r="K71" s="4" t="n"/>
      <c r="L71" s="4" t="n"/>
      <c r="M71" s="4" t="n"/>
      <c r="N71" s="16" t="n"/>
      <c r="O71" s="4" t="n"/>
      <c r="P71" s="16" t="n"/>
      <c r="Q71" s="4" t="n"/>
      <c r="R71" s="16" t="n"/>
      <c r="S71" s="20">
        <f>IF(OR(N71="",P71="",R71=""),"",(--TRIM(LEFT(N71,2)))*(--TRIM(LEFT(P71,2)))*(--TRIM(LEFT(R71,2))))</f>
        <v/>
      </c>
      <c r="T71" s="20">
        <f>IF(OR(N71="",P71="",R71=""),"",INDEX(APGrid,COUNTIF(APS,"&gt;"&amp;(--TRIM(LEFT(N71,2))))*5+COUNTIF(APO,"&gt;"&amp;(--TRIM(LEFT(P71,2))))+1,COUNTIF(APD,"&gt;"&amp;(--TRIM(LEFT(R71,2))))+1))</f>
        <v/>
      </c>
      <c r="U71" s="20">
        <f>IF(S71="","",IF(OR((--TRIM(LEFT(N71,2)))&gt;=SThr,S71&gt;=RPNThr,T71="H"),"Yes","No"))</f>
        <v/>
      </c>
      <c r="V71" s="4" t="n"/>
      <c r="W71" s="4" t="n"/>
      <c r="X71" s="4" t="n"/>
      <c r="Y71" s="29" t="n"/>
      <c r="Z71" s="16" t="n"/>
      <c r="AA71" s="16" t="n"/>
      <c r="AB71" s="16" t="n"/>
      <c r="AC71" s="20">
        <f>IF(OR(Z71="",AA71="",AB71=""),"",(--TRIM(LEFT(Z71,2)))*(--TRIM(LEFT(AA71,2)))*(--TRIM(LEFT(AB71,2))))</f>
        <v/>
      </c>
      <c r="AD71" s="20">
        <f>IF(OR(Z71="",AA71="",AB71=""),"",INDEX(APGrid,COUNTIF(APS,"&gt;"&amp;(--TRIM(LEFT(Z71,2))))*5+COUNTIF(APO,"&gt;"&amp;(--TRIM(LEFT(AA71,2))))+1,COUNTIF(APD,"&gt;"&amp;(--TRIM(LEFT(AB71,2))))+1))</f>
        <v/>
      </c>
      <c r="AE71" s="4" t="n"/>
      <c r="AF71" s="4" t="n"/>
      <c r="AH71">
        <f>IFERROR(INDEX(EqTag,_xlfn.AGGREGATE(15,6,(ROW(EqTag)-4)/((EqSys=$D$3)*(EqTag&lt;&gt;"")),ROWS($AH$14:AH71))),"")</f>
        <v/>
      </c>
    </row>
    <row r="72">
      <c r="A72" s="20">
        <f>IF(F72="","",LEFT($D$3,3)&amp;"-"&amp;TEXT(COUNTIF(F$14:F72,"?*"),"00"))</f>
        <v/>
      </c>
      <c r="B72" s="4" t="n"/>
      <c r="C72" s="5">
        <f>IF(B72="","",IFERROR(INDEX(EqTypeCol,MATCH(B72,EqTag,0)),"Tag not in register"))</f>
        <v/>
      </c>
      <c r="D72" s="4" t="n"/>
      <c r="E72" s="4" t="n"/>
      <c r="F72" s="4" t="n"/>
      <c r="G72" s="4" t="n"/>
      <c r="H72" s="4" t="n"/>
      <c r="I72" s="4" t="n"/>
      <c r="J72" s="5">
        <f>_xlfn.TEXTJOIN(CHAR(10),TRUE,IF(G72="","","• "&amp;G72),IF(H72="","","• "&amp;H72),IF(I72="","","• "&amp;I72))</f>
        <v/>
      </c>
      <c r="K72" s="4" t="n"/>
      <c r="L72" s="4" t="n"/>
      <c r="M72" s="4" t="n"/>
      <c r="N72" s="16" t="n"/>
      <c r="O72" s="4" t="n"/>
      <c r="P72" s="16" t="n"/>
      <c r="Q72" s="4" t="n"/>
      <c r="R72" s="16" t="n"/>
      <c r="S72" s="20">
        <f>IF(OR(N72="",P72="",R72=""),"",(--TRIM(LEFT(N72,2)))*(--TRIM(LEFT(P72,2)))*(--TRIM(LEFT(R72,2))))</f>
        <v/>
      </c>
      <c r="T72" s="20">
        <f>IF(OR(N72="",P72="",R72=""),"",INDEX(APGrid,COUNTIF(APS,"&gt;"&amp;(--TRIM(LEFT(N72,2))))*5+COUNTIF(APO,"&gt;"&amp;(--TRIM(LEFT(P72,2))))+1,COUNTIF(APD,"&gt;"&amp;(--TRIM(LEFT(R72,2))))+1))</f>
        <v/>
      </c>
      <c r="U72" s="20">
        <f>IF(S72="","",IF(OR((--TRIM(LEFT(N72,2)))&gt;=SThr,S72&gt;=RPNThr,T72="H"),"Yes","No"))</f>
        <v/>
      </c>
      <c r="V72" s="4" t="n"/>
      <c r="W72" s="4" t="n"/>
      <c r="X72" s="4" t="n"/>
      <c r="Y72" s="29" t="n"/>
      <c r="Z72" s="16" t="n"/>
      <c r="AA72" s="16" t="n"/>
      <c r="AB72" s="16" t="n"/>
      <c r="AC72" s="20">
        <f>IF(OR(Z72="",AA72="",AB72=""),"",(--TRIM(LEFT(Z72,2)))*(--TRIM(LEFT(AA72,2)))*(--TRIM(LEFT(AB72,2))))</f>
        <v/>
      </c>
      <c r="AD72" s="20">
        <f>IF(OR(Z72="",AA72="",AB72=""),"",INDEX(APGrid,COUNTIF(APS,"&gt;"&amp;(--TRIM(LEFT(Z72,2))))*5+COUNTIF(APO,"&gt;"&amp;(--TRIM(LEFT(AA72,2))))+1,COUNTIF(APD,"&gt;"&amp;(--TRIM(LEFT(AB72,2))))+1))</f>
        <v/>
      </c>
      <c r="AE72" s="4" t="n"/>
      <c r="AF72" s="4" t="n"/>
      <c r="AH72">
        <f>IFERROR(INDEX(EqTag,_xlfn.AGGREGATE(15,6,(ROW(EqTag)-4)/((EqSys=$D$3)*(EqTag&lt;&gt;"")),ROWS($AH$14:AH72))),"")</f>
        <v/>
      </c>
    </row>
    <row r="73">
      <c r="A73" s="20">
        <f>IF(F73="","",LEFT($D$3,3)&amp;"-"&amp;TEXT(COUNTIF(F$14:F73,"?*"),"00"))</f>
        <v/>
      </c>
      <c r="B73" s="4" t="n"/>
      <c r="C73" s="5">
        <f>IF(B73="","",IFERROR(INDEX(EqTypeCol,MATCH(B73,EqTag,0)),"Tag not in register"))</f>
        <v/>
      </c>
      <c r="D73" s="4" t="n"/>
      <c r="E73" s="4" t="n"/>
      <c r="F73" s="4" t="n"/>
      <c r="G73" s="4" t="n"/>
      <c r="H73" s="4" t="n"/>
      <c r="I73" s="4" t="n"/>
      <c r="J73" s="5">
        <f>_xlfn.TEXTJOIN(CHAR(10),TRUE,IF(G73="","","• "&amp;G73),IF(H73="","","• "&amp;H73),IF(I73="","","• "&amp;I73))</f>
        <v/>
      </c>
      <c r="K73" s="4" t="n"/>
      <c r="L73" s="4" t="n"/>
      <c r="M73" s="4" t="n"/>
      <c r="N73" s="16" t="n"/>
      <c r="O73" s="4" t="n"/>
      <c r="P73" s="16" t="n"/>
      <c r="Q73" s="4" t="n"/>
      <c r="R73" s="16" t="n"/>
      <c r="S73" s="20">
        <f>IF(OR(N73="",P73="",R73=""),"",(--TRIM(LEFT(N73,2)))*(--TRIM(LEFT(P73,2)))*(--TRIM(LEFT(R73,2))))</f>
        <v/>
      </c>
      <c r="T73" s="20">
        <f>IF(OR(N73="",P73="",R73=""),"",INDEX(APGrid,COUNTIF(APS,"&gt;"&amp;(--TRIM(LEFT(N73,2))))*5+COUNTIF(APO,"&gt;"&amp;(--TRIM(LEFT(P73,2))))+1,COUNTIF(APD,"&gt;"&amp;(--TRIM(LEFT(R73,2))))+1))</f>
        <v/>
      </c>
      <c r="U73" s="20">
        <f>IF(S73="","",IF(OR((--TRIM(LEFT(N73,2)))&gt;=SThr,S73&gt;=RPNThr,T73="H"),"Yes","No"))</f>
        <v/>
      </c>
      <c r="V73" s="4" t="n"/>
      <c r="W73" s="4" t="n"/>
      <c r="X73" s="4" t="n"/>
      <c r="Y73" s="29" t="n"/>
      <c r="Z73" s="16" t="n"/>
      <c r="AA73" s="16" t="n"/>
      <c r="AB73" s="16" t="n"/>
      <c r="AC73" s="20">
        <f>IF(OR(Z73="",AA73="",AB73=""),"",(--TRIM(LEFT(Z73,2)))*(--TRIM(LEFT(AA73,2)))*(--TRIM(LEFT(AB73,2))))</f>
        <v/>
      </c>
      <c r="AD73" s="20">
        <f>IF(OR(Z73="",AA73="",AB73=""),"",INDEX(APGrid,COUNTIF(APS,"&gt;"&amp;(--TRIM(LEFT(Z73,2))))*5+COUNTIF(APO,"&gt;"&amp;(--TRIM(LEFT(AA73,2))))+1,COUNTIF(APD,"&gt;"&amp;(--TRIM(LEFT(AB73,2))))+1))</f>
        <v/>
      </c>
      <c r="AE73" s="4" t="n"/>
      <c r="AF73" s="4" t="n"/>
      <c r="AH73">
        <f>IFERROR(INDEX(EqTag,_xlfn.AGGREGATE(15,6,(ROW(EqTag)-4)/((EqSys=$D$3)*(EqTag&lt;&gt;"")),ROWS($AH$14:AH73))),"")</f>
        <v/>
      </c>
    </row>
    <row r="74">
      <c r="A74" s="20">
        <f>IF(F74="","",LEFT($D$3,3)&amp;"-"&amp;TEXT(COUNTIF(F$14:F74,"?*"),"00"))</f>
        <v/>
      </c>
      <c r="B74" s="4" t="n"/>
      <c r="C74" s="5">
        <f>IF(B74="","",IFERROR(INDEX(EqTypeCol,MATCH(B74,EqTag,0)),"Tag not in register"))</f>
        <v/>
      </c>
      <c r="D74" s="4" t="n"/>
      <c r="E74" s="4" t="n"/>
      <c r="F74" s="4" t="n"/>
      <c r="G74" s="4" t="n"/>
      <c r="H74" s="4" t="n"/>
      <c r="I74" s="4" t="n"/>
      <c r="J74" s="5">
        <f>_xlfn.TEXTJOIN(CHAR(10),TRUE,IF(G74="","","• "&amp;G74),IF(H74="","","• "&amp;H74),IF(I74="","","• "&amp;I74))</f>
        <v/>
      </c>
      <c r="K74" s="4" t="n"/>
      <c r="L74" s="4" t="n"/>
      <c r="M74" s="4" t="n"/>
      <c r="N74" s="16" t="n"/>
      <c r="O74" s="4" t="n"/>
      <c r="P74" s="16" t="n"/>
      <c r="Q74" s="4" t="n"/>
      <c r="R74" s="16" t="n"/>
      <c r="S74" s="20">
        <f>IF(OR(N74="",P74="",R74=""),"",(--TRIM(LEFT(N74,2)))*(--TRIM(LEFT(P74,2)))*(--TRIM(LEFT(R74,2))))</f>
        <v/>
      </c>
      <c r="T74" s="20">
        <f>IF(OR(N74="",P74="",R74=""),"",INDEX(APGrid,COUNTIF(APS,"&gt;"&amp;(--TRIM(LEFT(N74,2))))*5+COUNTIF(APO,"&gt;"&amp;(--TRIM(LEFT(P74,2))))+1,COUNTIF(APD,"&gt;"&amp;(--TRIM(LEFT(R74,2))))+1))</f>
        <v/>
      </c>
      <c r="U74" s="20">
        <f>IF(S74="","",IF(OR((--TRIM(LEFT(N74,2)))&gt;=SThr,S74&gt;=RPNThr,T74="H"),"Yes","No"))</f>
        <v/>
      </c>
      <c r="V74" s="4" t="n"/>
      <c r="W74" s="4" t="n"/>
      <c r="X74" s="4" t="n"/>
      <c r="Y74" s="29" t="n"/>
      <c r="Z74" s="16" t="n"/>
      <c r="AA74" s="16" t="n"/>
      <c r="AB74" s="16" t="n"/>
      <c r="AC74" s="20">
        <f>IF(OR(Z74="",AA74="",AB74=""),"",(--TRIM(LEFT(Z74,2)))*(--TRIM(LEFT(AA74,2)))*(--TRIM(LEFT(AB74,2))))</f>
        <v/>
      </c>
      <c r="AD74" s="20">
        <f>IF(OR(Z74="",AA74="",AB74=""),"",INDEX(APGrid,COUNTIF(APS,"&gt;"&amp;(--TRIM(LEFT(Z74,2))))*5+COUNTIF(APO,"&gt;"&amp;(--TRIM(LEFT(AA74,2))))+1,COUNTIF(APD,"&gt;"&amp;(--TRIM(LEFT(AB74,2))))+1))</f>
        <v/>
      </c>
      <c r="AE74" s="4" t="n"/>
      <c r="AF74" s="4" t="n"/>
      <c r="AH74">
        <f>IFERROR(INDEX(EqTag,_xlfn.AGGREGATE(15,6,(ROW(EqTag)-4)/((EqSys=$D$3)*(EqTag&lt;&gt;"")),ROWS($AH$14:AH74))),"")</f>
        <v/>
      </c>
    </row>
    <row r="75">
      <c r="A75" s="20">
        <f>IF(F75="","",LEFT($D$3,3)&amp;"-"&amp;TEXT(COUNTIF(F$14:F75,"?*"),"00"))</f>
        <v/>
      </c>
      <c r="B75" s="4" t="n"/>
      <c r="C75" s="5">
        <f>IF(B75="","",IFERROR(INDEX(EqTypeCol,MATCH(B75,EqTag,0)),"Tag not in register"))</f>
        <v/>
      </c>
      <c r="D75" s="4" t="n"/>
      <c r="E75" s="4" t="n"/>
      <c r="F75" s="4" t="n"/>
      <c r="G75" s="4" t="n"/>
      <c r="H75" s="4" t="n"/>
      <c r="I75" s="4" t="n"/>
      <c r="J75" s="5">
        <f>_xlfn.TEXTJOIN(CHAR(10),TRUE,IF(G75="","","• "&amp;G75),IF(H75="","","• "&amp;H75),IF(I75="","","• "&amp;I75))</f>
        <v/>
      </c>
      <c r="K75" s="4" t="n"/>
      <c r="L75" s="4" t="n"/>
      <c r="M75" s="4" t="n"/>
      <c r="N75" s="16" t="n"/>
      <c r="O75" s="4" t="n"/>
      <c r="P75" s="16" t="n"/>
      <c r="Q75" s="4" t="n"/>
      <c r="R75" s="16" t="n"/>
      <c r="S75" s="20">
        <f>IF(OR(N75="",P75="",R75=""),"",(--TRIM(LEFT(N75,2)))*(--TRIM(LEFT(P75,2)))*(--TRIM(LEFT(R75,2))))</f>
        <v/>
      </c>
      <c r="T75" s="20">
        <f>IF(OR(N75="",P75="",R75=""),"",INDEX(APGrid,COUNTIF(APS,"&gt;"&amp;(--TRIM(LEFT(N75,2))))*5+COUNTIF(APO,"&gt;"&amp;(--TRIM(LEFT(P75,2))))+1,COUNTIF(APD,"&gt;"&amp;(--TRIM(LEFT(R75,2))))+1))</f>
        <v/>
      </c>
      <c r="U75" s="20">
        <f>IF(S75="","",IF(OR((--TRIM(LEFT(N75,2)))&gt;=SThr,S75&gt;=RPNThr,T75="H"),"Yes","No"))</f>
        <v/>
      </c>
      <c r="V75" s="4" t="n"/>
      <c r="W75" s="4" t="n"/>
      <c r="X75" s="4" t="n"/>
      <c r="Y75" s="29" t="n"/>
      <c r="Z75" s="16" t="n"/>
      <c r="AA75" s="16" t="n"/>
      <c r="AB75" s="16" t="n"/>
      <c r="AC75" s="20">
        <f>IF(OR(Z75="",AA75="",AB75=""),"",(--TRIM(LEFT(Z75,2)))*(--TRIM(LEFT(AA75,2)))*(--TRIM(LEFT(AB75,2))))</f>
        <v/>
      </c>
      <c r="AD75" s="20">
        <f>IF(OR(Z75="",AA75="",AB75=""),"",INDEX(APGrid,COUNTIF(APS,"&gt;"&amp;(--TRIM(LEFT(Z75,2))))*5+COUNTIF(APO,"&gt;"&amp;(--TRIM(LEFT(AA75,2))))+1,COUNTIF(APD,"&gt;"&amp;(--TRIM(LEFT(AB75,2))))+1))</f>
        <v/>
      </c>
      <c r="AE75" s="4" t="n"/>
      <c r="AF75" s="4" t="n"/>
      <c r="AH75">
        <f>IFERROR(INDEX(EqTag,_xlfn.AGGREGATE(15,6,(ROW(EqTag)-4)/((EqSys=$D$3)*(EqTag&lt;&gt;"")),ROWS($AH$14:AH75))),"")</f>
        <v/>
      </c>
    </row>
    <row r="76">
      <c r="A76" s="20">
        <f>IF(F76="","",LEFT($D$3,3)&amp;"-"&amp;TEXT(COUNTIF(F$14:F76,"?*"),"00"))</f>
        <v/>
      </c>
      <c r="B76" s="4" t="n"/>
      <c r="C76" s="5">
        <f>IF(B76="","",IFERROR(INDEX(EqTypeCol,MATCH(B76,EqTag,0)),"Tag not in register"))</f>
        <v/>
      </c>
      <c r="D76" s="4" t="n"/>
      <c r="E76" s="4" t="n"/>
      <c r="F76" s="4" t="n"/>
      <c r="G76" s="4" t="n"/>
      <c r="H76" s="4" t="n"/>
      <c r="I76" s="4" t="n"/>
      <c r="J76" s="5">
        <f>_xlfn.TEXTJOIN(CHAR(10),TRUE,IF(G76="","","• "&amp;G76),IF(H76="","","• "&amp;H76),IF(I76="","","• "&amp;I76))</f>
        <v/>
      </c>
      <c r="K76" s="4" t="n"/>
      <c r="L76" s="4" t="n"/>
      <c r="M76" s="4" t="n"/>
      <c r="N76" s="16" t="n"/>
      <c r="O76" s="4" t="n"/>
      <c r="P76" s="16" t="n"/>
      <c r="Q76" s="4" t="n"/>
      <c r="R76" s="16" t="n"/>
      <c r="S76" s="20">
        <f>IF(OR(N76="",P76="",R76=""),"",(--TRIM(LEFT(N76,2)))*(--TRIM(LEFT(P76,2)))*(--TRIM(LEFT(R76,2))))</f>
        <v/>
      </c>
      <c r="T76" s="20">
        <f>IF(OR(N76="",P76="",R76=""),"",INDEX(APGrid,COUNTIF(APS,"&gt;"&amp;(--TRIM(LEFT(N76,2))))*5+COUNTIF(APO,"&gt;"&amp;(--TRIM(LEFT(P76,2))))+1,COUNTIF(APD,"&gt;"&amp;(--TRIM(LEFT(R76,2))))+1))</f>
        <v/>
      </c>
      <c r="U76" s="20">
        <f>IF(S76="","",IF(OR((--TRIM(LEFT(N76,2)))&gt;=SThr,S76&gt;=RPNThr,T76="H"),"Yes","No"))</f>
        <v/>
      </c>
      <c r="V76" s="4" t="n"/>
      <c r="W76" s="4" t="n"/>
      <c r="X76" s="4" t="n"/>
      <c r="Y76" s="29" t="n"/>
      <c r="Z76" s="16" t="n"/>
      <c r="AA76" s="16" t="n"/>
      <c r="AB76" s="16" t="n"/>
      <c r="AC76" s="20">
        <f>IF(OR(Z76="",AA76="",AB76=""),"",(--TRIM(LEFT(Z76,2)))*(--TRIM(LEFT(AA76,2)))*(--TRIM(LEFT(AB76,2))))</f>
        <v/>
      </c>
      <c r="AD76" s="20">
        <f>IF(OR(Z76="",AA76="",AB76=""),"",INDEX(APGrid,COUNTIF(APS,"&gt;"&amp;(--TRIM(LEFT(Z76,2))))*5+COUNTIF(APO,"&gt;"&amp;(--TRIM(LEFT(AA76,2))))+1,COUNTIF(APD,"&gt;"&amp;(--TRIM(LEFT(AB76,2))))+1))</f>
        <v/>
      </c>
      <c r="AE76" s="4" t="n"/>
      <c r="AF76" s="4" t="n"/>
      <c r="AH76">
        <f>IFERROR(INDEX(EqTag,_xlfn.AGGREGATE(15,6,(ROW(EqTag)-4)/((EqSys=$D$3)*(EqTag&lt;&gt;"")),ROWS($AH$14:AH76))),"")</f>
        <v/>
      </c>
    </row>
    <row r="77">
      <c r="A77" s="20">
        <f>IF(F77="","",LEFT($D$3,3)&amp;"-"&amp;TEXT(COUNTIF(F$14:F77,"?*"),"00"))</f>
        <v/>
      </c>
      <c r="B77" s="4" t="n"/>
      <c r="C77" s="5">
        <f>IF(B77="","",IFERROR(INDEX(EqTypeCol,MATCH(B77,EqTag,0)),"Tag not in register"))</f>
        <v/>
      </c>
      <c r="D77" s="4" t="n"/>
      <c r="E77" s="4" t="n"/>
      <c r="F77" s="4" t="n"/>
      <c r="G77" s="4" t="n"/>
      <c r="H77" s="4" t="n"/>
      <c r="I77" s="4" t="n"/>
      <c r="J77" s="5">
        <f>_xlfn.TEXTJOIN(CHAR(10),TRUE,IF(G77="","","• "&amp;G77),IF(H77="","","• "&amp;H77),IF(I77="","","• "&amp;I77))</f>
        <v/>
      </c>
      <c r="K77" s="4" t="n"/>
      <c r="L77" s="4" t="n"/>
      <c r="M77" s="4" t="n"/>
      <c r="N77" s="16" t="n"/>
      <c r="O77" s="4" t="n"/>
      <c r="P77" s="16" t="n"/>
      <c r="Q77" s="4" t="n"/>
      <c r="R77" s="16" t="n"/>
      <c r="S77" s="20">
        <f>IF(OR(N77="",P77="",R77=""),"",(--TRIM(LEFT(N77,2)))*(--TRIM(LEFT(P77,2)))*(--TRIM(LEFT(R77,2))))</f>
        <v/>
      </c>
      <c r="T77" s="20">
        <f>IF(OR(N77="",P77="",R77=""),"",INDEX(APGrid,COUNTIF(APS,"&gt;"&amp;(--TRIM(LEFT(N77,2))))*5+COUNTIF(APO,"&gt;"&amp;(--TRIM(LEFT(P77,2))))+1,COUNTIF(APD,"&gt;"&amp;(--TRIM(LEFT(R77,2))))+1))</f>
        <v/>
      </c>
      <c r="U77" s="20">
        <f>IF(S77="","",IF(OR((--TRIM(LEFT(N77,2)))&gt;=SThr,S77&gt;=RPNThr,T77="H"),"Yes","No"))</f>
        <v/>
      </c>
      <c r="V77" s="4" t="n"/>
      <c r="W77" s="4" t="n"/>
      <c r="X77" s="4" t="n"/>
      <c r="Y77" s="29" t="n"/>
      <c r="Z77" s="16" t="n"/>
      <c r="AA77" s="16" t="n"/>
      <c r="AB77" s="16" t="n"/>
      <c r="AC77" s="20">
        <f>IF(OR(Z77="",AA77="",AB77=""),"",(--TRIM(LEFT(Z77,2)))*(--TRIM(LEFT(AA77,2)))*(--TRIM(LEFT(AB77,2))))</f>
        <v/>
      </c>
      <c r="AD77" s="20">
        <f>IF(OR(Z77="",AA77="",AB77=""),"",INDEX(APGrid,COUNTIF(APS,"&gt;"&amp;(--TRIM(LEFT(Z77,2))))*5+COUNTIF(APO,"&gt;"&amp;(--TRIM(LEFT(AA77,2))))+1,COUNTIF(APD,"&gt;"&amp;(--TRIM(LEFT(AB77,2))))+1))</f>
        <v/>
      </c>
      <c r="AE77" s="4" t="n"/>
      <c r="AF77" s="4" t="n"/>
      <c r="AH77">
        <f>IFERROR(INDEX(EqTag,_xlfn.AGGREGATE(15,6,(ROW(EqTag)-4)/((EqSys=$D$3)*(EqTag&lt;&gt;"")),ROWS($AH$14:AH77))),"")</f>
        <v/>
      </c>
    </row>
    <row r="78">
      <c r="A78" s="20">
        <f>IF(F78="","",LEFT($D$3,3)&amp;"-"&amp;TEXT(COUNTIF(F$14:F78,"?*"),"00"))</f>
        <v/>
      </c>
      <c r="B78" s="4" t="n"/>
      <c r="C78" s="5">
        <f>IF(B78="","",IFERROR(INDEX(EqTypeCol,MATCH(B78,EqTag,0)),"Tag not in register"))</f>
        <v/>
      </c>
      <c r="D78" s="4" t="n"/>
      <c r="E78" s="4" t="n"/>
      <c r="F78" s="4" t="n"/>
      <c r="G78" s="4" t="n"/>
      <c r="H78" s="4" t="n"/>
      <c r="I78" s="4" t="n"/>
      <c r="J78" s="5">
        <f>_xlfn.TEXTJOIN(CHAR(10),TRUE,IF(G78="","","• "&amp;G78),IF(H78="","","• "&amp;H78),IF(I78="","","• "&amp;I78))</f>
        <v/>
      </c>
      <c r="K78" s="4" t="n"/>
      <c r="L78" s="4" t="n"/>
      <c r="M78" s="4" t="n"/>
      <c r="N78" s="16" t="n"/>
      <c r="O78" s="4" t="n"/>
      <c r="P78" s="16" t="n"/>
      <c r="Q78" s="4" t="n"/>
      <c r="R78" s="16" t="n"/>
      <c r="S78" s="20">
        <f>IF(OR(N78="",P78="",R78=""),"",(--TRIM(LEFT(N78,2)))*(--TRIM(LEFT(P78,2)))*(--TRIM(LEFT(R78,2))))</f>
        <v/>
      </c>
      <c r="T78" s="20">
        <f>IF(OR(N78="",P78="",R78=""),"",INDEX(APGrid,COUNTIF(APS,"&gt;"&amp;(--TRIM(LEFT(N78,2))))*5+COUNTIF(APO,"&gt;"&amp;(--TRIM(LEFT(P78,2))))+1,COUNTIF(APD,"&gt;"&amp;(--TRIM(LEFT(R78,2))))+1))</f>
        <v/>
      </c>
      <c r="U78" s="20">
        <f>IF(S78="","",IF(OR((--TRIM(LEFT(N78,2)))&gt;=SThr,S78&gt;=RPNThr,T78="H"),"Yes","No"))</f>
        <v/>
      </c>
      <c r="V78" s="4" t="n"/>
      <c r="W78" s="4" t="n"/>
      <c r="X78" s="4" t="n"/>
      <c r="Y78" s="29" t="n"/>
      <c r="Z78" s="16" t="n"/>
      <c r="AA78" s="16" t="n"/>
      <c r="AB78" s="16" t="n"/>
      <c r="AC78" s="20">
        <f>IF(OR(Z78="",AA78="",AB78=""),"",(--TRIM(LEFT(Z78,2)))*(--TRIM(LEFT(AA78,2)))*(--TRIM(LEFT(AB78,2))))</f>
        <v/>
      </c>
      <c r="AD78" s="20">
        <f>IF(OR(Z78="",AA78="",AB78=""),"",INDEX(APGrid,COUNTIF(APS,"&gt;"&amp;(--TRIM(LEFT(Z78,2))))*5+COUNTIF(APO,"&gt;"&amp;(--TRIM(LEFT(AA78,2))))+1,COUNTIF(APD,"&gt;"&amp;(--TRIM(LEFT(AB78,2))))+1))</f>
        <v/>
      </c>
      <c r="AE78" s="4" t="n"/>
      <c r="AF78" s="4" t="n"/>
      <c r="AH78">
        <f>IFERROR(INDEX(EqTag,_xlfn.AGGREGATE(15,6,(ROW(EqTag)-4)/((EqSys=$D$3)*(EqTag&lt;&gt;"")),ROWS($AH$14:AH78))),"")</f>
        <v/>
      </c>
    </row>
    <row r="79">
      <c r="A79" s="20">
        <f>IF(F79="","",LEFT($D$3,3)&amp;"-"&amp;TEXT(COUNTIF(F$14:F79,"?*"),"00"))</f>
        <v/>
      </c>
      <c r="B79" s="4" t="n"/>
      <c r="C79" s="5">
        <f>IF(B79="","",IFERROR(INDEX(EqTypeCol,MATCH(B79,EqTag,0)),"Tag not in register"))</f>
        <v/>
      </c>
      <c r="D79" s="4" t="n"/>
      <c r="E79" s="4" t="n"/>
      <c r="F79" s="4" t="n"/>
      <c r="G79" s="4" t="n"/>
      <c r="H79" s="4" t="n"/>
      <c r="I79" s="4" t="n"/>
      <c r="J79" s="5">
        <f>_xlfn.TEXTJOIN(CHAR(10),TRUE,IF(G79="","","• "&amp;G79),IF(H79="","","• "&amp;H79),IF(I79="","","• "&amp;I79))</f>
        <v/>
      </c>
      <c r="K79" s="4" t="n"/>
      <c r="L79" s="4" t="n"/>
      <c r="M79" s="4" t="n"/>
      <c r="N79" s="16" t="n"/>
      <c r="O79" s="4" t="n"/>
      <c r="P79" s="16" t="n"/>
      <c r="Q79" s="4" t="n"/>
      <c r="R79" s="16" t="n"/>
      <c r="S79" s="20">
        <f>IF(OR(N79="",P79="",R79=""),"",(--TRIM(LEFT(N79,2)))*(--TRIM(LEFT(P79,2)))*(--TRIM(LEFT(R79,2))))</f>
        <v/>
      </c>
      <c r="T79" s="20">
        <f>IF(OR(N79="",P79="",R79=""),"",INDEX(APGrid,COUNTIF(APS,"&gt;"&amp;(--TRIM(LEFT(N79,2))))*5+COUNTIF(APO,"&gt;"&amp;(--TRIM(LEFT(P79,2))))+1,COUNTIF(APD,"&gt;"&amp;(--TRIM(LEFT(R79,2))))+1))</f>
        <v/>
      </c>
      <c r="U79" s="20">
        <f>IF(S79="","",IF(OR((--TRIM(LEFT(N79,2)))&gt;=SThr,S79&gt;=RPNThr,T79="H"),"Yes","No"))</f>
        <v/>
      </c>
      <c r="V79" s="4" t="n"/>
      <c r="W79" s="4" t="n"/>
      <c r="X79" s="4" t="n"/>
      <c r="Y79" s="29" t="n"/>
      <c r="Z79" s="16" t="n"/>
      <c r="AA79" s="16" t="n"/>
      <c r="AB79" s="16" t="n"/>
      <c r="AC79" s="20">
        <f>IF(OR(Z79="",AA79="",AB79=""),"",(--TRIM(LEFT(Z79,2)))*(--TRIM(LEFT(AA79,2)))*(--TRIM(LEFT(AB79,2))))</f>
        <v/>
      </c>
      <c r="AD79" s="20">
        <f>IF(OR(Z79="",AA79="",AB79=""),"",INDEX(APGrid,COUNTIF(APS,"&gt;"&amp;(--TRIM(LEFT(Z79,2))))*5+COUNTIF(APO,"&gt;"&amp;(--TRIM(LEFT(AA79,2))))+1,COUNTIF(APD,"&gt;"&amp;(--TRIM(LEFT(AB79,2))))+1))</f>
        <v/>
      </c>
      <c r="AE79" s="4" t="n"/>
      <c r="AF79" s="4" t="n"/>
      <c r="AH79">
        <f>IFERROR(INDEX(EqTag,_xlfn.AGGREGATE(15,6,(ROW(EqTag)-4)/((EqSys=$D$3)*(EqTag&lt;&gt;"")),ROWS($AH$14:AH79))),"")</f>
        <v/>
      </c>
    </row>
    <row r="80">
      <c r="A80" s="20">
        <f>IF(F80="","",LEFT($D$3,3)&amp;"-"&amp;TEXT(COUNTIF(F$14:F80,"?*"),"00"))</f>
        <v/>
      </c>
      <c r="B80" s="4" t="n"/>
      <c r="C80" s="5">
        <f>IF(B80="","",IFERROR(INDEX(EqTypeCol,MATCH(B80,EqTag,0)),"Tag not in register"))</f>
        <v/>
      </c>
      <c r="D80" s="4" t="n"/>
      <c r="E80" s="4" t="n"/>
      <c r="F80" s="4" t="n"/>
      <c r="G80" s="4" t="n"/>
      <c r="H80" s="4" t="n"/>
      <c r="I80" s="4" t="n"/>
      <c r="J80" s="5">
        <f>_xlfn.TEXTJOIN(CHAR(10),TRUE,IF(G80="","","• "&amp;G80),IF(H80="","","• "&amp;H80),IF(I80="","","• "&amp;I80))</f>
        <v/>
      </c>
      <c r="K80" s="4" t="n"/>
      <c r="L80" s="4" t="n"/>
      <c r="M80" s="4" t="n"/>
      <c r="N80" s="16" t="n"/>
      <c r="O80" s="4" t="n"/>
      <c r="P80" s="16" t="n"/>
      <c r="Q80" s="4" t="n"/>
      <c r="R80" s="16" t="n"/>
      <c r="S80" s="20">
        <f>IF(OR(N80="",P80="",R80=""),"",(--TRIM(LEFT(N80,2)))*(--TRIM(LEFT(P80,2)))*(--TRIM(LEFT(R80,2))))</f>
        <v/>
      </c>
      <c r="T80" s="20">
        <f>IF(OR(N80="",P80="",R80=""),"",INDEX(APGrid,COUNTIF(APS,"&gt;"&amp;(--TRIM(LEFT(N80,2))))*5+COUNTIF(APO,"&gt;"&amp;(--TRIM(LEFT(P80,2))))+1,COUNTIF(APD,"&gt;"&amp;(--TRIM(LEFT(R80,2))))+1))</f>
        <v/>
      </c>
      <c r="U80" s="20">
        <f>IF(S80="","",IF(OR((--TRIM(LEFT(N80,2)))&gt;=SThr,S80&gt;=RPNThr,T80="H"),"Yes","No"))</f>
        <v/>
      </c>
      <c r="V80" s="4" t="n"/>
      <c r="W80" s="4" t="n"/>
      <c r="X80" s="4" t="n"/>
      <c r="Y80" s="29" t="n"/>
      <c r="Z80" s="16" t="n"/>
      <c r="AA80" s="16" t="n"/>
      <c r="AB80" s="16" t="n"/>
      <c r="AC80" s="20">
        <f>IF(OR(Z80="",AA80="",AB80=""),"",(--TRIM(LEFT(Z80,2)))*(--TRIM(LEFT(AA80,2)))*(--TRIM(LEFT(AB80,2))))</f>
        <v/>
      </c>
      <c r="AD80" s="20">
        <f>IF(OR(Z80="",AA80="",AB80=""),"",INDEX(APGrid,COUNTIF(APS,"&gt;"&amp;(--TRIM(LEFT(Z80,2))))*5+COUNTIF(APO,"&gt;"&amp;(--TRIM(LEFT(AA80,2))))+1,COUNTIF(APD,"&gt;"&amp;(--TRIM(LEFT(AB80,2))))+1))</f>
        <v/>
      </c>
      <c r="AE80" s="4" t="n"/>
      <c r="AF80" s="4" t="n"/>
      <c r="AH80">
        <f>IFERROR(INDEX(EqTag,_xlfn.AGGREGATE(15,6,(ROW(EqTag)-4)/((EqSys=$D$3)*(EqTag&lt;&gt;"")),ROWS($AH$14:AH80))),"")</f>
        <v/>
      </c>
    </row>
    <row r="81">
      <c r="A81" s="20">
        <f>IF(F81="","",LEFT($D$3,3)&amp;"-"&amp;TEXT(COUNTIF(F$14:F81,"?*"),"00"))</f>
        <v/>
      </c>
      <c r="B81" s="4" t="n"/>
      <c r="C81" s="5">
        <f>IF(B81="","",IFERROR(INDEX(EqTypeCol,MATCH(B81,EqTag,0)),"Tag not in register"))</f>
        <v/>
      </c>
      <c r="D81" s="4" t="n"/>
      <c r="E81" s="4" t="n"/>
      <c r="F81" s="4" t="n"/>
      <c r="G81" s="4" t="n"/>
      <c r="H81" s="4" t="n"/>
      <c r="I81" s="4" t="n"/>
      <c r="J81" s="5">
        <f>_xlfn.TEXTJOIN(CHAR(10),TRUE,IF(G81="","","• "&amp;G81),IF(H81="","","• "&amp;H81),IF(I81="","","• "&amp;I81))</f>
        <v/>
      </c>
      <c r="K81" s="4" t="n"/>
      <c r="L81" s="4" t="n"/>
      <c r="M81" s="4" t="n"/>
      <c r="N81" s="16" t="n"/>
      <c r="O81" s="4" t="n"/>
      <c r="P81" s="16" t="n"/>
      <c r="Q81" s="4" t="n"/>
      <c r="R81" s="16" t="n"/>
      <c r="S81" s="20">
        <f>IF(OR(N81="",P81="",R81=""),"",(--TRIM(LEFT(N81,2)))*(--TRIM(LEFT(P81,2)))*(--TRIM(LEFT(R81,2))))</f>
        <v/>
      </c>
      <c r="T81" s="20">
        <f>IF(OR(N81="",P81="",R81=""),"",INDEX(APGrid,COUNTIF(APS,"&gt;"&amp;(--TRIM(LEFT(N81,2))))*5+COUNTIF(APO,"&gt;"&amp;(--TRIM(LEFT(P81,2))))+1,COUNTIF(APD,"&gt;"&amp;(--TRIM(LEFT(R81,2))))+1))</f>
        <v/>
      </c>
      <c r="U81" s="20">
        <f>IF(S81="","",IF(OR((--TRIM(LEFT(N81,2)))&gt;=SThr,S81&gt;=RPNThr,T81="H"),"Yes","No"))</f>
        <v/>
      </c>
      <c r="V81" s="4" t="n"/>
      <c r="W81" s="4" t="n"/>
      <c r="X81" s="4" t="n"/>
      <c r="Y81" s="29" t="n"/>
      <c r="Z81" s="16" t="n"/>
      <c r="AA81" s="16" t="n"/>
      <c r="AB81" s="16" t="n"/>
      <c r="AC81" s="20">
        <f>IF(OR(Z81="",AA81="",AB81=""),"",(--TRIM(LEFT(Z81,2)))*(--TRIM(LEFT(AA81,2)))*(--TRIM(LEFT(AB81,2))))</f>
        <v/>
      </c>
      <c r="AD81" s="20">
        <f>IF(OR(Z81="",AA81="",AB81=""),"",INDEX(APGrid,COUNTIF(APS,"&gt;"&amp;(--TRIM(LEFT(Z81,2))))*5+COUNTIF(APO,"&gt;"&amp;(--TRIM(LEFT(AA81,2))))+1,COUNTIF(APD,"&gt;"&amp;(--TRIM(LEFT(AB81,2))))+1))</f>
        <v/>
      </c>
      <c r="AE81" s="4" t="n"/>
      <c r="AF81" s="4" t="n"/>
      <c r="AH81">
        <f>IFERROR(INDEX(EqTag,_xlfn.AGGREGATE(15,6,(ROW(EqTag)-4)/((EqSys=$D$3)*(EqTag&lt;&gt;"")),ROWS($AH$14:AH81))),"")</f>
        <v/>
      </c>
    </row>
    <row r="82">
      <c r="A82" s="20">
        <f>IF(F82="","",LEFT($D$3,3)&amp;"-"&amp;TEXT(COUNTIF(F$14:F82,"?*"),"00"))</f>
        <v/>
      </c>
      <c r="B82" s="4" t="n"/>
      <c r="C82" s="5">
        <f>IF(B82="","",IFERROR(INDEX(EqTypeCol,MATCH(B82,EqTag,0)),"Tag not in register"))</f>
        <v/>
      </c>
      <c r="D82" s="4" t="n"/>
      <c r="E82" s="4" t="n"/>
      <c r="F82" s="4" t="n"/>
      <c r="G82" s="4" t="n"/>
      <c r="H82" s="4" t="n"/>
      <c r="I82" s="4" t="n"/>
      <c r="J82" s="5">
        <f>_xlfn.TEXTJOIN(CHAR(10),TRUE,IF(G82="","","• "&amp;G82),IF(H82="","","• "&amp;H82),IF(I82="","","• "&amp;I82))</f>
        <v/>
      </c>
      <c r="K82" s="4" t="n"/>
      <c r="L82" s="4" t="n"/>
      <c r="M82" s="4" t="n"/>
      <c r="N82" s="16" t="n"/>
      <c r="O82" s="4" t="n"/>
      <c r="P82" s="16" t="n"/>
      <c r="Q82" s="4" t="n"/>
      <c r="R82" s="16" t="n"/>
      <c r="S82" s="20">
        <f>IF(OR(N82="",P82="",R82=""),"",(--TRIM(LEFT(N82,2)))*(--TRIM(LEFT(P82,2)))*(--TRIM(LEFT(R82,2))))</f>
        <v/>
      </c>
      <c r="T82" s="20">
        <f>IF(OR(N82="",P82="",R82=""),"",INDEX(APGrid,COUNTIF(APS,"&gt;"&amp;(--TRIM(LEFT(N82,2))))*5+COUNTIF(APO,"&gt;"&amp;(--TRIM(LEFT(P82,2))))+1,COUNTIF(APD,"&gt;"&amp;(--TRIM(LEFT(R82,2))))+1))</f>
        <v/>
      </c>
      <c r="U82" s="20">
        <f>IF(S82="","",IF(OR((--TRIM(LEFT(N82,2)))&gt;=SThr,S82&gt;=RPNThr,T82="H"),"Yes","No"))</f>
        <v/>
      </c>
      <c r="V82" s="4" t="n"/>
      <c r="W82" s="4" t="n"/>
      <c r="X82" s="4" t="n"/>
      <c r="Y82" s="29" t="n"/>
      <c r="Z82" s="16" t="n"/>
      <c r="AA82" s="16" t="n"/>
      <c r="AB82" s="16" t="n"/>
      <c r="AC82" s="20">
        <f>IF(OR(Z82="",AA82="",AB82=""),"",(--TRIM(LEFT(Z82,2)))*(--TRIM(LEFT(AA82,2)))*(--TRIM(LEFT(AB82,2))))</f>
        <v/>
      </c>
      <c r="AD82" s="20">
        <f>IF(OR(Z82="",AA82="",AB82=""),"",INDEX(APGrid,COUNTIF(APS,"&gt;"&amp;(--TRIM(LEFT(Z82,2))))*5+COUNTIF(APO,"&gt;"&amp;(--TRIM(LEFT(AA82,2))))+1,COUNTIF(APD,"&gt;"&amp;(--TRIM(LEFT(AB82,2))))+1))</f>
        <v/>
      </c>
      <c r="AE82" s="4" t="n"/>
      <c r="AF82" s="4" t="n"/>
      <c r="AH82">
        <f>IFERROR(INDEX(EqTag,_xlfn.AGGREGATE(15,6,(ROW(EqTag)-4)/((EqSys=$D$3)*(EqTag&lt;&gt;"")),ROWS($AH$14:AH82))),"")</f>
        <v/>
      </c>
    </row>
    <row r="83">
      <c r="A83" s="20">
        <f>IF(F83="","",LEFT($D$3,3)&amp;"-"&amp;TEXT(COUNTIF(F$14:F83,"?*"),"00"))</f>
        <v/>
      </c>
      <c r="B83" s="4" t="n"/>
      <c r="C83" s="5">
        <f>IF(B83="","",IFERROR(INDEX(EqTypeCol,MATCH(B83,EqTag,0)),"Tag not in register"))</f>
        <v/>
      </c>
      <c r="D83" s="4" t="n"/>
      <c r="E83" s="4" t="n"/>
      <c r="F83" s="4" t="n"/>
      <c r="G83" s="4" t="n"/>
      <c r="H83" s="4" t="n"/>
      <c r="I83" s="4" t="n"/>
      <c r="J83" s="5">
        <f>_xlfn.TEXTJOIN(CHAR(10),TRUE,IF(G83="","","• "&amp;G83),IF(H83="","","• "&amp;H83),IF(I83="","","• "&amp;I83))</f>
        <v/>
      </c>
      <c r="K83" s="4" t="n"/>
      <c r="L83" s="4" t="n"/>
      <c r="M83" s="4" t="n"/>
      <c r="N83" s="16" t="n"/>
      <c r="O83" s="4" t="n"/>
      <c r="P83" s="16" t="n"/>
      <c r="Q83" s="4" t="n"/>
      <c r="R83" s="16" t="n"/>
      <c r="S83" s="20">
        <f>IF(OR(N83="",P83="",R83=""),"",(--TRIM(LEFT(N83,2)))*(--TRIM(LEFT(P83,2)))*(--TRIM(LEFT(R83,2))))</f>
        <v/>
      </c>
      <c r="T83" s="20">
        <f>IF(OR(N83="",P83="",R83=""),"",INDEX(APGrid,COUNTIF(APS,"&gt;"&amp;(--TRIM(LEFT(N83,2))))*5+COUNTIF(APO,"&gt;"&amp;(--TRIM(LEFT(P83,2))))+1,COUNTIF(APD,"&gt;"&amp;(--TRIM(LEFT(R83,2))))+1))</f>
        <v/>
      </c>
      <c r="U83" s="20">
        <f>IF(S83="","",IF(OR((--TRIM(LEFT(N83,2)))&gt;=SThr,S83&gt;=RPNThr,T83="H"),"Yes","No"))</f>
        <v/>
      </c>
      <c r="V83" s="4" t="n"/>
      <c r="W83" s="4" t="n"/>
      <c r="X83" s="4" t="n"/>
      <c r="Y83" s="29" t="n"/>
      <c r="Z83" s="16" t="n"/>
      <c r="AA83" s="16" t="n"/>
      <c r="AB83" s="16" t="n"/>
      <c r="AC83" s="20">
        <f>IF(OR(Z83="",AA83="",AB83=""),"",(--TRIM(LEFT(Z83,2)))*(--TRIM(LEFT(AA83,2)))*(--TRIM(LEFT(AB83,2))))</f>
        <v/>
      </c>
      <c r="AD83" s="20">
        <f>IF(OR(Z83="",AA83="",AB83=""),"",INDEX(APGrid,COUNTIF(APS,"&gt;"&amp;(--TRIM(LEFT(Z83,2))))*5+COUNTIF(APO,"&gt;"&amp;(--TRIM(LEFT(AA83,2))))+1,COUNTIF(APD,"&gt;"&amp;(--TRIM(LEFT(AB83,2))))+1))</f>
        <v/>
      </c>
      <c r="AE83" s="4" t="n"/>
      <c r="AF83" s="4" t="n"/>
      <c r="AH83">
        <f>IFERROR(INDEX(EqTag,_xlfn.AGGREGATE(15,6,(ROW(EqTag)-4)/((EqSys=$D$3)*(EqTag&lt;&gt;"")),ROWS($AH$14:AH83))),"")</f>
        <v/>
      </c>
    </row>
    <row r="84">
      <c r="A84" s="20">
        <f>IF(F84="","",LEFT($D$3,3)&amp;"-"&amp;TEXT(COUNTIF(F$14:F84,"?*"),"00"))</f>
        <v/>
      </c>
      <c r="B84" s="4" t="n"/>
      <c r="C84" s="5">
        <f>IF(B84="","",IFERROR(INDEX(EqTypeCol,MATCH(B84,EqTag,0)),"Tag not in register"))</f>
        <v/>
      </c>
      <c r="D84" s="4" t="n"/>
      <c r="E84" s="4" t="n"/>
      <c r="F84" s="4" t="n"/>
      <c r="G84" s="4" t="n"/>
      <c r="H84" s="4" t="n"/>
      <c r="I84" s="4" t="n"/>
      <c r="J84" s="5">
        <f>_xlfn.TEXTJOIN(CHAR(10),TRUE,IF(G84="","","• "&amp;G84),IF(H84="","","• "&amp;H84),IF(I84="","","• "&amp;I84))</f>
        <v/>
      </c>
      <c r="K84" s="4" t="n"/>
      <c r="L84" s="4" t="n"/>
      <c r="M84" s="4" t="n"/>
      <c r="N84" s="16" t="n"/>
      <c r="O84" s="4" t="n"/>
      <c r="P84" s="16" t="n"/>
      <c r="Q84" s="4" t="n"/>
      <c r="R84" s="16" t="n"/>
      <c r="S84" s="20">
        <f>IF(OR(N84="",P84="",R84=""),"",(--TRIM(LEFT(N84,2)))*(--TRIM(LEFT(P84,2)))*(--TRIM(LEFT(R84,2))))</f>
        <v/>
      </c>
      <c r="T84" s="20">
        <f>IF(OR(N84="",P84="",R84=""),"",INDEX(APGrid,COUNTIF(APS,"&gt;"&amp;(--TRIM(LEFT(N84,2))))*5+COUNTIF(APO,"&gt;"&amp;(--TRIM(LEFT(P84,2))))+1,COUNTIF(APD,"&gt;"&amp;(--TRIM(LEFT(R84,2))))+1))</f>
        <v/>
      </c>
      <c r="U84" s="20">
        <f>IF(S84="","",IF(OR((--TRIM(LEFT(N84,2)))&gt;=SThr,S84&gt;=RPNThr,T84="H"),"Yes","No"))</f>
        <v/>
      </c>
      <c r="V84" s="4" t="n"/>
      <c r="W84" s="4" t="n"/>
      <c r="X84" s="4" t="n"/>
      <c r="Y84" s="29" t="n"/>
      <c r="Z84" s="16" t="n"/>
      <c r="AA84" s="16" t="n"/>
      <c r="AB84" s="16" t="n"/>
      <c r="AC84" s="20">
        <f>IF(OR(Z84="",AA84="",AB84=""),"",(--TRIM(LEFT(Z84,2)))*(--TRIM(LEFT(AA84,2)))*(--TRIM(LEFT(AB84,2))))</f>
        <v/>
      </c>
      <c r="AD84" s="20">
        <f>IF(OR(Z84="",AA84="",AB84=""),"",INDEX(APGrid,COUNTIF(APS,"&gt;"&amp;(--TRIM(LEFT(Z84,2))))*5+COUNTIF(APO,"&gt;"&amp;(--TRIM(LEFT(AA84,2))))+1,COUNTIF(APD,"&gt;"&amp;(--TRIM(LEFT(AB84,2))))+1))</f>
        <v/>
      </c>
      <c r="AE84" s="4" t="n"/>
      <c r="AF84" s="4" t="n"/>
      <c r="AH84">
        <f>IFERROR(INDEX(EqTag,_xlfn.AGGREGATE(15,6,(ROW(EqTag)-4)/((EqSys=$D$3)*(EqTag&lt;&gt;"")),ROWS($AH$14:AH84))),"")</f>
        <v/>
      </c>
    </row>
    <row r="85">
      <c r="A85" s="20">
        <f>IF(F85="","",LEFT($D$3,3)&amp;"-"&amp;TEXT(COUNTIF(F$14:F85,"?*"),"00"))</f>
        <v/>
      </c>
      <c r="B85" s="4" t="n"/>
      <c r="C85" s="5">
        <f>IF(B85="","",IFERROR(INDEX(EqTypeCol,MATCH(B85,EqTag,0)),"Tag not in register"))</f>
        <v/>
      </c>
      <c r="D85" s="4" t="n"/>
      <c r="E85" s="4" t="n"/>
      <c r="F85" s="4" t="n"/>
      <c r="G85" s="4" t="n"/>
      <c r="H85" s="4" t="n"/>
      <c r="I85" s="4" t="n"/>
      <c r="J85" s="5">
        <f>_xlfn.TEXTJOIN(CHAR(10),TRUE,IF(G85="","","• "&amp;G85),IF(H85="","","• "&amp;H85),IF(I85="","","• "&amp;I85))</f>
        <v/>
      </c>
      <c r="K85" s="4" t="n"/>
      <c r="L85" s="4" t="n"/>
      <c r="M85" s="4" t="n"/>
      <c r="N85" s="16" t="n"/>
      <c r="O85" s="4" t="n"/>
      <c r="P85" s="16" t="n"/>
      <c r="Q85" s="4" t="n"/>
      <c r="R85" s="16" t="n"/>
      <c r="S85" s="20">
        <f>IF(OR(N85="",P85="",R85=""),"",(--TRIM(LEFT(N85,2)))*(--TRIM(LEFT(P85,2)))*(--TRIM(LEFT(R85,2))))</f>
        <v/>
      </c>
      <c r="T85" s="20">
        <f>IF(OR(N85="",P85="",R85=""),"",INDEX(APGrid,COUNTIF(APS,"&gt;"&amp;(--TRIM(LEFT(N85,2))))*5+COUNTIF(APO,"&gt;"&amp;(--TRIM(LEFT(P85,2))))+1,COUNTIF(APD,"&gt;"&amp;(--TRIM(LEFT(R85,2))))+1))</f>
        <v/>
      </c>
      <c r="U85" s="20">
        <f>IF(S85="","",IF(OR((--TRIM(LEFT(N85,2)))&gt;=SThr,S85&gt;=RPNThr,T85="H"),"Yes","No"))</f>
        <v/>
      </c>
      <c r="V85" s="4" t="n"/>
      <c r="W85" s="4" t="n"/>
      <c r="X85" s="4" t="n"/>
      <c r="Y85" s="29" t="n"/>
      <c r="Z85" s="16" t="n"/>
      <c r="AA85" s="16" t="n"/>
      <c r="AB85" s="16" t="n"/>
      <c r="AC85" s="20">
        <f>IF(OR(Z85="",AA85="",AB85=""),"",(--TRIM(LEFT(Z85,2)))*(--TRIM(LEFT(AA85,2)))*(--TRIM(LEFT(AB85,2))))</f>
        <v/>
      </c>
      <c r="AD85" s="20">
        <f>IF(OR(Z85="",AA85="",AB85=""),"",INDEX(APGrid,COUNTIF(APS,"&gt;"&amp;(--TRIM(LEFT(Z85,2))))*5+COUNTIF(APO,"&gt;"&amp;(--TRIM(LEFT(AA85,2))))+1,COUNTIF(APD,"&gt;"&amp;(--TRIM(LEFT(AB85,2))))+1))</f>
        <v/>
      </c>
      <c r="AE85" s="4" t="n"/>
      <c r="AF85" s="4" t="n"/>
      <c r="AH85">
        <f>IFERROR(INDEX(EqTag,_xlfn.AGGREGATE(15,6,(ROW(EqTag)-4)/((EqSys=$D$3)*(EqTag&lt;&gt;"")),ROWS($AH$14:AH85))),"")</f>
        <v/>
      </c>
    </row>
    <row r="86">
      <c r="A86" s="20">
        <f>IF(F86="","",LEFT($D$3,3)&amp;"-"&amp;TEXT(COUNTIF(F$14:F86,"?*"),"00"))</f>
        <v/>
      </c>
      <c r="B86" s="4" t="n"/>
      <c r="C86" s="5">
        <f>IF(B86="","",IFERROR(INDEX(EqTypeCol,MATCH(B86,EqTag,0)),"Tag not in register"))</f>
        <v/>
      </c>
      <c r="D86" s="4" t="n"/>
      <c r="E86" s="4" t="n"/>
      <c r="F86" s="4" t="n"/>
      <c r="G86" s="4" t="n"/>
      <c r="H86" s="4" t="n"/>
      <c r="I86" s="4" t="n"/>
      <c r="J86" s="5">
        <f>_xlfn.TEXTJOIN(CHAR(10),TRUE,IF(G86="","","• "&amp;G86),IF(H86="","","• "&amp;H86),IF(I86="","","• "&amp;I86))</f>
        <v/>
      </c>
      <c r="K86" s="4" t="n"/>
      <c r="L86" s="4" t="n"/>
      <c r="M86" s="4" t="n"/>
      <c r="N86" s="16" t="n"/>
      <c r="O86" s="4" t="n"/>
      <c r="P86" s="16" t="n"/>
      <c r="Q86" s="4" t="n"/>
      <c r="R86" s="16" t="n"/>
      <c r="S86" s="20">
        <f>IF(OR(N86="",P86="",R86=""),"",(--TRIM(LEFT(N86,2)))*(--TRIM(LEFT(P86,2)))*(--TRIM(LEFT(R86,2))))</f>
        <v/>
      </c>
      <c r="T86" s="20">
        <f>IF(OR(N86="",P86="",R86=""),"",INDEX(APGrid,COUNTIF(APS,"&gt;"&amp;(--TRIM(LEFT(N86,2))))*5+COUNTIF(APO,"&gt;"&amp;(--TRIM(LEFT(P86,2))))+1,COUNTIF(APD,"&gt;"&amp;(--TRIM(LEFT(R86,2))))+1))</f>
        <v/>
      </c>
      <c r="U86" s="20">
        <f>IF(S86="","",IF(OR((--TRIM(LEFT(N86,2)))&gt;=SThr,S86&gt;=RPNThr,T86="H"),"Yes","No"))</f>
        <v/>
      </c>
      <c r="V86" s="4" t="n"/>
      <c r="W86" s="4" t="n"/>
      <c r="X86" s="4" t="n"/>
      <c r="Y86" s="29" t="n"/>
      <c r="Z86" s="16" t="n"/>
      <c r="AA86" s="16" t="n"/>
      <c r="AB86" s="16" t="n"/>
      <c r="AC86" s="20">
        <f>IF(OR(Z86="",AA86="",AB86=""),"",(--TRIM(LEFT(Z86,2)))*(--TRIM(LEFT(AA86,2)))*(--TRIM(LEFT(AB86,2))))</f>
        <v/>
      </c>
      <c r="AD86" s="20">
        <f>IF(OR(Z86="",AA86="",AB86=""),"",INDEX(APGrid,COUNTIF(APS,"&gt;"&amp;(--TRIM(LEFT(Z86,2))))*5+COUNTIF(APO,"&gt;"&amp;(--TRIM(LEFT(AA86,2))))+1,COUNTIF(APD,"&gt;"&amp;(--TRIM(LEFT(AB86,2))))+1))</f>
        <v/>
      </c>
      <c r="AE86" s="4" t="n"/>
      <c r="AF86" s="4" t="n"/>
      <c r="AH86">
        <f>IFERROR(INDEX(EqTag,_xlfn.AGGREGATE(15,6,(ROW(EqTag)-4)/((EqSys=$D$3)*(EqTag&lt;&gt;"")),ROWS($AH$14:AH86))),"")</f>
        <v/>
      </c>
    </row>
    <row r="87">
      <c r="A87" s="20">
        <f>IF(F87="","",LEFT($D$3,3)&amp;"-"&amp;TEXT(COUNTIF(F$14:F87,"?*"),"00"))</f>
        <v/>
      </c>
      <c r="B87" s="4" t="n"/>
      <c r="C87" s="5">
        <f>IF(B87="","",IFERROR(INDEX(EqTypeCol,MATCH(B87,EqTag,0)),"Tag not in register"))</f>
        <v/>
      </c>
      <c r="D87" s="4" t="n"/>
      <c r="E87" s="4" t="n"/>
      <c r="F87" s="4" t="n"/>
      <c r="G87" s="4" t="n"/>
      <c r="H87" s="4" t="n"/>
      <c r="I87" s="4" t="n"/>
      <c r="J87" s="5">
        <f>_xlfn.TEXTJOIN(CHAR(10),TRUE,IF(G87="","","• "&amp;G87),IF(H87="","","• "&amp;H87),IF(I87="","","• "&amp;I87))</f>
        <v/>
      </c>
      <c r="K87" s="4" t="n"/>
      <c r="L87" s="4" t="n"/>
      <c r="M87" s="4" t="n"/>
      <c r="N87" s="16" t="n"/>
      <c r="O87" s="4" t="n"/>
      <c r="P87" s="16" t="n"/>
      <c r="Q87" s="4" t="n"/>
      <c r="R87" s="16" t="n"/>
      <c r="S87" s="20">
        <f>IF(OR(N87="",P87="",R87=""),"",(--TRIM(LEFT(N87,2)))*(--TRIM(LEFT(P87,2)))*(--TRIM(LEFT(R87,2))))</f>
        <v/>
      </c>
      <c r="T87" s="20">
        <f>IF(OR(N87="",P87="",R87=""),"",INDEX(APGrid,COUNTIF(APS,"&gt;"&amp;(--TRIM(LEFT(N87,2))))*5+COUNTIF(APO,"&gt;"&amp;(--TRIM(LEFT(P87,2))))+1,COUNTIF(APD,"&gt;"&amp;(--TRIM(LEFT(R87,2))))+1))</f>
        <v/>
      </c>
      <c r="U87" s="20">
        <f>IF(S87="","",IF(OR((--TRIM(LEFT(N87,2)))&gt;=SThr,S87&gt;=RPNThr,T87="H"),"Yes","No"))</f>
        <v/>
      </c>
      <c r="V87" s="4" t="n"/>
      <c r="W87" s="4" t="n"/>
      <c r="X87" s="4" t="n"/>
      <c r="Y87" s="29" t="n"/>
      <c r="Z87" s="16" t="n"/>
      <c r="AA87" s="16" t="n"/>
      <c r="AB87" s="16" t="n"/>
      <c r="AC87" s="20">
        <f>IF(OR(Z87="",AA87="",AB87=""),"",(--TRIM(LEFT(Z87,2)))*(--TRIM(LEFT(AA87,2)))*(--TRIM(LEFT(AB87,2))))</f>
        <v/>
      </c>
      <c r="AD87" s="20">
        <f>IF(OR(Z87="",AA87="",AB87=""),"",INDEX(APGrid,COUNTIF(APS,"&gt;"&amp;(--TRIM(LEFT(Z87,2))))*5+COUNTIF(APO,"&gt;"&amp;(--TRIM(LEFT(AA87,2))))+1,COUNTIF(APD,"&gt;"&amp;(--TRIM(LEFT(AB87,2))))+1))</f>
        <v/>
      </c>
      <c r="AE87" s="4" t="n"/>
      <c r="AF87" s="4" t="n"/>
      <c r="AH87">
        <f>IFERROR(INDEX(EqTag,_xlfn.AGGREGATE(15,6,(ROW(EqTag)-4)/((EqSys=$D$3)*(EqTag&lt;&gt;"")),ROWS($AH$14:AH87))),"")</f>
        <v/>
      </c>
    </row>
    <row r="88">
      <c r="A88" s="20">
        <f>IF(F88="","",LEFT($D$3,3)&amp;"-"&amp;TEXT(COUNTIF(F$14:F88,"?*"),"00"))</f>
        <v/>
      </c>
      <c r="B88" s="4" t="n"/>
      <c r="C88" s="5">
        <f>IF(B88="","",IFERROR(INDEX(EqTypeCol,MATCH(B88,EqTag,0)),"Tag not in register"))</f>
        <v/>
      </c>
      <c r="D88" s="4" t="n"/>
      <c r="E88" s="4" t="n"/>
      <c r="F88" s="4" t="n"/>
      <c r="G88" s="4" t="n"/>
      <c r="H88" s="4" t="n"/>
      <c r="I88" s="4" t="n"/>
      <c r="J88" s="5">
        <f>_xlfn.TEXTJOIN(CHAR(10),TRUE,IF(G88="","","• "&amp;G88),IF(H88="","","• "&amp;H88),IF(I88="","","• "&amp;I88))</f>
        <v/>
      </c>
      <c r="K88" s="4" t="n"/>
      <c r="L88" s="4" t="n"/>
      <c r="M88" s="4" t="n"/>
      <c r="N88" s="16" t="n"/>
      <c r="O88" s="4" t="n"/>
      <c r="P88" s="16" t="n"/>
      <c r="Q88" s="4" t="n"/>
      <c r="R88" s="16" t="n"/>
      <c r="S88" s="20">
        <f>IF(OR(N88="",P88="",R88=""),"",(--TRIM(LEFT(N88,2)))*(--TRIM(LEFT(P88,2)))*(--TRIM(LEFT(R88,2))))</f>
        <v/>
      </c>
      <c r="T88" s="20">
        <f>IF(OR(N88="",P88="",R88=""),"",INDEX(APGrid,COUNTIF(APS,"&gt;"&amp;(--TRIM(LEFT(N88,2))))*5+COUNTIF(APO,"&gt;"&amp;(--TRIM(LEFT(P88,2))))+1,COUNTIF(APD,"&gt;"&amp;(--TRIM(LEFT(R88,2))))+1))</f>
        <v/>
      </c>
      <c r="U88" s="20">
        <f>IF(S88="","",IF(OR((--TRIM(LEFT(N88,2)))&gt;=SThr,S88&gt;=RPNThr,T88="H"),"Yes","No"))</f>
        <v/>
      </c>
      <c r="V88" s="4" t="n"/>
      <c r="W88" s="4" t="n"/>
      <c r="X88" s="4" t="n"/>
      <c r="Y88" s="29" t="n"/>
      <c r="Z88" s="16" t="n"/>
      <c r="AA88" s="16" t="n"/>
      <c r="AB88" s="16" t="n"/>
      <c r="AC88" s="20">
        <f>IF(OR(Z88="",AA88="",AB88=""),"",(--TRIM(LEFT(Z88,2)))*(--TRIM(LEFT(AA88,2)))*(--TRIM(LEFT(AB88,2))))</f>
        <v/>
      </c>
      <c r="AD88" s="20">
        <f>IF(OR(Z88="",AA88="",AB88=""),"",INDEX(APGrid,COUNTIF(APS,"&gt;"&amp;(--TRIM(LEFT(Z88,2))))*5+COUNTIF(APO,"&gt;"&amp;(--TRIM(LEFT(AA88,2))))+1,COUNTIF(APD,"&gt;"&amp;(--TRIM(LEFT(AB88,2))))+1))</f>
        <v/>
      </c>
      <c r="AE88" s="4" t="n"/>
      <c r="AF88" s="4" t="n"/>
      <c r="AH88">
        <f>IFERROR(INDEX(EqTag,_xlfn.AGGREGATE(15,6,(ROW(EqTag)-4)/((EqSys=$D$3)*(EqTag&lt;&gt;"")),ROWS($AH$14:AH88))),"")</f>
        <v/>
      </c>
    </row>
    <row r="89">
      <c r="A89" s="20">
        <f>IF(F89="","",LEFT($D$3,3)&amp;"-"&amp;TEXT(COUNTIF(F$14:F89,"?*"),"00"))</f>
        <v/>
      </c>
      <c r="B89" s="4" t="n"/>
      <c r="C89" s="5">
        <f>IF(B89="","",IFERROR(INDEX(EqTypeCol,MATCH(B89,EqTag,0)),"Tag not in register"))</f>
        <v/>
      </c>
      <c r="D89" s="4" t="n"/>
      <c r="E89" s="4" t="n"/>
      <c r="F89" s="4" t="n"/>
      <c r="G89" s="4" t="n"/>
      <c r="H89" s="4" t="n"/>
      <c r="I89" s="4" t="n"/>
      <c r="J89" s="5">
        <f>_xlfn.TEXTJOIN(CHAR(10),TRUE,IF(G89="","","• "&amp;G89),IF(H89="","","• "&amp;H89),IF(I89="","","• "&amp;I89))</f>
        <v/>
      </c>
      <c r="K89" s="4" t="n"/>
      <c r="L89" s="4" t="n"/>
      <c r="M89" s="4" t="n"/>
      <c r="N89" s="16" t="n"/>
      <c r="O89" s="4" t="n"/>
      <c r="P89" s="16" t="n"/>
      <c r="Q89" s="4" t="n"/>
      <c r="R89" s="16" t="n"/>
      <c r="S89" s="20">
        <f>IF(OR(N89="",P89="",R89=""),"",(--TRIM(LEFT(N89,2)))*(--TRIM(LEFT(P89,2)))*(--TRIM(LEFT(R89,2))))</f>
        <v/>
      </c>
      <c r="T89" s="20">
        <f>IF(OR(N89="",P89="",R89=""),"",INDEX(APGrid,COUNTIF(APS,"&gt;"&amp;(--TRIM(LEFT(N89,2))))*5+COUNTIF(APO,"&gt;"&amp;(--TRIM(LEFT(P89,2))))+1,COUNTIF(APD,"&gt;"&amp;(--TRIM(LEFT(R89,2))))+1))</f>
        <v/>
      </c>
      <c r="U89" s="20">
        <f>IF(S89="","",IF(OR((--TRIM(LEFT(N89,2)))&gt;=SThr,S89&gt;=RPNThr,T89="H"),"Yes","No"))</f>
        <v/>
      </c>
      <c r="V89" s="4" t="n"/>
      <c r="W89" s="4" t="n"/>
      <c r="X89" s="4" t="n"/>
      <c r="Y89" s="29" t="n"/>
      <c r="Z89" s="16" t="n"/>
      <c r="AA89" s="16" t="n"/>
      <c r="AB89" s="16" t="n"/>
      <c r="AC89" s="20">
        <f>IF(OR(Z89="",AA89="",AB89=""),"",(--TRIM(LEFT(Z89,2)))*(--TRIM(LEFT(AA89,2)))*(--TRIM(LEFT(AB89,2))))</f>
        <v/>
      </c>
      <c r="AD89" s="20">
        <f>IF(OR(Z89="",AA89="",AB89=""),"",INDEX(APGrid,COUNTIF(APS,"&gt;"&amp;(--TRIM(LEFT(Z89,2))))*5+COUNTIF(APO,"&gt;"&amp;(--TRIM(LEFT(AA89,2))))+1,COUNTIF(APD,"&gt;"&amp;(--TRIM(LEFT(AB89,2))))+1))</f>
        <v/>
      </c>
      <c r="AE89" s="4" t="n"/>
      <c r="AF89" s="4" t="n"/>
      <c r="AH89">
        <f>IFERROR(INDEX(EqTag,_xlfn.AGGREGATE(15,6,(ROW(EqTag)-4)/((EqSys=$D$3)*(EqTag&lt;&gt;"")),ROWS($AH$14:AH89))),"")</f>
        <v/>
      </c>
    </row>
    <row r="90">
      <c r="A90" s="20">
        <f>IF(F90="","",LEFT($D$3,3)&amp;"-"&amp;TEXT(COUNTIF(F$14:F90,"?*"),"00"))</f>
        <v/>
      </c>
      <c r="B90" s="4" t="n"/>
      <c r="C90" s="5">
        <f>IF(B90="","",IFERROR(INDEX(EqTypeCol,MATCH(B90,EqTag,0)),"Tag not in register"))</f>
        <v/>
      </c>
      <c r="D90" s="4" t="n"/>
      <c r="E90" s="4" t="n"/>
      <c r="F90" s="4" t="n"/>
      <c r="G90" s="4" t="n"/>
      <c r="H90" s="4" t="n"/>
      <c r="I90" s="4" t="n"/>
      <c r="J90" s="5">
        <f>_xlfn.TEXTJOIN(CHAR(10),TRUE,IF(G90="","","• "&amp;G90),IF(H90="","","• "&amp;H90),IF(I90="","","• "&amp;I90))</f>
        <v/>
      </c>
      <c r="K90" s="4" t="n"/>
      <c r="L90" s="4" t="n"/>
      <c r="M90" s="4" t="n"/>
      <c r="N90" s="16" t="n"/>
      <c r="O90" s="4" t="n"/>
      <c r="P90" s="16" t="n"/>
      <c r="Q90" s="4" t="n"/>
      <c r="R90" s="16" t="n"/>
      <c r="S90" s="20">
        <f>IF(OR(N90="",P90="",R90=""),"",(--TRIM(LEFT(N90,2)))*(--TRIM(LEFT(P90,2)))*(--TRIM(LEFT(R90,2))))</f>
        <v/>
      </c>
      <c r="T90" s="20">
        <f>IF(OR(N90="",P90="",R90=""),"",INDEX(APGrid,COUNTIF(APS,"&gt;"&amp;(--TRIM(LEFT(N90,2))))*5+COUNTIF(APO,"&gt;"&amp;(--TRIM(LEFT(P90,2))))+1,COUNTIF(APD,"&gt;"&amp;(--TRIM(LEFT(R90,2))))+1))</f>
        <v/>
      </c>
      <c r="U90" s="20">
        <f>IF(S90="","",IF(OR((--TRIM(LEFT(N90,2)))&gt;=SThr,S90&gt;=RPNThr,T90="H"),"Yes","No"))</f>
        <v/>
      </c>
      <c r="V90" s="4" t="n"/>
      <c r="W90" s="4" t="n"/>
      <c r="X90" s="4" t="n"/>
      <c r="Y90" s="29" t="n"/>
      <c r="Z90" s="16" t="n"/>
      <c r="AA90" s="16" t="n"/>
      <c r="AB90" s="16" t="n"/>
      <c r="AC90" s="20">
        <f>IF(OR(Z90="",AA90="",AB90=""),"",(--TRIM(LEFT(Z90,2)))*(--TRIM(LEFT(AA90,2)))*(--TRIM(LEFT(AB90,2))))</f>
        <v/>
      </c>
      <c r="AD90" s="20">
        <f>IF(OR(Z90="",AA90="",AB90=""),"",INDEX(APGrid,COUNTIF(APS,"&gt;"&amp;(--TRIM(LEFT(Z90,2))))*5+COUNTIF(APO,"&gt;"&amp;(--TRIM(LEFT(AA90,2))))+1,COUNTIF(APD,"&gt;"&amp;(--TRIM(LEFT(AB90,2))))+1))</f>
        <v/>
      </c>
      <c r="AE90" s="4" t="n"/>
      <c r="AF90" s="4" t="n"/>
      <c r="AH90">
        <f>IFERROR(INDEX(EqTag,_xlfn.AGGREGATE(15,6,(ROW(EqTag)-4)/((EqSys=$D$3)*(EqTag&lt;&gt;"")),ROWS($AH$14:AH90))),"")</f>
        <v/>
      </c>
    </row>
    <row r="91">
      <c r="A91" s="20">
        <f>IF(F91="","",LEFT($D$3,3)&amp;"-"&amp;TEXT(COUNTIF(F$14:F91,"?*"),"00"))</f>
        <v/>
      </c>
      <c r="B91" s="4" t="n"/>
      <c r="C91" s="5">
        <f>IF(B91="","",IFERROR(INDEX(EqTypeCol,MATCH(B91,EqTag,0)),"Tag not in register"))</f>
        <v/>
      </c>
      <c r="D91" s="4" t="n"/>
      <c r="E91" s="4" t="n"/>
      <c r="F91" s="4" t="n"/>
      <c r="G91" s="4" t="n"/>
      <c r="H91" s="4" t="n"/>
      <c r="I91" s="4" t="n"/>
      <c r="J91" s="5">
        <f>_xlfn.TEXTJOIN(CHAR(10),TRUE,IF(G91="","","• "&amp;G91),IF(H91="","","• "&amp;H91),IF(I91="","","• "&amp;I91))</f>
        <v/>
      </c>
      <c r="K91" s="4" t="n"/>
      <c r="L91" s="4" t="n"/>
      <c r="M91" s="4" t="n"/>
      <c r="N91" s="16" t="n"/>
      <c r="O91" s="4" t="n"/>
      <c r="P91" s="16" t="n"/>
      <c r="Q91" s="4" t="n"/>
      <c r="R91" s="16" t="n"/>
      <c r="S91" s="20">
        <f>IF(OR(N91="",P91="",R91=""),"",(--TRIM(LEFT(N91,2)))*(--TRIM(LEFT(P91,2)))*(--TRIM(LEFT(R91,2))))</f>
        <v/>
      </c>
      <c r="T91" s="20">
        <f>IF(OR(N91="",P91="",R91=""),"",INDEX(APGrid,COUNTIF(APS,"&gt;"&amp;(--TRIM(LEFT(N91,2))))*5+COUNTIF(APO,"&gt;"&amp;(--TRIM(LEFT(P91,2))))+1,COUNTIF(APD,"&gt;"&amp;(--TRIM(LEFT(R91,2))))+1))</f>
        <v/>
      </c>
      <c r="U91" s="20">
        <f>IF(S91="","",IF(OR((--TRIM(LEFT(N91,2)))&gt;=SThr,S91&gt;=RPNThr,T91="H"),"Yes","No"))</f>
        <v/>
      </c>
      <c r="V91" s="4" t="n"/>
      <c r="W91" s="4" t="n"/>
      <c r="X91" s="4" t="n"/>
      <c r="Y91" s="29" t="n"/>
      <c r="Z91" s="16" t="n"/>
      <c r="AA91" s="16" t="n"/>
      <c r="AB91" s="16" t="n"/>
      <c r="AC91" s="20">
        <f>IF(OR(Z91="",AA91="",AB91=""),"",(--TRIM(LEFT(Z91,2)))*(--TRIM(LEFT(AA91,2)))*(--TRIM(LEFT(AB91,2))))</f>
        <v/>
      </c>
      <c r="AD91" s="20">
        <f>IF(OR(Z91="",AA91="",AB91=""),"",INDEX(APGrid,COUNTIF(APS,"&gt;"&amp;(--TRIM(LEFT(Z91,2))))*5+COUNTIF(APO,"&gt;"&amp;(--TRIM(LEFT(AA91,2))))+1,COUNTIF(APD,"&gt;"&amp;(--TRIM(LEFT(AB91,2))))+1))</f>
        <v/>
      </c>
      <c r="AE91" s="4" t="n"/>
      <c r="AF91" s="4" t="n"/>
      <c r="AH91">
        <f>IFERROR(INDEX(EqTag,_xlfn.AGGREGATE(15,6,(ROW(EqTag)-4)/((EqSys=$D$3)*(EqTag&lt;&gt;"")),ROWS($AH$14:AH91))),"")</f>
        <v/>
      </c>
    </row>
    <row r="92">
      <c r="A92" s="20">
        <f>IF(F92="","",LEFT($D$3,3)&amp;"-"&amp;TEXT(COUNTIF(F$14:F92,"?*"),"00"))</f>
        <v/>
      </c>
      <c r="B92" s="4" t="n"/>
      <c r="C92" s="5">
        <f>IF(B92="","",IFERROR(INDEX(EqTypeCol,MATCH(B92,EqTag,0)),"Tag not in register"))</f>
        <v/>
      </c>
      <c r="D92" s="4" t="n"/>
      <c r="E92" s="4" t="n"/>
      <c r="F92" s="4" t="n"/>
      <c r="G92" s="4" t="n"/>
      <c r="H92" s="4" t="n"/>
      <c r="I92" s="4" t="n"/>
      <c r="J92" s="5">
        <f>_xlfn.TEXTJOIN(CHAR(10),TRUE,IF(G92="","","• "&amp;G92),IF(H92="","","• "&amp;H92),IF(I92="","","• "&amp;I92))</f>
        <v/>
      </c>
      <c r="K92" s="4" t="n"/>
      <c r="L92" s="4" t="n"/>
      <c r="M92" s="4" t="n"/>
      <c r="N92" s="16" t="n"/>
      <c r="O92" s="4" t="n"/>
      <c r="P92" s="16" t="n"/>
      <c r="Q92" s="4" t="n"/>
      <c r="R92" s="16" t="n"/>
      <c r="S92" s="20">
        <f>IF(OR(N92="",P92="",R92=""),"",(--TRIM(LEFT(N92,2)))*(--TRIM(LEFT(P92,2)))*(--TRIM(LEFT(R92,2))))</f>
        <v/>
      </c>
      <c r="T92" s="20">
        <f>IF(OR(N92="",P92="",R92=""),"",INDEX(APGrid,COUNTIF(APS,"&gt;"&amp;(--TRIM(LEFT(N92,2))))*5+COUNTIF(APO,"&gt;"&amp;(--TRIM(LEFT(P92,2))))+1,COUNTIF(APD,"&gt;"&amp;(--TRIM(LEFT(R92,2))))+1))</f>
        <v/>
      </c>
      <c r="U92" s="20">
        <f>IF(S92="","",IF(OR((--TRIM(LEFT(N92,2)))&gt;=SThr,S92&gt;=RPNThr,T92="H"),"Yes","No"))</f>
        <v/>
      </c>
      <c r="V92" s="4" t="n"/>
      <c r="W92" s="4" t="n"/>
      <c r="X92" s="4" t="n"/>
      <c r="Y92" s="29" t="n"/>
      <c r="Z92" s="16" t="n"/>
      <c r="AA92" s="16" t="n"/>
      <c r="AB92" s="16" t="n"/>
      <c r="AC92" s="20">
        <f>IF(OR(Z92="",AA92="",AB92=""),"",(--TRIM(LEFT(Z92,2)))*(--TRIM(LEFT(AA92,2)))*(--TRIM(LEFT(AB92,2))))</f>
        <v/>
      </c>
      <c r="AD92" s="20">
        <f>IF(OR(Z92="",AA92="",AB92=""),"",INDEX(APGrid,COUNTIF(APS,"&gt;"&amp;(--TRIM(LEFT(Z92,2))))*5+COUNTIF(APO,"&gt;"&amp;(--TRIM(LEFT(AA92,2))))+1,COUNTIF(APD,"&gt;"&amp;(--TRIM(LEFT(AB92,2))))+1))</f>
        <v/>
      </c>
      <c r="AE92" s="4" t="n"/>
      <c r="AF92" s="4" t="n"/>
      <c r="AH92">
        <f>IFERROR(INDEX(EqTag,_xlfn.AGGREGATE(15,6,(ROW(EqTag)-4)/((EqSys=$D$3)*(EqTag&lt;&gt;"")),ROWS($AH$14:AH92))),"")</f>
        <v/>
      </c>
    </row>
    <row r="93">
      <c r="A93" s="20">
        <f>IF(F93="","",LEFT($D$3,3)&amp;"-"&amp;TEXT(COUNTIF(F$14:F93,"?*"),"00"))</f>
        <v/>
      </c>
      <c r="B93" s="4" t="n"/>
      <c r="C93" s="5">
        <f>IF(B93="","",IFERROR(INDEX(EqTypeCol,MATCH(B93,EqTag,0)),"Tag not in register"))</f>
        <v/>
      </c>
      <c r="D93" s="4" t="n"/>
      <c r="E93" s="4" t="n"/>
      <c r="F93" s="4" t="n"/>
      <c r="G93" s="4" t="n"/>
      <c r="H93" s="4" t="n"/>
      <c r="I93" s="4" t="n"/>
      <c r="J93" s="5">
        <f>_xlfn.TEXTJOIN(CHAR(10),TRUE,IF(G93="","","• "&amp;G93),IF(H93="","","• "&amp;H93),IF(I93="","","• "&amp;I93))</f>
        <v/>
      </c>
      <c r="K93" s="4" t="n"/>
      <c r="L93" s="4" t="n"/>
      <c r="M93" s="4" t="n"/>
      <c r="N93" s="16" t="n"/>
      <c r="O93" s="4" t="n"/>
      <c r="P93" s="16" t="n"/>
      <c r="Q93" s="4" t="n"/>
      <c r="R93" s="16" t="n"/>
      <c r="S93" s="20">
        <f>IF(OR(N93="",P93="",R93=""),"",(--TRIM(LEFT(N93,2)))*(--TRIM(LEFT(P93,2)))*(--TRIM(LEFT(R93,2))))</f>
        <v/>
      </c>
      <c r="T93" s="20">
        <f>IF(OR(N93="",P93="",R93=""),"",INDEX(APGrid,COUNTIF(APS,"&gt;"&amp;(--TRIM(LEFT(N93,2))))*5+COUNTIF(APO,"&gt;"&amp;(--TRIM(LEFT(P93,2))))+1,COUNTIF(APD,"&gt;"&amp;(--TRIM(LEFT(R93,2))))+1))</f>
        <v/>
      </c>
      <c r="U93" s="20">
        <f>IF(S93="","",IF(OR((--TRIM(LEFT(N93,2)))&gt;=SThr,S93&gt;=RPNThr,T93="H"),"Yes","No"))</f>
        <v/>
      </c>
      <c r="V93" s="4" t="n"/>
      <c r="W93" s="4" t="n"/>
      <c r="X93" s="4" t="n"/>
      <c r="Y93" s="29" t="n"/>
      <c r="Z93" s="16" t="n"/>
      <c r="AA93" s="16" t="n"/>
      <c r="AB93" s="16" t="n"/>
      <c r="AC93" s="20">
        <f>IF(OR(Z93="",AA93="",AB93=""),"",(--TRIM(LEFT(Z93,2)))*(--TRIM(LEFT(AA93,2)))*(--TRIM(LEFT(AB93,2))))</f>
        <v/>
      </c>
      <c r="AD93" s="20">
        <f>IF(OR(Z93="",AA93="",AB93=""),"",INDEX(APGrid,COUNTIF(APS,"&gt;"&amp;(--TRIM(LEFT(Z93,2))))*5+COUNTIF(APO,"&gt;"&amp;(--TRIM(LEFT(AA93,2))))+1,COUNTIF(APD,"&gt;"&amp;(--TRIM(LEFT(AB93,2))))+1))</f>
        <v/>
      </c>
      <c r="AE93" s="4" t="n"/>
      <c r="AF93" s="4" t="n"/>
      <c r="AH93">
        <f>IFERROR(INDEX(EqTag,_xlfn.AGGREGATE(15,6,(ROW(EqTag)-4)/((EqSys=$D$3)*(EqTag&lt;&gt;"")),ROWS($AH$14:AH93))),"")</f>
        <v/>
      </c>
    </row>
    <row r="94">
      <c r="A94" s="20">
        <f>IF(F94="","",LEFT($D$3,3)&amp;"-"&amp;TEXT(COUNTIF(F$14:F94,"?*"),"00"))</f>
        <v/>
      </c>
      <c r="B94" s="4" t="n"/>
      <c r="C94" s="5">
        <f>IF(B94="","",IFERROR(INDEX(EqTypeCol,MATCH(B94,EqTag,0)),"Tag not in register"))</f>
        <v/>
      </c>
      <c r="D94" s="4" t="n"/>
      <c r="E94" s="4" t="n"/>
      <c r="F94" s="4" t="n"/>
      <c r="G94" s="4" t="n"/>
      <c r="H94" s="4" t="n"/>
      <c r="I94" s="4" t="n"/>
      <c r="J94" s="5">
        <f>_xlfn.TEXTJOIN(CHAR(10),TRUE,IF(G94="","","• "&amp;G94),IF(H94="","","• "&amp;H94),IF(I94="","","• "&amp;I94))</f>
        <v/>
      </c>
      <c r="K94" s="4" t="n"/>
      <c r="L94" s="4" t="n"/>
      <c r="M94" s="4" t="n"/>
      <c r="N94" s="16" t="n"/>
      <c r="O94" s="4" t="n"/>
      <c r="P94" s="16" t="n"/>
      <c r="Q94" s="4" t="n"/>
      <c r="R94" s="16" t="n"/>
      <c r="S94" s="20">
        <f>IF(OR(N94="",P94="",R94=""),"",(--TRIM(LEFT(N94,2)))*(--TRIM(LEFT(P94,2)))*(--TRIM(LEFT(R94,2))))</f>
        <v/>
      </c>
      <c r="T94" s="20">
        <f>IF(OR(N94="",P94="",R94=""),"",INDEX(APGrid,COUNTIF(APS,"&gt;"&amp;(--TRIM(LEFT(N94,2))))*5+COUNTIF(APO,"&gt;"&amp;(--TRIM(LEFT(P94,2))))+1,COUNTIF(APD,"&gt;"&amp;(--TRIM(LEFT(R94,2))))+1))</f>
        <v/>
      </c>
      <c r="U94" s="20">
        <f>IF(S94="","",IF(OR((--TRIM(LEFT(N94,2)))&gt;=SThr,S94&gt;=RPNThr,T94="H"),"Yes","No"))</f>
        <v/>
      </c>
      <c r="V94" s="4" t="n"/>
      <c r="W94" s="4" t="n"/>
      <c r="X94" s="4" t="n"/>
      <c r="Y94" s="29" t="n"/>
      <c r="Z94" s="16" t="n"/>
      <c r="AA94" s="16" t="n"/>
      <c r="AB94" s="16" t="n"/>
      <c r="AC94" s="20">
        <f>IF(OR(Z94="",AA94="",AB94=""),"",(--TRIM(LEFT(Z94,2)))*(--TRIM(LEFT(AA94,2)))*(--TRIM(LEFT(AB94,2))))</f>
        <v/>
      </c>
      <c r="AD94" s="20">
        <f>IF(OR(Z94="",AA94="",AB94=""),"",INDEX(APGrid,COUNTIF(APS,"&gt;"&amp;(--TRIM(LEFT(Z94,2))))*5+COUNTIF(APO,"&gt;"&amp;(--TRIM(LEFT(AA94,2))))+1,COUNTIF(APD,"&gt;"&amp;(--TRIM(LEFT(AB94,2))))+1))</f>
        <v/>
      </c>
      <c r="AE94" s="4" t="n"/>
      <c r="AF94" s="4" t="n"/>
      <c r="AH94">
        <f>IFERROR(INDEX(EqTag,_xlfn.AGGREGATE(15,6,(ROW(EqTag)-4)/((EqSys=$D$3)*(EqTag&lt;&gt;"")),ROWS($AH$14:AH94))),"")</f>
        <v/>
      </c>
    </row>
    <row r="95">
      <c r="A95" s="20">
        <f>IF(F95="","",LEFT($D$3,3)&amp;"-"&amp;TEXT(COUNTIF(F$14:F95,"?*"),"00"))</f>
        <v/>
      </c>
      <c r="B95" s="4" t="n"/>
      <c r="C95" s="5">
        <f>IF(B95="","",IFERROR(INDEX(EqTypeCol,MATCH(B95,EqTag,0)),"Tag not in register"))</f>
        <v/>
      </c>
      <c r="D95" s="4" t="n"/>
      <c r="E95" s="4" t="n"/>
      <c r="F95" s="4" t="n"/>
      <c r="G95" s="4" t="n"/>
      <c r="H95" s="4" t="n"/>
      <c r="I95" s="4" t="n"/>
      <c r="J95" s="5">
        <f>_xlfn.TEXTJOIN(CHAR(10),TRUE,IF(G95="","","• "&amp;G95),IF(H95="","","• "&amp;H95),IF(I95="","","• "&amp;I95))</f>
        <v/>
      </c>
      <c r="K95" s="4" t="n"/>
      <c r="L95" s="4" t="n"/>
      <c r="M95" s="4" t="n"/>
      <c r="N95" s="16" t="n"/>
      <c r="O95" s="4" t="n"/>
      <c r="P95" s="16" t="n"/>
      <c r="Q95" s="4" t="n"/>
      <c r="R95" s="16" t="n"/>
      <c r="S95" s="20">
        <f>IF(OR(N95="",P95="",R95=""),"",(--TRIM(LEFT(N95,2)))*(--TRIM(LEFT(P95,2)))*(--TRIM(LEFT(R95,2))))</f>
        <v/>
      </c>
      <c r="T95" s="20">
        <f>IF(OR(N95="",P95="",R95=""),"",INDEX(APGrid,COUNTIF(APS,"&gt;"&amp;(--TRIM(LEFT(N95,2))))*5+COUNTIF(APO,"&gt;"&amp;(--TRIM(LEFT(P95,2))))+1,COUNTIF(APD,"&gt;"&amp;(--TRIM(LEFT(R95,2))))+1))</f>
        <v/>
      </c>
      <c r="U95" s="20">
        <f>IF(S95="","",IF(OR((--TRIM(LEFT(N95,2)))&gt;=SThr,S95&gt;=RPNThr,T95="H"),"Yes","No"))</f>
        <v/>
      </c>
      <c r="V95" s="4" t="n"/>
      <c r="W95" s="4" t="n"/>
      <c r="X95" s="4" t="n"/>
      <c r="Y95" s="29" t="n"/>
      <c r="Z95" s="16" t="n"/>
      <c r="AA95" s="16" t="n"/>
      <c r="AB95" s="16" t="n"/>
      <c r="AC95" s="20">
        <f>IF(OR(Z95="",AA95="",AB95=""),"",(--TRIM(LEFT(Z95,2)))*(--TRIM(LEFT(AA95,2)))*(--TRIM(LEFT(AB95,2))))</f>
        <v/>
      </c>
      <c r="AD95" s="20">
        <f>IF(OR(Z95="",AA95="",AB95=""),"",INDEX(APGrid,COUNTIF(APS,"&gt;"&amp;(--TRIM(LEFT(Z95,2))))*5+COUNTIF(APO,"&gt;"&amp;(--TRIM(LEFT(AA95,2))))+1,COUNTIF(APD,"&gt;"&amp;(--TRIM(LEFT(AB95,2))))+1))</f>
        <v/>
      </c>
      <c r="AE95" s="4" t="n"/>
      <c r="AF95" s="4" t="n"/>
      <c r="AH95">
        <f>IFERROR(INDEX(EqTag,_xlfn.AGGREGATE(15,6,(ROW(EqTag)-4)/((EqSys=$D$3)*(EqTag&lt;&gt;"")),ROWS($AH$14:AH95))),"")</f>
        <v/>
      </c>
    </row>
    <row r="96">
      <c r="A96" s="20">
        <f>IF(F96="","",LEFT($D$3,3)&amp;"-"&amp;TEXT(COUNTIF(F$14:F96,"?*"),"00"))</f>
        <v/>
      </c>
      <c r="B96" s="4" t="n"/>
      <c r="C96" s="5">
        <f>IF(B96="","",IFERROR(INDEX(EqTypeCol,MATCH(B96,EqTag,0)),"Tag not in register"))</f>
        <v/>
      </c>
      <c r="D96" s="4" t="n"/>
      <c r="E96" s="4" t="n"/>
      <c r="F96" s="4" t="n"/>
      <c r="G96" s="4" t="n"/>
      <c r="H96" s="4" t="n"/>
      <c r="I96" s="4" t="n"/>
      <c r="J96" s="5">
        <f>_xlfn.TEXTJOIN(CHAR(10),TRUE,IF(G96="","","• "&amp;G96),IF(H96="","","• "&amp;H96),IF(I96="","","• "&amp;I96))</f>
        <v/>
      </c>
      <c r="K96" s="4" t="n"/>
      <c r="L96" s="4" t="n"/>
      <c r="M96" s="4" t="n"/>
      <c r="N96" s="16" t="n"/>
      <c r="O96" s="4" t="n"/>
      <c r="P96" s="16" t="n"/>
      <c r="Q96" s="4" t="n"/>
      <c r="R96" s="16" t="n"/>
      <c r="S96" s="20">
        <f>IF(OR(N96="",P96="",R96=""),"",(--TRIM(LEFT(N96,2)))*(--TRIM(LEFT(P96,2)))*(--TRIM(LEFT(R96,2))))</f>
        <v/>
      </c>
      <c r="T96" s="20">
        <f>IF(OR(N96="",P96="",R96=""),"",INDEX(APGrid,COUNTIF(APS,"&gt;"&amp;(--TRIM(LEFT(N96,2))))*5+COUNTIF(APO,"&gt;"&amp;(--TRIM(LEFT(P96,2))))+1,COUNTIF(APD,"&gt;"&amp;(--TRIM(LEFT(R96,2))))+1))</f>
        <v/>
      </c>
      <c r="U96" s="20">
        <f>IF(S96="","",IF(OR((--TRIM(LEFT(N96,2)))&gt;=SThr,S96&gt;=RPNThr,T96="H"),"Yes","No"))</f>
        <v/>
      </c>
      <c r="V96" s="4" t="n"/>
      <c r="W96" s="4" t="n"/>
      <c r="X96" s="4" t="n"/>
      <c r="Y96" s="29" t="n"/>
      <c r="Z96" s="16" t="n"/>
      <c r="AA96" s="16" t="n"/>
      <c r="AB96" s="16" t="n"/>
      <c r="AC96" s="20">
        <f>IF(OR(Z96="",AA96="",AB96=""),"",(--TRIM(LEFT(Z96,2)))*(--TRIM(LEFT(AA96,2)))*(--TRIM(LEFT(AB96,2))))</f>
        <v/>
      </c>
      <c r="AD96" s="20">
        <f>IF(OR(Z96="",AA96="",AB96=""),"",INDEX(APGrid,COUNTIF(APS,"&gt;"&amp;(--TRIM(LEFT(Z96,2))))*5+COUNTIF(APO,"&gt;"&amp;(--TRIM(LEFT(AA96,2))))+1,COUNTIF(APD,"&gt;"&amp;(--TRIM(LEFT(AB96,2))))+1))</f>
        <v/>
      </c>
      <c r="AE96" s="4" t="n"/>
      <c r="AF96" s="4" t="n"/>
      <c r="AH96">
        <f>IFERROR(INDEX(EqTag,_xlfn.AGGREGATE(15,6,(ROW(EqTag)-4)/((EqSys=$D$3)*(EqTag&lt;&gt;"")),ROWS($AH$14:AH96))),"")</f>
        <v/>
      </c>
    </row>
    <row r="97">
      <c r="A97" s="20">
        <f>IF(F97="","",LEFT($D$3,3)&amp;"-"&amp;TEXT(COUNTIF(F$14:F97,"?*"),"00"))</f>
        <v/>
      </c>
      <c r="B97" s="4" t="n"/>
      <c r="C97" s="5">
        <f>IF(B97="","",IFERROR(INDEX(EqTypeCol,MATCH(B97,EqTag,0)),"Tag not in register"))</f>
        <v/>
      </c>
      <c r="D97" s="4" t="n"/>
      <c r="E97" s="4" t="n"/>
      <c r="F97" s="4" t="n"/>
      <c r="G97" s="4" t="n"/>
      <c r="H97" s="4" t="n"/>
      <c r="I97" s="4" t="n"/>
      <c r="J97" s="5">
        <f>_xlfn.TEXTJOIN(CHAR(10),TRUE,IF(G97="","","• "&amp;G97),IF(H97="","","• "&amp;H97),IF(I97="","","• "&amp;I97))</f>
        <v/>
      </c>
      <c r="K97" s="4" t="n"/>
      <c r="L97" s="4" t="n"/>
      <c r="M97" s="4" t="n"/>
      <c r="N97" s="16" t="n"/>
      <c r="O97" s="4" t="n"/>
      <c r="P97" s="16" t="n"/>
      <c r="Q97" s="4" t="n"/>
      <c r="R97" s="16" t="n"/>
      <c r="S97" s="20">
        <f>IF(OR(N97="",P97="",R97=""),"",(--TRIM(LEFT(N97,2)))*(--TRIM(LEFT(P97,2)))*(--TRIM(LEFT(R97,2))))</f>
        <v/>
      </c>
      <c r="T97" s="20">
        <f>IF(OR(N97="",P97="",R97=""),"",INDEX(APGrid,COUNTIF(APS,"&gt;"&amp;(--TRIM(LEFT(N97,2))))*5+COUNTIF(APO,"&gt;"&amp;(--TRIM(LEFT(P97,2))))+1,COUNTIF(APD,"&gt;"&amp;(--TRIM(LEFT(R97,2))))+1))</f>
        <v/>
      </c>
      <c r="U97" s="20">
        <f>IF(S97="","",IF(OR((--TRIM(LEFT(N97,2)))&gt;=SThr,S97&gt;=RPNThr,T97="H"),"Yes","No"))</f>
        <v/>
      </c>
      <c r="V97" s="4" t="n"/>
      <c r="W97" s="4" t="n"/>
      <c r="X97" s="4" t="n"/>
      <c r="Y97" s="29" t="n"/>
      <c r="Z97" s="16" t="n"/>
      <c r="AA97" s="16" t="n"/>
      <c r="AB97" s="16" t="n"/>
      <c r="AC97" s="20">
        <f>IF(OR(Z97="",AA97="",AB97=""),"",(--TRIM(LEFT(Z97,2)))*(--TRIM(LEFT(AA97,2)))*(--TRIM(LEFT(AB97,2))))</f>
        <v/>
      </c>
      <c r="AD97" s="20">
        <f>IF(OR(Z97="",AA97="",AB97=""),"",INDEX(APGrid,COUNTIF(APS,"&gt;"&amp;(--TRIM(LEFT(Z97,2))))*5+COUNTIF(APO,"&gt;"&amp;(--TRIM(LEFT(AA97,2))))+1,COUNTIF(APD,"&gt;"&amp;(--TRIM(LEFT(AB97,2))))+1))</f>
        <v/>
      </c>
      <c r="AE97" s="4" t="n"/>
      <c r="AF97" s="4" t="n"/>
      <c r="AH97">
        <f>IFERROR(INDEX(EqTag,_xlfn.AGGREGATE(15,6,(ROW(EqTag)-4)/((EqSys=$D$3)*(EqTag&lt;&gt;"")),ROWS($AH$14:AH97))),"")</f>
        <v/>
      </c>
    </row>
    <row r="98">
      <c r="A98" s="20">
        <f>IF(F98="","",LEFT($D$3,3)&amp;"-"&amp;TEXT(COUNTIF(F$14:F98,"?*"),"00"))</f>
        <v/>
      </c>
      <c r="B98" s="4" t="n"/>
      <c r="C98" s="5">
        <f>IF(B98="","",IFERROR(INDEX(EqTypeCol,MATCH(B98,EqTag,0)),"Tag not in register"))</f>
        <v/>
      </c>
      <c r="D98" s="4" t="n"/>
      <c r="E98" s="4" t="n"/>
      <c r="F98" s="4" t="n"/>
      <c r="G98" s="4" t="n"/>
      <c r="H98" s="4" t="n"/>
      <c r="I98" s="4" t="n"/>
      <c r="J98" s="5">
        <f>_xlfn.TEXTJOIN(CHAR(10),TRUE,IF(G98="","","• "&amp;G98),IF(H98="","","• "&amp;H98),IF(I98="","","• "&amp;I98))</f>
        <v/>
      </c>
      <c r="K98" s="4" t="n"/>
      <c r="L98" s="4" t="n"/>
      <c r="M98" s="4" t="n"/>
      <c r="N98" s="16" t="n"/>
      <c r="O98" s="4" t="n"/>
      <c r="P98" s="16" t="n"/>
      <c r="Q98" s="4" t="n"/>
      <c r="R98" s="16" t="n"/>
      <c r="S98" s="20">
        <f>IF(OR(N98="",P98="",R98=""),"",(--TRIM(LEFT(N98,2)))*(--TRIM(LEFT(P98,2)))*(--TRIM(LEFT(R98,2))))</f>
        <v/>
      </c>
      <c r="T98" s="20">
        <f>IF(OR(N98="",P98="",R98=""),"",INDEX(APGrid,COUNTIF(APS,"&gt;"&amp;(--TRIM(LEFT(N98,2))))*5+COUNTIF(APO,"&gt;"&amp;(--TRIM(LEFT(P98,2))))+1,COUNTIF(APD,"&gt;"&amp;(--TRIM(LEFT(R98,2))))+1))</f>
        <v/>
      </c>
      <c r="U98" s="20">
        <f>IF(S98="","",IF(OR((--TRIM(LEFT(N98,2)))&gt;=SThr,S98&gt;=RPNThr,T98="H"),"Yes","No"))</f>
        <v/>
      </c>
      <c r="V98" s="4" t="n"/>
      <c r="W98" s="4" t="n"/>
      <c r="X98" s="4" t="n"/>
      <c r="Y98" s="29" t="n"/>
      <c r="Z98" s="16" t="n"/>
      <c r="AA98" s="16" t="n"/>
      <c r="AB98" s="16" t="n"/>
      <c r="AC98" s="20">
        <f>IF(OR(Z98="",AA98="",AB98=""),"",(--TRIM(LEFT(Z98,2)))*(--TRIM(LEFT(AA98,2)))*(--TRIM(LEFT(AB98,2))))</f>
        <v/>
      </c>
      <c r="AD98" s="20">
        <f>IF(OR(Z98="",AA98="",AB98=""),"",INDEX(APGrid,COUNTIF(APS,"&gt;"&amp;(--TRIM(LEFT(Z98,2))))*5+COUNTIF(APO,"&gt;"&amp;(--TRIM(LEFT(AA98,2))))+1,COUNTIF(APD,"&gt;"&amp;(--TRIM(LEFT(AB98,2))))+1))</f>
        <v/>
      </c>
      <c r="AE98" s="4" t="n"/>
      <c r="AF98" s="4" t="n"/>
      <c r="AH98">
        <f>IFERROR(INDEX(EqTag,_xlfn.AGGREGATE(15,6,(ROW(EqTag)-4)/((EqSys=$D$3)*(EqTag&lt;&gt;"")),ROWS($AH$14:AH98))),"")</f>
        <v/>
      </c>
    </row>
    <row r="99">
      <c r="A99" s="20">
        <f>IF(F99="","",LEFT($D$3,3)&amp;"-"&amp;TEXT(COUNTIF(F$14:F99,"?*"),"00"))</f>
        <v/>
      </c>
      <c r="B99" s="4" t="n"/>
      <c r="C99" s="5">
        <f>IF(B99="","",IFERROR(INDEX(EqTypeCol,MATCH(B99,EqTag,0)),"Tag not in register"))</f>
        <v/>
      </c>
      <c r="D99" s="4" t="n"/>
      <c r="E99" s="4" t="n"/>
      <c r="F99" s="4" t="n"/>
      <c r="G99" s="4" t="n"/>
      <c r="H99" s="4" t="n"/>
      <c r="I99" s="4" t="n"/>
      <c r="J99" s="5">
        <f>_xlfn.TEXTJOIN(CHAR(10),TRUE,IF(G99="","","• "&amp;G99),IF(H99="","","• "&amp;H99),IF(I99="","","• "&amp;I99))</f>
        <v/>
      </c>
      <c r="K99" s="4" t="n"/>
      <c r="L99" s="4" t="n"/>
      <c r="M99" s="4" t="n"/>
      <c r="N99" s="16" t="n"/>
      <c r="O99" s="4" t="n"/>
      <c r="P99" s="16" t="n"/>
      <c r="Q99" s="4" t="n"/>
      <c r="R99" s="16" t="n"/>
      <c r="S99" s="20">
        <f>IF(OR(N99="",P99="",R99=""),"",(--TRIM(LEFT(N99,2)))*(--TRIM(LEFT(P99,2)))*(--TRIM(LEFT(R99,2))))</f>
        <v/>
      </c>
      <c r="T99" s="20">
        <f>IF(OR(N99="",P99="",R99=""),"",INDEX(APGrid,COUNTIF(APS,"&gt;"&amp;(--TRIM(LEFT(N99,2))))*5+COUNTIF(APO,"&gt;"&amp;(--TRIM(LEFT(P99,2))))+1,COUNTIF(APD,"&gt;"&amp;(--TRIM(LEFT(R99,2))))+1))</f>
        <v/>
      </c>
      <c r="U99" s="20">
        <f>IF(S99="","",IF(OR((--TRIM(LEFT(N99,2)))&gt;=SThr,S99&gt;=RPNThr,T99="H"),"Yes","No"))</f>
        <v/>
      </c>
      <c r="V99" s="4" t="n"/>
      <c r="W99" s="4" t="n"/>
      <c r="X99" s="4" t="n"/>
      <c r="Y99" s="29" t="n"/>
      <c r="Z99" s="16" t="n"/>
      <c r="AA99" s="16" t="n"/>
      <c r="AB99" s="16" t="n"/>
      <c r="AC99" s="20">
        <f>IF(OR(Z99="",AA99="",AB99=""),"",(--TRIM(LEFT(Z99,2)))*(--TRIM(LEFT(AA99,2)))*(--TRIM(LEFT(AB99,2))))</f>
        <v/>
      </c>
      <c r="AD99" s="20">
        <f>IF(OR(Z99="",AA99="",AB99=""),"",INDEX(APGrid,COUNTIF(APS,"&gt;"&amp;(--TRIM(LEFT(Z99,2))))*5+COUNTIF(APO,"&gt;"&amp;(--TRIM(LEFT(AA99,2))))+1,COUNTIF(APD,"&gt;"&amp;(--TRIM(LEFT(AB99,2))))+1))</f>
        <v/>
      </c>
      <c r="AE99" s="4" t="n"/>
      <c r="AF99" s="4" t="n"/>
      <c r="AH99">
        <f>IFERROR(INDEX(EqTag,_xlfn.AGGREGATE(15,6,(ROW(EqTag)-4)/((EqSys=$D$3)*(EqTag&lt;&gt;"")),ROWS($AH$14:AH99))),"")</f>
        <v/>
      </c>
    </row>
    <row r="100">
      <c r="A100" s="20">
        <f>IF(F100="","",LEFT($D$3,3)&amp;"-"&amp;TEXT(COUNTIF(F$14:F100,"?*"),"00"))</f>
        <v/>
      </c>
      <c r="B100" s="4" t="n"/>
      <c r="C100" s="5">
        <f>IF(B100="","",IFERROR(INDEX(EqTypeCol,MATCH(B100,EqTag,0)),"Tag not in register"))</f>
        <v/>
      </c>
      <c r="D100" s="4" t="n"/>
      <c r="E100" s="4" t="n"/>
      <c r="F100" s="4" t="n"/>
      <c r="G100" s="4" t="n"/>
      <c r="H100" s="4" t="n"/>
      <c r="I100" s="4" t="n"/>
      <c r="J100" s="5">
        <f>_xlfn.TEXTJOIN(CHAR(10),TRUE,IF(G100="","","• "&amp;G100),IF(H100="","","• "&amp;H100),IF(I100="","","• "&amp;I100))</f>
        <v/>
      </c>
      <c r="K100" s="4" t="n"/>
      <c r="L100" s="4" t="n"/>
      <c r="M100" s="4" t="n"/>
      <c r="N100" s="16" t="n"/>
      <c r="O100" s="4" t="n"/>
      <c r="P100" s="16" t="n"/>
      <c r="Q100" s="4" t="n"/>
      <c r="R100" s="16" t="n"/>
      <c r="S100" s="20">
        <f>IF(OR(N100="",P100="",R100=""),"",(--TRIM(LEFT(N100,2)))*(--TRIM(LEFT(P100,2)))*(--TRIM(LEFT(R100,2))))</f>
        <v/>
      </c>
      <c r="T100" s="20">
        <f>IF(OR(N100="",P100="",R100=""),"",INDEX(APGrid,COUNTIF(APS,"&gt;"&amp;(--TRIM(LEFT(N100,2))))*5+COUNTIF(APO,"&gt;"&amp;(--TRIM(LEFT(P100,2))))+1,COUNTIF(APD,"&gt;"&amp;(--TRIM(LEFT(R100,2))))+1))</f>
        <v/>
      </c>
      <c r="U100" s="20">
        <f>IF(S100="","",IF(OR((--TRIM(LEFT(N100,2)))&gt;=SThr,S100&gt;=RPNThr,T100="H"),"Yes","No"))</f>
        <v/>
      </c>
      <c r="V100" s="4" t="n"/>
      <c r="W100" s="4" t="n"/>
      <c r="X100" s="4" t="n"/>
      <c r="Y100" s="29" t="n"/>
      <c r="Z100" s="16" t="n"/>
      <c r="AA100" s="16" t="n"/>
      <c r="AB100" s="16" t="n"/>
      <c r="AC100" s="20">
        <f>IF(OR(Z100="",AA100="",AB100=""),"",(--TRIM(LEFT(Z100,2)))*(--TRIM(LEFT(AA100,2)))*(--TRIM(LEFT(AB100,2))))</f>
        <v/>
      </c>
      <c r="AD100" s="20">
        <f>IF(OR(Z100="",AA100="",AB100=""),"",INDEX(APGrid,COUNTIF(APS,"&gt;"&amp;(--TRIM(LEFT(Z100,2))))*5+COUNTIF(APO,"&gt;"&amp;(--TRIM(LEFT(AA100,2))))+1,COUNTIF(APD,"&gt;"&amp;(--TRIM(LEFT(AB100,2))))+1))</f>
        <v/>
      </c>
      <c r="AE100" s="4" t="n"/>
      <c r="AF100" s="4" t="n"/>
      <c r="AH100">
        <f>IFERROR(INDEX(EqTag,_xlfn.AGGREGATE(15,6,(ROW(EqTag)-4)/((EqSys=$D$3)*(EqTag&lt;&gt;"")),ROWS($AH$14:AH100))),"")</f>
        <v/>
      </c>
    </row>
    <row r="101">
      <c r="A101" s="20">
        <f>IF(F101="","",LEFT($D$3,3)&amp;"-"&amp;TEXT(COUNTIF(F$14:F101,"?*"),"00"))</f>
        <v/>
      </c>
      <c r="B101" s="4" t="n"/>
      <c r="C101" s="5">
        <f>IF(B101="","",IFERROR(INDEX(EqTypeCol,MATCH(B101,EqTag,0)),"Tag not in register"))</f>
        <v/>
      </c>
      <c r="D101" s="4" t="n"/>
      <c r="E101" s="4" t="n"/>
      <c r="F101" s="4" t="n"/>
      <c r="G101" s="4" t="n"/>
      <c r="H101" s="4" t="n"/>
      <c r="I101" s="4" t="n"/>
      <c r="J101" s="5">
        <f>_xlfn.TEXTJOIN(CHAR(10),TRUE,IF(G101="","","• "&amp;G101),IF(H101="","","• "&amp;H101),IF(I101="","","• "&amp;I101))</f>
        <v/>
      </c>
      <c r="K101" s="4" t="n"/>
      <c r="L101" s="4" t="n"/>
      <c r="M101" s="4" t="n"/>
      <c r="N101" s="16" t="n"/>
      <c r="O101" s="4" t="n"/>
      <c r="P101" s="16" t="n"/>
      <c r="Q101" s="4" t="n"/>
      <c r="R101" s="16" t="n"/>
      <c r="S101" s="20">
        <f>IF(OR(N101="",P101="",R101=""),"",(--TRIM(LEFT(N101,2)))*(--TRIM(LEFT(P101,2)))*(--TRIM(LEFT(R101,2))))</f>
        <v/>
      </c>
      <c r="T101" s="20">
        <f>IF(OR(N101="",P101="",R101=""),"",INDEX(APGrid,COUNTIF(APS,"&gt;"&amp;(--TRIM(LEFT(N101,2))))*5+COUNTIF(APO,"&gt;"&amp;(--TRIM(LEFT(P101,2))))+1,COUNTIF(APD,"&gt;"&amp;(--TRIM(LEFT(R101,2))))+1))</f>
        <v/>
      </c>
      <c r="U101" s="20">
        <f>IF(S101="","",IF(OR((--TRIM(LEFT(N101,2)))&gt;=SThr,S101&gt;=RPNThr,T101="H"),"Yes","No"))</f>
        <v/>
      </c>
      <c r="V101" s="4" t="n"/>
      <c r="W101" s="4" t="n"/>
      <c r="X101" s="4" t="n"/>
      <c r="Y101" s="29" t="n"/>
      <c r="Z101" s="16" t="n"/>
      <c r="AA101" s="16" t="n"/>
      <c r="AB101" s="16" t="n"/>
      <c r="AC101" s="20">
        <f>IF(OR(Z101="",AA101="",AB101=""),"",(--TRIM(LEFT(Z101,2)))*(--TRIM(LEFT(AA101,2)))*(--TRIM(LEFT(AB101,2))))</f>
        <v/>
      </c>
      <c r="AD101" s="20">
        <f>IF(OR(Z101="",AA101="",AB101=""),"",INDEX(APGrid,COUNTIF(APS,"&gt;"&amp;(--TRIM(LEFT(Z101,2))))*5+COUNTIF(APO,"&gt;"&amp;(--TRIM(LEFT(AA101,2))))+1,COUNTIF(APD,"&gt;"&amp;(--TRIM(LEFT(AB101,2))))+1))</f>
        <v/>
      </c>
      <c r="AE101" s="4" t="n"/>
      <c r="AF101" s="4" t="n"/>
      <c r="AH101">
        <f>IFERROR(INDEX(EqTag,_xlfn.AGGREGATE(15,6,(ROW(EqTag)-4)/((EqSys=$D$3)*(EqTag&lt;&gt;"")),ROWS($AH$14:AH101))),"")</f>
        <v/>
      </c>
    </row>
    <row r="102">
      <c r="A102" s="20">
        <f>IF(F102="","",LEFT($D$3,3)&amp;"-"&amp;TEXT(COUNTIF(F$14:F102,"?*"),"00"))</f>
        <v/>
      </c>
      <c r="B102" s="4" t="n"/>
      <c r="C102" s="5">
        <f>IF(B102="","",IFERROR(INDEX(EqTypeCol,MATCH(B102,EqTag,0)),"Tag not in register"))</f>
        <v/>
      </c>
      <c r="D102" s="4" t="n"/>
      <c r="E102" s="4" t="n"/>
      <c r="F102" s="4" t="n"/>
      <c r="G102" s="4" t="n"/>
      <c r="H102" s="4" t="n"/>
      <c r="I102" s="4" t="n"/>
      <c r="J102" s="5">
        <f>_xlfn.TEXTJOIN(CHAR(10),TRUE,IF(G102="","","• "&amp;G102),IF(H102="","","• "&amp;H102),IF(I102="","","• "&amp;I102))</f>
        <v/>
      </c>
      <c r="K102" s="4" t="n"/>
      <c r="L102" s="4" t="n"/>
      <c r="M102" s="4" t="n"/>
      <c r="N102" s="16" t="n"/>
      <c r="O102" s="4" t="n"/>
      <c r="P102" s="16" t="n"/>
      <c r="Q102" s="4" t="n"/>
      <c r="R102" s="16" t="n"/>
      <c r="S102" s="20">
        <f>IF(OR(N102="",P102="",R102=""),"",(--TRIM(LEFT(N102,2)))*(--TRIM(LEFT(P102,2)))*(--TRIM(LEFT(R102,2))))</f>
        <v/>
      </c>
      <c r="T102" s="20">
        <f>IF(OR(N102="",P102="",R102=""),"",INDEX(APGrid,COUNTIF(APS,"&gt;"&amp;(--TRIM(LEFT(N102,2))))*5+COUNTIF(APO,"&gt;"&amp;(--TRIM(LEFT(P102,2))))+1,COUNTIF(APD,"&gt;"&amp;(--TRIM(LEFT(R102,2))))+1))</f>
        <v/>
      </c>
      <c r="U102" s="20">
        <f>IF(S102="","",IF(OR((--TRIM(LEFT(N102,2)))&gt;=SThr,S102&gt;=RPNThr,T102="H"),"Yes","No"))</f>
        <v/>
      </c>
      <c r="V102" s="4" t="n"/>
      <c r="W102" s="4" t="n"/>
      <c r="X102" s="4" t="n"/>
      <c r="Y102" s="29" t="n"/>
      <c r="Z102" s="16" t="n"/>
      <c r="AA102" s="16" t="n"/>
      <c r="AB102" s="16" t="n"/>
      <c r="AC102" s="20">
        <f>IF(OR(Z102="",AA102="",AB102=""),"",(--TRIM(LEFT(Z102,2)))*(--TRIM(LEFT(AA102,2)))*(--TRIM(LEFT(AB102,2))))</f>
        <v/>
      </c>
      <c r="AD102" s="20">
        <f>IF(OR(Z102="",AA102="",AB102=""),"",INDEX(APGrid,COUNTIF(APS,"&gt;"&amp;(--TRIM(LEFT(Z102,2))))*5+COUNTIF(APO,"&gt;"&amp;(--TRIM(LEFT(AA102,2))))+1,COUNTIF(APD,"&gt;"&amp;(--TRIM(LEFT(AB102,2))))+1))</f>
        <v/>
      </c>
      <c r="AE102" s="4" t="n"/>
      <c r="AF102" s="4" t="n"/>
      <c r="AH102">
        <f>IFERROR(INDEX(EqTag,_xlfn.AGGREGATE(15,6,(ROW(EqTag)-4)/((EqSys=$D$3)*(EqTag&lt;&gt;"")),ROWS($AH$14:AH102))),"")</f>
        <v/>
      </c>
    </row>
    <row r="103">
      <c r="A103" s="20">
        <f>IF(F103="","",LEFT($D$3,3)&amp;"-"&amp;TEXT(COUNTIF(F$14:F103,"?*"),"00"))</f>
        <v/>
      </c>
      <c r="B103" s="4" t="n"/>
      <c r="C103" s="5">
        <f>IF(B103="","",IFERROR(INDEX(EqTypeCol,MATCH(B103,EqTag,0)),"Tag not in register"))</f>
        <v/>
      </c>
      <c r="D103" s="4" t="n"/>
      <c r="E103" s="4" t="n"/>
      <c r="F103" s="4" t="n"/>
      <c r="G103" s="4" t="n"/>
      <c r="H103" s="4" t="n"/>
      <c r="I103" s="4" t="n"/>
      <c r="J103" s="5">
        <f>_xlfn.TEXTJOIN(CHAR(10),TRUE,IF(G103="","","• "&amp;G103),IF(H103="","","• "&amp;H103),IF(I103="","","• "&amp;I103))</f>
        <v/>
      </c>
      <c r="K103" s="4" t="n"/>
      <c r="L103" s="4" t="n"/>
      <c r="M103" s="4" t="n"/>
      <c r="N103" s="16" t="n"/>
      <c r="O103" s="4" t="n"/>
      <c r="P103" s="16" t="n"/>
      <c r="Q103" s="4" t="n"/>
      <c r="R103" s="16" t="n"/>
      <c r="S103" s="20">
        <f>IF(OR(N103="",P103="",R103=""),"",(--TRIM(LEFT(N103,2)))*(--TRIM(LEFT(P103,2)))*(--TRIM(LEFT(R103,2))))</f>
        <v/>
      </c>
      <c r="T103" s="20">
        <f>IF(OR(N103="",P103="",R103=""),"",INDEX(APGrid,COUNTIF(APS,"&gt;"&amp;(--TRIM(LEFT(N103,2))))*5+COUNTIF(APO,"&gt;"&amp;(--TRIM(LEFT(P103,2))))+1,COUNTIF(APD,"&gt;"&amp;(--TRIM(LEFT(R103,2))))+1))</f>
        <v/>
      </c>
      <c r="U103" s="20">
        <f>IF(S103="","",IF(OR((--TRIM(LEFT(N103,2)))&gt;=SThr,S103&gt;=RPNThr,T103="H"),"Yes","No"))</f>
        <v/>
      </c>
      <c r="V103" s="4" t="n"/>
      <c r="W103" s="4" t="n"/>
      <c r="X103" s="4" t="n"/>
      <c r="Y103" s="29" t="n"/>
      <c r="Z103" s="16" t="n"/>
      <c r="AA103" s="16" t="n"/>
      <c r="AB103" s="16" t="n"/>
      <c r="AC103" s="20">
        <f>IF(OR(Z103="",AA103="",AB103=""),"",(--TRIM(LEFT(Z103,2)))*(--TRIM(LEFT(AA103,2)))*(--TRIM(LEFT(AB103,2))))</f>
        <v/>
      </c>
      <c r="AD103" s="20">
        <f>IF(OR(Z103="",AA103="",AB103=""),"",INDEX(APGrid,COUNTIF(APS,"&gt;"&amp;(--TRIM(LEFT(Z103,2))))*5+COUNTIF(APO,"&gt;"&amp;(--TRIM(LEFT(AA103,2))))+1,COUNTIF(APD,"&gt;"&amp;(--TRIM(LEFT(AB103,2))))+1))</f>
        <v/>
      </c>
      <c r="AE103" s="4" t="n"/>
      <c r="AF103" s="4" t="n"/>
      <c r="AH103">
        <f>IFERROR(INDEX(EqTag,_xlfn.AGGREGATE(15,6,(ROW(EqTag)-4)/((EqSys=$D$3)*(EqTag&lt;&gt;"")),ROWS($AH$14:AH103))),"")</f>
        <v/>
      </c>
    </row>
    <row r="104">
      <c r="A104" s="20">
        <f>IF(F104="","",LEFT($D$3,3)&amp;"-"&amp;TEXT(COUNTIF(F$14:F104,"?*"),"00"))</f>
        <v/>
      </c>
      <c r="B104" s="4" t="n"/>
      <c r="C104" s="5">
        <f>IF(B104="","",IFERROR(INDEX(EqTypeCol,MATCH(B104,EqTag,0)),"Tag not in register"))</f>
        <v/>
      </c>
      <c r="D104" s="4" t="n"/>
      <c r="E104" s="4" t="n"/>
      <c r="F104" s="4" t="n"/>
      <c r="G104" s="4" t="n"/>
      <c r="H104" s="4" t="n"/>
      <c r="I104" s="4" t="n"/>
      <c r="J104" s="5">
        <f>_xlfn.TEXTJOIN(CHAR(10),TRUE,IF(G104="","","• "&amp;G104),IF(H104="","","• "&amp;H104),IF(I104="","","• "&amp;I104))</f>
        <v/>
      </c>
      <c r="K104" s="4" t="n"/>
      <c r="L104" s="4" t="n"/>
      <c r="M104" s="4" t="n"/>
      <c r="N104" s="16" t="n"/>
      <c r="O104" s="4" t="n"/>
      <c r="P104" s="16" t="n"/>
      <c r="Q104" s="4" t="n"/>
      <c r="R104" s="16" t="n"/>
      <c r="S104" s="20">
        <f>IF(OR(N104="",P104="",R104=""),"",(--TRIM(LEFT(N104,2)))*(--TRIM(LEFT(P104,2)))*(--TRIM(LEFT(R104,2))))</f>
        <v/>
      </c>
      <c r="T104" s="20">
        <f>IF(OR(N104="",P104="",R104=""),"",INDEX(APGrid,COUNTIF(APS,"&gt;"&amp;(--TRIM(LEFT(N104,2))))*5+COUNTIF(APO,"&gt;"&amp;(--TRIM(LEFT(P104,2))))+1,COUNTIF(APD,"&gt;"&amp;(--TRIM(LEFT(R104,2))))+1))</f>
        <v/>
      </c>
      <c r="U104" s="20">
        <f>IF(S104="","",IF(OR((--TRIM(LEFT(N104,2)))&gt;=SThr,S104&gt;=RPNThr,T104="H"),"Yes","No"))</f>
        <v/>
      </c>
      <c r="V104" s="4" t="n"/>
      <c r="W104" s="4" t="n"/>
      <c r="X104" s="4" t="n"/>
      <c r="Y104" s="29" t="n"/>
      <c r="Z104" s="16" t="n"/>
      <c r="AA104" s="16" t="n"/>
      <c r="AB104" s="16" t="n"/>
      <c r="AC104" s="20">
        <f>IF(OR(Z104="",AA104="",AB104=""),"",(--TRIM(LEFT(Z104,2)))*(--TRIM(LEFT(AA104,2)))*(--TRIM(LEFT(AB104,2))))</f>
        <v/>
      </c>
      <c r="AD104" s="20">
        <f>IF(OR(Z104="",AA104="",AB104=""),"",INDEX(APGrid,COUNTIF(APS,"&gt;"&amp;(--TRIM(LEFT(Z104,2))))*5+COUNTIF(APO,"&gt;"&amp;(--TRIM(LEFT(AA104,2))))+1,COUNTIF(APD,"&gt;"&amp;(--TRIM(LEFT(AB104,2))))+1))</f>
        <v/>
      </c>
      <c r="AE104" s="4" t="n"/>
      <c r="AF104" s="4" t="n"/>
      <c r="AH104">
        <f>IFERROR(INDEX(EqTag,_xlfn.AGGREGATE(15,6,(ROW(EqTag)-4)/((EqSys=$D$3)*(EqTag&lt;&gt;"")),ROWS($AH$14:AH104))),"")</f>
        <v/>
      </c>
    </row>
    <row r="105">
      <c r="A105" s="20">
        <f>IF(F105="","",LEFT($D$3,3)&amp;"-"&amp;TEXT(COUNTIF(F$14:F105,"?*"),"00"))</f>
        <v/>
      </c>
      <c r="B105" s="4" t="n"/>
      <c r="C105" s="5">
        <f>IF(B105="","",IFERROR(INDEX(EqTypeCol,MATCH(B105,EqTag,0)),"Tag not in register"))</f>
        <v/>
      </c>
      <c r="D105" s="4" t="n"/>
      <c r="E105" s="4" t="n"/>
      <c r="F105" s="4" t="n"/>
      <c r="G105" s="4" t="n"/>
      <c r="H105" s="4" t="n"/>
      <c r="I105" s="4" t="n"/>
      <c r="J105" s="5">
        <f>_xlfn.TEXTJOIN(CHAR(10),TRUE,IF(G105="","","• "&amp;G105),IF(H105="","","• "&amp;H105),IF(I105="","","• "&amp;I105))</f>
        <v/>
      </c>
      <c r="K105" s="4" t="n"/>
      <c r="L105" s="4" t="n"/>
      <c r="M105" s="4" t="n"/>
      <c r="N105" s="16" t="n"/>
      <c r="O105" s="4" t="n"/>
      <c r="P105" s="16" t="n"/>
      <c r="Q105" s="4" t="n"/>
      <c r="R105" s="16" t="n"/>
      <c r="S105" s="20">
        <f>IF(OR(N105="",P105="",R105=""),"",(--TRIM(LEFT(N105,2)))*(--TRIM(LEFT(P105,2)))*(--TRIM(LEFT(R105,2))))</f>
        <v/>
      </c>
      <c r="T105" s="20">
        <f>IF(OR(N105="",P105="",R105=""),"",INDEX(APGrid,COUNTIF(APS,"&gt;"&amp;(--TRIM(LEFT(N105,2))))*5+COUNTIF(APO,"&gt;"&amp;(--TRIM(LEFT(P105,2))))+1,COUNTIF(APD,"&gt;"&amp;(--TRIM(LEFT(R105,2))))+1))</f>
        <v/>
      </c>
      <c r="U105" s="20">
        <f>IF(S105="","",IF(OR((--TRIM(LEFT(N105,2)))&gt;=SThr,S105&gt;=RPNThr,T105="H"),"Yes","No"))</f>
        <v/>
      </c>
      <c r="V105" s="4" t="n"/>
      <c r="W105" s="4" t="n"/>
      <c r="X105" s="4" t="n"/>
      <c r="Y105" s="29" t="n"/>
      <c r="Z105" s="16" t="n"/>
      <c r="AA105" s="16" t="n"/>
      <c r="AB105" s="16" t="n"/>
      <c r="AC105" s="20">
        <f>IF(OR(Z105="",AA105="",AB105=""),"",(--TRIM(LEFT(Z105,2)))*(--TRIM(LEFT(AA105,2)))*(--TRIM(LEFT(AB105,2))))</f>
        <v/>
      </c>
      <c r="AD105" s="20">
        <f>IF(OR(Z105="",AA105="",AB105=""),"",INDEX(APGrid,COUNTIF(APS,"&gt;"&amp;(--TRIM(LEFT(Z105,2))))*5+COUNTIF(APO,"&gt;"&amp;(--TRIM(LEFT(AA105,2))))+1,COUNTIF(APD,"&gt;"&amp;(--TRIM(LEFT(AB105,2))))+1))</f>
        <v/>
      </c>
      <c r="AE105" s="4" t="n"/>
      <c r="AF105" s="4" t="n"/>
      <c r="AH105">
        <f>IFERROR(INDEX(EqTag,_xlfn.AGGREGATE(15,6,(ROW(EqTag)-4)/((EqSys=$D$3)*(EqTag&lt;&gt;"")),ROWS($AH$14:AH105))),"")</f>
        <v/>
      </c>
    </row>
    <row r="106">
      <c r="A106" s="20">
        <f>IF(F106="","",LEFT($D$3,3)&amp;"-"&amp;TEXT(COUNTIF(F$14:F106,"?*"),"00"))</f>
        <v/>
      </c>
      <c r="B106" s="4" t="n"/>
      <c r="C106" s="5">
        <f>IF(B106="","",IFERROR(INDEX(EqTypeCol,MATCH(B106,EqTag,0)),"Tag not in register"))</f>
        <v/>
      </c>
      <c r="D106" s="4" t="n"/>
      <c r="E106" s="4" t="n"/>
      <c r="F106" s="4" t="n"/>
      <c r="G106" s="4" t="n"/>
      <c r="H106" s="4" t="n"/>
      <c r="I106" s="4" t="n"/>
      <c r="J106" s="5">
        <f>_xlfn.TEXTJOIN(CHAR(10),TRUE,IF(G106="","","• "&amp;G106),IF(H106="","","• "&amp;H106),IF(I106="","","• "&amp;I106))</f>
        <v/>
      </c>
      <c r="K106" s="4" t="n"/>
      <c r="L106" s="4" t="n"/>
      <c r="M106" s="4" t="n"/>
      <c r="N106" s="16" t="n"/>
      <c r="O106" s="4" t="n"/>
      <c r="P106" s="16" t="n"/>
      <c r="Q106" s="4" t="n"/>
      <c r="R106" s="16" t="n"/>
      <c r="S106" s="20">
        <f>IF(OR(N106="",P106="",R106=""),"",(--TRIM(LEFT(N106,2)))*(--TRIM(LEFT(P106,2)))*(--TRIM(LEFT(R106,2))))</f>
        <v/>
      </c>
      <c r="T106" s="20">
        <f>IF(OR(N106="",P106="",R106=""),"",INDEX(APGrid,COUNTIF(APS,"&gt;"&amp;(--TRIM(LEFT(N106,2))))*5+COUNTIF(APO,"&gt;"&amp;(--TRIM(LEFT(P106,2))))+1,COUNTIF(APD,"&gt;"&amp;(--TRIM(LEFT(R106,2))))+1))</f>
        <v/>
      </c>
      <c r="U106" s="20">
        <f>IF(S106="","",IF(OR((--TRIM(LEFT(N106,2)))&gt;=SThr,S106&gt;=RPNThr,T106="H"),"Yes","No"))</f>
        <v/>
      </c>
      <c r="V106" s="4" t="n"/>
      <c r="W106" s="4" t="n"/>
      <c r="X106" s="4" t="n"/>
      <c r="Y106" s="29" t="n"/>
      <c r="Z106" s="16" t="n"/>
      <c r="AA106" s="16" t="n"/>
      <c r="AB106" s="16" t="n"/>
      <c r="AC106" s="20">
        <f>IF(OR(Z106="",AA106="",AB106=""),"",(--TRIM(LEFT(Z106,2)))*(--TRIM(LEFT(AA106,2)))*(--TRIM(LEFT(AB106,2))))</f>
        <v/>
      </c>
      <c r="AD106" s="20">
        <f>IF(OR(Z106="",AA106="",AB106=""),"",INDEX(APGrid,COUNTIF(APS,"&gt;"&amp;(--TRIM(LEFT(Z106,2))))*5+COUNTIF(APO,"&gt;"&amp;(--TRIM(LEFT(AA106,2))))+1,COUNTIF(APD,"&gt;"&amp;(--TRIM(LEFT(AB106,2))))+1))</f>
        <v/>
      </c>
      <c r="AE106" s="4" t="n"/>
      <c r="AF106" s="4" t="n"/>
      <c r="AH106">
        <f>IFERROR(INDEX(EqTag,_xlfn.AGGREGATE(15,6,(ROW(EqTag)-4)/((EqSys=$D$3)*(EqTag&lt;&gt;"")),ROWS($AH$14:AH106))),"")</f>
        <v/>
      </c>
    </row>
    <row r="107">
      <c r="A107" s="20">
        <f>IF(F107="","",LEFT($D$3,3)&amp;"-"&amp;TEXT(COUNTIF(F$14:F107,"?*"),"00"))</f>
        <v/>
      </c>
      <c r="B107" s="4" t="n"/>
      <c r="C107" s="5">
        <f>IF(B107="","",IFERROR(INDEX(EqTypeCol,MATCH(B107,EqTag,0)),"Tag not in register"))</f>
        <v/>
      </c>
      <c r="D107" s="4" t="n"/>
      <c r="E107" s="4" t="n"/>
      <c r="F107" s="4" t="n"/>
      <c r="G107" s="4" t="n"/>
      <c r="H107" s="4" t="n"/>
      <c r="I107" s="4" t="n"/>
      <c r="J107" s="5">
        <f>_xlfn.TEXTJOIN(CHAR(10),TRUE,IF(G107="","","• "&amp;G107),IF(H107="","","• "&amp;H107),IF(I107="","","• "&amp;I107))</f>
        <v/>
      </c>
      <c r="K107" s="4" t="n"/>
      <c r="L107" s="4" t="n"/>
      <c r="M107" s="4" t="n"/>
      <c r="N107" s="16" t="n"/>
      <c r="O107" s="4" t="n"/>
      <c r="P107" s="16" t="n"/>
      <c r="Q107" s="4" t="n"/>
      <c r="R107" s="16" t="n"/>
      <c r="S107" s="20">
        <f>IF(OR(N107="",P107="",R107=""),"",(--TRIM(LEFT(N107,2)))*(--TRIM(LEFT(P107,2)))*(--TRIM(LEFT(R107,2))))</f>
        <v/>
      </c>
      <c r="T107" s="20">
        <f>IF(OR(N107="",P107="",R107=""),"",INDEX(APGrid,COUNTIF(APS,"&gt;"&amp;(--TRIM(LEFT(N107,2))))*5+COUNTIF(APO,"&gt;"&amp;(--TRIM(LEFT(P107,2))))+1,COUNTIF(APD,"&gt;"&amp;(--TRIM(LEFT(R107,2))))+1))</f>
        <v/>
      </c>
      <c r="U107" s="20">
        <f>IF(S107="","",IF(OR((--TRIM(LEFT(N107,2)))&gt;=SThr,S107&gt;=RPNThr,T107="H"),"Yes","No"))</f>
        <v/>
      </c>
      <c r="V107" s="4" t="n"/>
      <c r="W107" s="4" t="n"/>
      <c r="X107" s="4" t="n"/>
      <c r="Y107" s="29" t="n"/>
      <c r="Z107" s="16" t="n"/>
      <c r="AA107" s="16" t="n"/>
      <c r="AB107" s="16" t="n"/>
      <c r="AC107" s="20">
        <f>IF(OR(Z107="",AA107="",AB107=""),"",(--TRIM(LEFT(Z107,2)))*(--TRIM(LEFT(AA107,2)))*(--TRIM(LEFT(AB107,2))))</f>
        <v/>
      </c>
      <c r="AD107" s="20">
        <f>IF(OR(Z107="",AA107="",AB107=""),"",INDEX(APGrid,COUNTIF(APS,"&gt;"&amp;(--TRIM(LEFT(Z107,2))))*5+COUNTIF(APO,"&gt;"&amp;(--TRIM(LEFT(AA107,2))))+1,COUNTIF(APD,"&gt;"&amp;(--TRIM(LEFT(AB107,2))))+1))</f>
        <v/>
      </c>
      <c r="AE107" s="4" t="n"/>
      <c r="AF107" s="4" t="n"/>
      <c r="AH107">
        <f>IFERROR(INDEX(EqTag,_xlfn.AGGREGATE(15,6,(ROW(EqTag)-4)/((EqSys=$D$3)*(EqTag&lt;&gt;"")),ROWS($AH$14:AH107))),"")</f>
        <v/>
      </c>
    </row>
    <row r="108">
      <c r="A108" s="20">
        <f>IF(F108="","",LEFT($D$3,3)&amp;"-"&amp;TEXT(COUNTIF(F$14:F108,"?*"),"00"))</f>
        <v/>
      </c>
      <c r="B108" s="4" t="n"/>
      <c r="C108" s="5">
        <f>IF(B108="","",IFERROR(INDEX(EqTypeCol,MATCH(B108,EqTag,0)),"Tag not in register"))</f>
        <v/>
      </c>
      <c r="D108" s="4" t="n"/>
      <c r="E108" s="4" t="n"/>
      <c r="F108" s="4" t="n"/>
      <c r="G108" s="4" t="n"/>
      <c r="H108" s="4" t="n"/>
      <c r="I108" s="4" t="n"/>
      <c r="J108" s="5">
        <f>_xlfn.TEXTJOIN(CHAR(10),TRUE,IF(G108="","","• "&amp;G108),IF(H108="","","• "&amp;H108),IF(I108="","","• "&amp;I108))</f>
        <v/>
      </c>
      <c r="K108" s="4" t="n"/>
      <c r="L108" s="4" t="n"/>
      <c r="M108" s="4" t="n"/>
      <c r="N108" s="16" t="n"/>
      <c r="O108" s="4" t="n"/>
      <c r="P108" s="16" t="n"/>
      <c r="Q108" s="4" t="n"/>
      <c r="R108" s="16" t="n"/>
      <c r="S108" s="20">
        <f>IF(OR(N108="",P108="",R108=""),"",(--TRIM(LEFT(N108,2)))*(--TRIM(LEFT(P108,2)))*(--TRIM(LEFT(R108,2))))</f>
        <v/>
      </c>
      <c r="T108" s="20">
        <f>IF(OR(N108="",P108="",R108=""),"",INDEX(APGrid,COUNTIF(APS,"&gt;"&amp;(--TRIM(LEFT(N108,2))))*5+COUNTIF(APO,"&gt;"&amp;(--TRIM(LEFT(P108,2))))+1,COUNTIF(APD,"&gt;"&amp;(--TRIM(LEFT(R108,2))))+1))</f>
        <v/>
      </c>
      <c r="U108" s="20">
        <f>IF(S108="","",IF(OR((--TRIM(LEFT(N108,2)))&gt;=SThr,S108&gt;=RPNThr,T108="H"),"Yes","No"))</f>
        <v/>
      </c>
      <c r="V108" s="4" t="n"/>
      <c r="W108" s="4" t="n"/>
      <c r="X108" s="4" t="n"/>
      <c r="Y108" s="29" t="n"/>
      <c r="Z108" s="16" t="n"/>
      <c r="AA108" s="16" t="n"/>
      <c r="AB108" s="16" t="n"/>
      <c r="AC108" s="20">
        <f>IF(OR(Z108="",AA108="",AB108=""),"",(--TRIM(LEFT(Z108,2)))*(--TRIM(LEFT(AA108,2)))*(--TRIM(LEFT(AB108,2))))</f>
        <v/>
      </c>
      <c r="AD108" s="20">
        <f>IF(OR(Z108="",AA108="",AB108=""),"",INDEX(APGrid,COUNTIF(APS,"&gt;"&amp;(--TRIM(LEFT(Z108,2))))*5+COUNTIF(APO,"&gt;"&amp;(--TRIM(LEFT(AA108,2))))+1,COUNTIF(APD,"&gt;"&amp;(--TRIM(LEFT(AB108,2))))+1))</f>
        <v/>
      </c>
      <c r="AE108" s="4" t="n"/>
      <c r="AF108" s="4" t="n"/>
      <c r="AH108">
        <f>IFERROR(INDEX(EqTag,_xlfn.AGGREGATE(15,6,(ROW(EqTag)-4)/((EqSys=$D$3)*(EqTag&lt;&gt;"")),ROWS($AH$14:AH108))),"")</f>
        <v/>
      </c>
    </row>
    <row r="109">
      <c r="A109" s="20">
        <f>IF(F109="","",LEFT($D$3,3)&amp;"-"&amp;TEXT(COUNTIF(F$14:F109,"?*"),"00"))</f>
        <v/>
      </c>
      <c r="B109" s="4" t="n"/>
      <c r="C109" s="5">
        <f>IF(B109="","",IFERROR(INDEX(EqTypeCol,MATCH(B109,EqTag,0)),"Tag not in register"))</f>
        <v/>
      </c>
      <c r="D109" s="4" t="n"/>
      <c r="E109" s="4" t="n"/>
      <c r="F109" s="4" t="n"/>
      <c r="G109" s="4" t="n"/>
      <c r="H109" s="4" t="n"/>
      <c r="I109" s="4" t="n"/>
      <c r="J109" s="5">
        <f>_xlfn.TEXTJOIN(CHAR(10),TRUE,IF(G109="","","• "&amp;G109),IF(H109="","","• "&amp;H109),IF(I109="","","• "&amp;I109))</f>
        <v/>
      </c>
      <c r="K109" s="4" t="n"/>
      <c r="L109" s="4" t="n"/>
      <c r="M109" s="4" t="n"/>
      <c r="N109" s="16" t="n"/>
      <c r="O109" s="4" t="n"/>
      <c r="P109" s="16" t="n"/>
      <c r="Q109" s="4" t="n"/>
      <c r="R109" s="16" t="n"/>
      <c r="S109" s="20">
        <f>IF(OR(N109="",P109="",R109=""),"",(--TRIM(LEFT(N109,2)))*(--TRIM(LEFT(P109,2)))*(--TRIM(LEFT(R109,2))))</f>
        <v/>
      </c>
      <c r="T109" s="20">
        <f>IF(OR(N109="",P109="",R109=""),"",INDEX(APGrid,COUNTIF(APS,"&gt;"&amp;(--TRIM(LEFT(N109,2))))*5+COUNTIF(APO,"&gt;"&amp;(--TRIM(LEFT(P109,2))))+1,COUNTIF(APD,"&gt;"&amp;(--TRIM(LEFT(R109,2))))+1))</f>
        <v/>
      </c>
      <c r="U109" s="20">
        <f>IF(S109="","",IF(OR((--TRIM(LEFT(N109,2)))&gt;=SThr,S109&gt;=RPNThr,T109="H"),"Yes","No"))</f>
        <v/>
      </c>
      <c r="V109" s="4" t="n"/>
      <c r="W109" s="4" t="n"/>
      <c r="X109" s="4" t="n"/>
      <c r="Y109" s="29" t="n"/>
      <c r="Z109" s="16" t="n"/>
      <c r="AA109" s="16" t="n"/>
      <c r="AB109" s="16" t="n"/>
      <c r="AC109" s="20">
        <f>IF(OR(Z109="",AA109="",AB109=""),"",(--TRIM(LEFT(Z109,2)))*(--TRIM(LEFT(AA109,2)))*(--TRIM(LEFT(AB109,2))))</f>
        <v/>
      </c>
      <c r="AD109" s="20">
        <f>IF(OR(Z109="",AA109="",AB109=""),"",INDEX(APGrid,COUNTIF(APS,"&gt;"&amp;(--TRIM(LEFT(Z109,2))))*5+COUNTIF(APO,"&gt;"&amp;(--TRIM(LEFT(AA109,2))))+1,COUNTIF(APD,"&gt;"&amp;(--TRIM(LEFT(AB109,2))))+1))</f>
        <v/>
      </c>
      <c r="AE109" s="4" t="n"/>
      <c r="AF109" s="4" t="n"/>
      <c r="AH109">
        <f>IFERROR(INDEX(EqTag,_xlfn.AGGREGATE(15,6,(ROW(EqTag)-4)/((EqSys=$D$3)*(EqTag&lt;&gt;"")),ROWS($AH$14:AH109))),"")</f>
        <v/>
      </c>
    </row>
    <row r="110">
      <c r="A110" s="20">
        <f>IF(F110="","",LEFT($D$3,3)&amp;"-"&amp;TEXT(COUNTIF(F$14:F110,"?*"),"00"))</f>
        <v/>
      </c>
      <c r="B110" s="4" t="n"/>
      <c r="C110" s="5">
        <f>IF(B110="","",IFERROR(INDEX(EqTypeCol,MATCH(B110,EqTag,0)),"Tag not in register"))</f>
        <v/>
      </c>
      <c r="D110" s="4" t="n"/>
      <c r="E110" s="4" t="n"/>
      <c r="F110" s="4" t="n"/>
      <c r="G110" s="4" t="n"/>
      <c r="H110" s="4" t="n"/>
      <c r="I110" s="4" t="n"/>
      <c r="J110" s="5">
        <f>_xlfn.TEXTJOIN(CHAR(10),TRUE,IF(G110="","","• "&amp;G110),IF(H110="","","• "&amp;H110),IF(I110="","","• "&amp;I110))</f>
        <v/>
      </c>
      <c r="K110" s="4" t="n"/>
      <c r="L110" s="4" t="n"/>
      <c r="M110" s="4" t="n"/>
      <c r="N110" s="16" t="n"/>
      <c r="O110" s="4" t="n"/>
      <c r="P110" s="16" t="n"/>
      <c r="Q110" s="4" t="n"/>
      <c r="R110" s="16" t="n"/>
      <c r="S110" s="20">
        <f>IF(OR(N110="",P110="",R110=""),"",(--TRIM(LEFT(N110,2)))*(--TRIM(LEFT(P110,2)))*(--TRIM(LEFT(R110,2))))</f>
        <v/>
      </c>
      <c r="T110" s="20">
        <f>IF(OR(N110="",P110="",R110=""),"",INDEX(APGrid,COUNTIF(APS,"&gt;"&amp;(--TRIM(LEFT(N110,2))))*5+COUNTIF(APO,"&gt;"&amp;(--TRIM(LEFT(P110,2))))+1,COUNTIF(APD,"&gt;"&amp;(--TRIM(LEFT(R110,2))))+1))</f>
        <v/>
      </c>
      <c r="U110" s="20">
        <f>IF(S110="","",IF(OR((--TRIM(LEFT(N110,2)))&gt;=SThr,S110&gt;=RPNThr,T110="H"),"Yes","No"))</f>
        <v/>
      </c>
      <c r="V110" s="4" t="n"/>
      <c r="W110" s="4" t="n"/>
      <c r="X110" s="4" t="n"/>
      <c r="Y110" s="29" t="n"/>
      <c r="Z110" s="16" t="n"/>
      <c r="AA110" s="16" t="n"/>
      <c r="AB110" s="16" t="n"/>
      <c r="AC110" s="20">
        <f>IF(OR(Z110="",AA110="",AB110=""),"",(--TRIM(LEFT(Z110,2)))*(--TRIM(LEFT(AA110,2)))*(--TRIM(LEFT(AB110,2))))</f>
        <v/>
      </c>
      <c r="AD110" s="20">
        <f>IF(OR(Z110="",AA110="",AB110=""),"",INDEX(APGrid,COUNTIF(APS,"&gt;"&amp;(--TRIM(LEFT(Z110,2))))*5+COUNTIF(APO,"&gt;"&amp;(--TRIM(LEFT(AA110,2))))+1,COUNTIF(APD,"&gt;"&amp;(--TRIM(LEFT(AB110,2))))+1))</f>
        <v/>
      </c>
      <c r="AE110" s="4" t="n"/>
      <c r="AF110" s="4" t="n"/>
      <c r="AH110">
        <f>IFERROR(INDEX(EqTag,_xlfn.AGGREGATE(15,6,(ROW(EqTag)-4)/((EqSys=$D$3)*(EqTag&lt;&gt;"")),ROWS($AH$14:AH110))),"")</f>
        <v/>
      </c>
    </row>
    <row r="111">
      <c r="A111" s="20">
        <f>IF(F111="","",LEFT($D$3,3)&amp;"-"&amp;TEXT(COUNTIF(F$14:F111,"?*"),"00"))</f>
        <v/>
      </c>
      <c r="B111" s="4" t="n"/>
      <c r="C111" s="5">
        <f>IF(B111="","",IFERROR(INDEX(EqTypeCol,MATCH(B111,EqTag,0)),"Tag not in register"))</f>
        <v/>
      </c>
      <c r="D111" s="4" t="n"/>
      <c r="E111" s="4" t="n"/>
      <c r="F111" s="4" t="n"/>
      <c r="G111" s="4" t="n"/>
      <c r="H111" s="4" t="n"/>
      <c r="I111" s="4" t="n"/>
      <c r="J111" s="5">
        <f>_xlfn.TEXTJOIN(CHAR(10),TRUE,IF(G111="","","• "&amp;G111),IF(H111="","","• "&amp;H111),IF(I111="","","• "&amp;I111))</f>
        <v/>
      </c>
      <c r="K111" s="4" t="n"/>
      <c r="L111" s="4" t="n"/>
      <c r="M111" s="4" t="n"/>
      <c r="N111" s="16" t="n"/>
      <c r="O111" s="4" t="n"/>
      <c r="P111" s="16" t="n"/>
      <c r="Q111" s="4" t="n"/>
      <c r="R111" s="16" t="n"/>
      <c r="S111" s="20">
        <f>IF(OR(N111="",P111="",R111=""),"",(--TRIM(LEFT(N111,2)))*(--TRIM(LEFT(P111,2)))*(--TRIM(LEFT(R111,2))))</f>
        <v/>
      </c>
      <c r="T111" s="20">
        <f>IF(OR(N111="",P111="",R111=""),"",INDEX(APGrid,COUNTIF(APS,"&gt;"&amp;(--TRIM(LEFT(N111,2))))*5+COUNTIF(APO,"&gt;"&amp;(--TRIM(LEFT(P111,2))))+1,COUNTIF(APD,"&gt;"&amp;(--TRIM(LEFT(R111,2))))+1))</f>
        <v/>
      </c>
      <c r="U111" s="20">
        <f>IF(S111="","",IF(OR((--TRIM(LEFT(N111,2)))&gt;=SThr,S111&gt;=RPNThr,T111="H"),"Yes","No"))</f>
        <v/>
      </c>
      <c r="V111" s="4" t="n"/>
      <c r="W111" s="4" t="n"/>
      <c r="X111" s="4" t="n"/>
      <c r="Y111" s="29" t="n"/>
      <c r="Z111" s="16" t="n"/>
      <c r="AA111" s="16" t="n"/>
      <c r="AB111" s="16" t="n"/>
      <c r="AC111" s="20">
        <f>IF(OR(Z111="",AA111="",AB111=""),"",(--TRIM(LEFT(Z111,2)))*(--TRIM(LEFT(AA111,2)))*(--TRIM(LEFT(AB111,2))))</f>
        <v/>
      </c>
      <c r="AD111" s="20">
        <f>IF(OR(Z111="",AA111="",AB111=""),"",INDEX(APGrid,COUNTIF(APS,"&gt;"&amp;(--TRIM(LEFT(Z111,2))))*5+COUNTIF(APO,"&gt;"&amp;(--TRIM(LEFT(AA111,2))))+1,COUNTIF(APD,"&gt;"&amp;(--TRIM(LEFT(AB111,2))))+1))</f>
        <v/>
      </c>
      <c r="AE111" s="4" t="n"/>
      <c r="AF111" s="4" t="n"/>
      <c r="AH111">
        <f>IFERROR(INDEX(EqTag,_xlfn.AGGREGATE(15,6,(ROW(EqTag)-4)/((EqSys=$D$3)*(EqTag&lt;&gt;"")),ROWS($AH$14:AH111))),"")</f>
        <v/>
      </c>
    </row>
    <row r="112">
      <c r="A112" s="20">
        <f>IF(F112="","",LEFT($D$3,3)&amp;"-"&amp;TEXT(COUNTIF(F$14:F112,"?*"),"00"))</f>
        <v/>
      </c>
      <c r="B112" s="4" t="n"/>
      <c r="C112" s="5">
        <f>IF(B112="","",IFERROR(INDEX(EqTypeCol,MATCH(B112,EqTag,0)),"Tag not in register"))</f>
        <v/>
      </c>
      <c r="D112" s="4" t="n"/>
      <c r="E112" s="4" t="n"/>
      <c r="F112" s="4" t="n"/>
      <c r="G112" s="4" t="n"/>
      <c r="H112" s="4" t="n"/>
      <c r="I112" s="4" t="n"/>
      <c r="J112" s="5">
        <f>_xlfn.TEXTJOIN(CHAR(10),TRUE,IF(G112="","","• "&amp;G112),IF(H112="","","• "&amp;H112),IF(I112="","","• "&amp;I112))</f>
        <v/>
      </c>
      <c r="K112" s="4" t="n"/>
      <c r="L112" s="4" t="n"/>
      <c r="M112" s="4" t="n"/>
      <c r="N112" s="16" t="n"/>
      <c r="O112" s="4" t="n"/>
      <c r="P112" s="16" t="n"/>
      <c r="Q112" s="4" t="n"/>
      <c r="R112" s="16" t="n"/>
      <c r="S112" s="20">
        <f>IF(OR(N112="",P112="",R112=""),"",(--TRIM(LEFT(N112,2)))*(--TRIM(LEFT(P112,2)))*(--TRIM(LEFT(R112,2))))</f>
        <v/>
      </c>
      <c r="T112" s="20">
        <f>IF(OR(N112="",P112="",R112=""),"",INDEX(APGrid,COUNTIF(APS,"&gt;"&amp;(--TRIM(LEFT(N112,2))))*5+COUNTIF(APO,"&gt;"&amp;(--TRIM(LEFT(P112,2))))+1,COUNTIF(APD,"&gt;"&amp;(--TRIM(LEFT(R112,2))))+1))</f>
        <v/>
      </c>
      <c r="U112" s="20">
        <f>IF(S112="","",IF(OR((--TRIM(LEFT(N112,2)))&gt;=SThr,S112&gt;=RPNThr,T112="H"),"Yes","No"))</f>
        <v/>
      </c>
      <c r="V112" s="4" t="n"/>
      <c r="W112" s="4" t="n"/>
      <c r="X112" s="4" t="n"/>
      <c r="Y112" s="29" t="n"/>
      <c r="Z112" s="16" t="n"/>
      <c r="AA112" s="16" t="n"/>
      <c r="AB112" s="16" t="n"/>
      <c r="AC112" s="20">
        <f>IF(OR(Z112="",AA112="",AB112=""),"",(--TRIM(LEFT(Z112,2)))*(--TRIM(LEFT(AA112,2)))*(--TRIM(LEFT(AB112,2))))</f>
        <v/>
      </c>
      <c r="AD112" s="20">
        <f>IF(OR(Z112="",AA112="",AB112=""),"",INDEX(APGrid,COUNTIF(APS,"&gt;"&amp;(--TRIM(LEFT(Z112,2))))*5+COUNTIF(APO,"&gt;"&amp;(--TRIM(LEFT(AA112,2))))+1,COUNTIF(APD,"&gt;"&amp;(--TRIM(LEFT(AB112,2))))+1))</f>
        <v/>
      </c>
      <c r="AE112" s="4" t="n"/>
      <c r="AF112" s="4" t="n"/>
      <c r="AH112">
        <f>IFERROR(INDEX(EqTag,_xlfn.AGGREGATE(15,6,(ROW(EqTag)-4)/((EqSys=$D$3)*(EqTag&lt;&gt;"")),ROWS($AH$14:AH112))),"")</f>
        <v/>
      </c>
    </row>
    <row r="113">
      <c r="A113" s="20">
        <f>IF(F113="","",LEFT($D$3,3)&amp;"-"&amp;TEXT(COUNTIF(F$14:F113,"?*"),"00"))</f>
        <v/>
      </c>
      <c r="B113" s="4" t="n"/>
      <c r="C113" s="5">
        <f>IF(B113="","",IFERROR(INDEX(EqTypeCol,MATCH(B113,EqTag,0)),"Tag not in register"))</f>
        <v/>
      </c>
      <c r="D113" s="4" t="n"/>
      <c r="E113" s="4" t="n"/>
      <c r="F113" s="4" t="n"/>
      <c r="G113" s="4" t="n"/>
      <c r="H113" s="4" t="n"/>
      <c r="I113" s="4" t="n"/>
      <c r="J113" s="5">
        <f>_xlfn.TEXTJOIN(CHAR(10),TRUE,IF(G113="","","• "&amp;G113),IF(H113="","","• "&amp;H113),IF(I113="","","• "&amp;I113))</f>
        <v/>
      </c>
      <c r="K113" s="4" t="n"/>
      <c r="L113" s="4" t="n"/>
      <c r="M113" s="4" t="n"/>
      <c r="N113" s="16" t="n"/>
      <c r="O113" s="4" t="n"/>
      <c r="P113" s="16" t="n"/>
      <c r="Q113" s="4" t="n"/>
      <c r="R113" s="16" t="n"/>
      <c r="S113" s="20">
        <f>IF(OR(N113="",P113="",R113=""),"",(--TRIM(LEFT(N113,2)))*(--TRIM(LEFT(P113,2)))*(--TRIM(LEFT(R113,2))))</f>
        <v/>
      </c>
      <c r="T113" s="20">
        <f>IF(OR(N113="",P113="",R113=""),"",INDEX(APGrid,COUNTIF(APS,"&gt;"&amp;(--TRIM(LEFT(N113,2))))*5+COUNTIF(APO,"&gt;"&amp;(--TRIM(LEFT(P113,2))))+1,COUNTIF(APD,"&gt;"&amp;(--TRIM(LEFT(R113,2))))+1))</f>
        <v/>
      </c>
      <c r="U113" s="20">
        <f>IF(S113="","",IF(OR((--TRIM(LEFT(N113,2)))&gt;=SThr,S113&gt;=RPNThr,T113="H"),"Yes","No"))</f>
        <v/>
      </c>
      <c r="V113" s="4" t="n"/>
      <c r="W113" s="4" t="n"/>
      <c r="X113" s="4" t="n"/>
      <c r="Y113" s="29" t="n"/>
      <c r="Z113" s="16" t="n"/>
      <c r="AA113" s="16" t="n"/>
      <c r="AB113" s="16" t="n"/>
      <c r="AC113" s="20">
        <f>IF(OR(Z113="",AA113="",AB113=""),"",(--TRIM(LEFT(Z113,2)))*(--TRIM(LEFT(AA113,2)))*(--TRIM(LEFT(AB113,2))))</f>
        <v/>
      </c>
      <c r="AD113" s="20">
        <f>IF(OR(Z113="",AA113="",AB113=""),"",INDEX(APGrid,COUNTIF(APS,"&gt;"&amp;(--TRIM(LEFT(Z113,2))))*5+COUNTIF(APO,"&gt;"&amp;(--TRIM(LEFT(AA113,2))))+1,COUNTIF(APD,"&gt;"&amp;(--TRIM(LEFT(AB113,2))))+1))</f>
        <v/>
      </c>
      <c r="AE113" s="4" t="n"/>
      <c r="AF113" s="4" t="n"/>
      <c r="AH113">
        <f>IFERROR(INDEX(EqTag,_xlfn.AGGREGATE(15,6,(ROW(EqTag)-4)/((EqSys=$D$3)*(EqTag&lt;&gt;"")),ROWS($AH$14:AH113))),"")</f>
        <v/>
      </c>
    </row>
  </sheetData>
  <mergeCells count="23">
    <mergeCell ref="D3:J3"/>
    <mergeCell ref="J12:M12"/>
    <mergeCell ref="A3:C3"/>
    <mergeCell ref="A11:N11"/>
    <mergeCell ref="A12:F12"/>
    <mergeCell ref="L3:M3"/>
    <mergeCell ref="AE12:AF12"/>
    <mergeCell ref="D6:N6"/>
    <mergeCell ref="A5:C5"/>
    <mergeCell ref="N12:U12"/>
    <mergeCell ref="A8:C8"/>
    <mergeCell ref="V12:Y12"/>
    <mergeCell ref="A4:C4"/>
    <mergeCell ref="Z12:AD12"/>
    <mergeCell ref="D7:N7"/>
    <mergeCell ref="A9:C9"/>
    <mergeCell ref="G12:I12"/>
    <mergeCell ref="D4:N4"/>
    <mergeCell ref="D9:N9"/>
    <mergeCell ref="D8:N8"/>
    <mergeCell ref="A6:C6"/>
    <mergeCell ref="D5:N5"/>
    <mergeCell ref="A7:C7"/>
  </mergeCells>
  <conditionalFormatting sqref="T14:T113">
    <cfRule type="expression" priority="1" dxfId="0">
      <formula>T14="H"</formula>
    </cfRule>
    <cfRule type="expression" priority="3" dxfId="1">
      <formula>T14="M"</formula>
    </cfRule>
    <cfRule type="expression" priority="5" dxfId="2">
      <formula>T14="L"</formula>
    </cfRule>
  </conditionalFormatting>
  <conditionalFormatting sqref="AD14:AD113">
    <cfRule type="expression" priority="2" dxfId="0">
      <formula>AD14="H"</formula>
    </cfRule>
    <cfRule type="expression" priority="4" dxfId="1">
      <formula>AD14="M"</formula>
    </cfRule>
    <cfRule type="expression" priority="6" dxfId="2">
      <formula>AD14="L"</formula>
    </cfRule>
  </conditionalFormatting>
  <conditionalFormatting sqref="U14:U113">
    <cfRule type="expression" priority="7" dxfId="3">
      <formula>U14="Yes"</formula>
    </cfRule>
  </conditionalFormatting>
  <conditionalFormatting sqref="S14:S113">
    <cfRule type="expression" priority="8" dxfId="4">
      <formula>AND(ISNUMBER(S14),S14&gt;=RPNThr)</formula>
    </cfRule>
  </conditionalFormatting>
  <conditionalFormatting sqref="AC14:AC113">
    <cfRule type="expression" priority="9" dxfId="4">
      <formula>AND(ISNUMBER(AC14),AC14&gt;=RPNThr)</formula>
    </cfRule>
  </conditionalFormatting>
  <dataValidations count="13">
    <dataValidation sqref="D3" showDropDown="0" showInputMessage="1" showErrorMessage="1" allowBlank="1" promptTitle="Select" prompt="Choose the system analysed on this sheet" type="list">
      <formula1>=SystemList</formula1>
    </dataValidation>
    <dataValidation sqref="B14:B113" showDropDown="0" showInputMessage="1" showErrorMessage="1" allowBlank="1" errorTitle="Not in list" error="Entry is not in the list – it will be accepted as free text." promptTitle="Select" prompt="Equipment tags of the selected system (from the Equipment Register)" type="list" errorStyle="information">
      <formula1>=OFFSET($AH$14,0,0,MAX(1,COUNTIFS(EqSys,$D$3,EqTag,"?*")),1)</formula1>
    </dataValidation>
    <dataValidation sqref="D14:D113" showDropDown="0" showInputMessage="1" showErrorMessage="1" allowBlank="1" errorTitle="Not in list" error="Entry is not in the list – it will be accepted as free text." promptTitle="Select" prompt="Components for this equipment type – or type your own" type="list" errorStyle="information">
      <formula1>=OFFSET(CompStart,MATCH($C14,CompType,0)-1,0,MAX(1,COUNTIF(CompType,$C14)),1)</formula1>
    </dataValidation>
    <dataValidation sqref="F14:F113" showDropDown="0" showInputMessage="1" showErrorMessage="1" allowBlank="1" errorTitle="Not in list" error="Entry is not in the list – it will be accepted as free text." promptTitle="Select" prompt="Failure modes for this equipment type – or type your own" type="list" errorStyle="information">
      <formula1>=OFFSET(FMStart,MATCH($C14,FMType,0)-1,0,MAX(1,COUNTIF(FMType,$C14)),1)</formula1>
    </dataValidation>
    <dataValidation sqref="G14:I113" showDropDown="0" showInputMessage="1" showErrorMessage="1" allowBlank="1" errorTitle="Not in list" error="Entry is not in the list – it will be accepted as free text." promptTitle="Select" prompt="Failure cause / mechanism – or type your own" type="list" errorStyle="information">
      <formula1>=MechList</formula1>
    </dataValidation>
    <dataValidation sqref="Q14:Q113" showDropDown="0" showInputMessage="1" showErrorMessage="1" allowBlank="1" errorTitle="Not in list" error="Entry is not in the list – it will be accepted as free text." promptTitle="Select" prompt="Detection method – or type your own" type="list" errorStyle="information">
      <formula1>=DetList</formula1>
    </dataValidation>
    <dataValidation sqref="W14:W113" showDropDown="0" showInputMessage="0" showErrorMessage="1" allowBlank="1" errorTitle="Not in list" error="Entry is not in the list – it will be accepted as free text." type="list" errorStyle="information">
      <formula1>=TaskList</formula1>
    </dataValidation>
    <dataValidation sqref="N14:N113" showDropDown="0" showInputMessage="0" showErrorMessage="1" allowBlank="1" type="list">
      <formula1>=SevList</formula1>
    </dataValidation>
    <dataValidation sqref="P14:P113" showDropDown="0" showInputMessage="0" showErrorMessage="1" allowBlank="1" type="list">
      <formula1>=OccList</formula1>
    </dataValidation>
    <dataValidation sqref="R14:R113" showDropDown="0" showInputMessage="0" showErrorMessage="1" allowBlank="1" type="list">
      <formula1>=DetScaleList</formula1>
    </dataValidation>
    <dataValidation sqref="Z14:Z113" showDropDown="0" showInputMessage="0" showErrorMessage="1" allowBlank="1" type="list">
      <formula1>=SevList</formula1>
    </dataValidation>
    <dataValidation sqref="AA14:AA113" showDropDown="0" showInputMessage="0" showErrorMessage="1" allowBlank="1" type="list">
      <formula1>=OccList</formula1>
    </dataValidation>
    <dataValidation sqref="AB14:AB113" showDropDown="0" showInputMessage="0" showErrorMessage="1" allowBlank="1" type="list">
      <formula1>=DetScaleList</formula1>
    </dataValidation>
  </dataValidations>
  <pageMargins left="0.75" right="0.75" top="1" bottom="1" header="0.5" footer="0.5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H113"/>
  <sheetViews>
    <sheetView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22" customWidth="1" min="4" max="4"/>
    <col width="26" customWidth="1" min="5" max="5"/>
    <col width="26" customWidth="1" min="6" max="6"/>
    <col outlineLevel="1" width="26" customWidth="1" min="7" max="9"/>
    <col width="38" customWidth="1" min="10" max="10"/>
    <col width="28" customWidth="1" min="11" max="11"/>
    <col width="28" customWidth="1" min="12" max="12"/>
    <col width="32" customWidth="1" min="13" max="13"/>
    <col width="18" customWidth="1" min="14" max="14"/>
    <col width="30" customWidth="1" min="15" max="15"/>
    <col width="18" customWidth="1" min="16" max="16"/>
    <col width="28" customWidth="1" min="17" max="17"/>
    <col width="18" customWidth="1" min="18" max="18"/>
    <col width="7" customWidth="1" min="19" max="19"/>
    <col width="6" customWidth="1" min="20" max="20"/>
    <col width="9" customWidth="1" min="21" max="21"/>
    <col width="34" customWidth="1" min="22" max="22"/>
    <col width="22" customWidth="1" min="23" max="23"/>
    <col width="14" customWidth="1" min="24" max="24"/>
    <col width="12" customWidth="1" min="25" max="25"/>
    <col width="18" customWidth="1" min="26" max="26"/>
    <col width="18" customWidth="1" min="27" max="27"/>
    <col width="18" customWidth="1" min="28" max="28"/>
    <col width="7" customWidth="1" min="29" max="29"/>
    <col width="6" customWidth="1" min="30" max="30"/>
    <col width="12" customWidth="1" min="31" max="31"/>
    <col width="24" customWidth="1" min="32" max="32"/>
    <col hidden="1" width="13" customWidth="1" min="34" max="34"/>
  </cols>
  <sheetData>
    <row r="1">
      <c r="A1" s="22" t="inlineStr">
        <is>
          <t>FMECA WORKSHEET</t>
        </is>
      </c>
      <c r="F1" s="23">
        <f>Cover!B7</f>
        <v/>
      </c>
    </row>
    <row r="3">
      <c r="A3" s="24" t="inlineStr">
        <is>
          <t>Select system ▸</t>
        </is>
      </c>
      <c r="B3" s="8" t="n"/>
      <c r="C3" s="9" t="n"/>
      <c r="D3" s="25" t="n"/>
      <c r="K3" s="24" t="inlineStr">
        <is>
          <t>Session date</t>
        </is>
      </c>
      <c r="L3" s="13" t="n"/>
      <c r="N3" s="24" t="inlineStr">
        <is>
          <t>Equipment items</t>
        </is>
      </c>
      <c r="O3" s="20">
        <f>IF($D$3="","",COUNTIFS(EqSys,$D$3,EqTag,"?*"))</f>
        <v/>
      </c>
    </row>
    <row r="4" ht="16" customHeight="1">
      <c r="A4" s="10" t="inlineStr">
        <is>
          <t>System title</t>
        </is>
      </c>
      <c r="D4" s="6">
        <f>IF($D$3="","",IFERROR(INDEX(Systems!$B$5:$B$34,MATCH($D$3,Systems!$C$5:$C$34,0))&amp;"",""))</f>
        <v/>
      </c>
    </row>
    <row r="5" ht="30" customHeight="1">
      <c r="A5" s="10" t="inlineStr">
        <is>
          <t>Function / performance standard</t>
        </is>
      </c>
      <c r="D5" s="6">
        <f>IF($D$3="","",IFERROR(INDEX(Systems!$D$5:$D$34,MATCH($D$3,Systems!$C$5:$C$34,0))&amp;"",""))</f>
        <v/>
      </c>
    </row>
    <row r="6" ht="30" customHeight="1">
      <c r="A6" s="10" t="inlineStr">
        <is>
          <t>Operating context</t>
        </is>
      </c>
      <c r="D6" s="6">
        <f>IF($D$3="","",IFERROR(INDEX(Systems!$E$5:$E$34,MATCH($D$3,Systems!$C$5:$C$34,0))&amp;"",""))</f>
        <v/>
      </c>
    </row>
    <row r="7" ht="30" customHeight="1">
      <c r="A7" s="10" t="inlineStr">
        <is>
          <t>System boundaries</t>
        </is>
      </c>
      <c r="D7" s="6">
        <f>IF($D$3="","",IFERROR(INDEX(Systems!$F$5:$F$34,MATCH($D$3,Systems!$C$5:$C$34,0))&amp;"",""))</f>
        <v/>
      </c>
    </row>
    <row r="8" ht="16" customHeight="1">
      <c r="A8" s="10" t="inlineStr">
        <is>
          <t>P&amp;IDs / drawings</t>
        </is>
      </c>
      <c r="D8" s="6">
        <f>IF($D$3="","",IFERROR(INDEX(Systems!$G$5:$G$34,MATCH($D$3,Systems!$C$5:$C$34,0))&amp;"",""))</f>
        <v/>
      </c>
    </row>
    <row r="9" ht="16" customHeight="1">
      <c r="A9" s="10" t="inlineStr">
        <is>
          <t>Related HAZOP node(s)</t>
        </is>
      </c>
      <c r="D9" s="6">
        <f>IF($D$3="","",IFERROR(INDEX(Systems!$H$5:$H$34,MATCH($D$3,Systems!$C$5:$C$34,0))&amp;"",""))</f>
        <v/>
      </c>
    </row>
    <row r="11" ht="26" customHeight="1">
      <c r="A11" s="26" t="inlineStr">
        <is>
          <t>ONE ROW PER FAILURE MODE. Pick the equipment tag (tags of the selected system), component and failure mode; pick up to 3 causes (listed line by line in 'Failure causes / mechanisms'). Rate S, O, D – RPN, Action Priority and 'Action required?' are calculated. Rate again after the recommended action. Use the [–] button above the Cause columns to collapse them.</t>
        </is>
      </c>
    </row>
    <row r="12">
      <c r="A12" s="7" t="inlineStr">
        <is>
          <t>ITEM / FAILURE MODE</t>
        </is>
      </c>
      <c r="B12" s="27" t="n"/>
      <c r="C12" s="27" t="n"/>
      <c r="D12" s="27" t="n"/>
      <c r="E12" s="27" t="n"/>
      <c r="F12" s="27" t="n"/>
      <c r="G12" s="7" t="inlineStr">
        <is>
          <t>CAUSE PICK-LIST</t>
        </is>
      </c>
      <c r="H12" s="27" t="n"/>
      <c r="I12" s="27" t="n"/>
      <c r="J12" s="7" t="inlineStr">
        <is>
          <t>CAUSES &amp; EFFECTS</t>
        </is>
      </c>
      <c r="K12" s="27" t="n"/>
      <c r="L12" s="27" t="n"/>
      <c r="M12" s="27" t="n"/>
      <c r="N12" s="7" t="inlineStr">
        <is>
          <t>CRITICALITY – CURRENT</t>
        </is>
      </c>
      <c r="O12" s="27" t="n"/>
      <c r="P12" s="27" t="n"/>
      <c r="Q12" s="27" t="n"/>
      <c r="R12" s="27" t="n"/>
      <c r="S12" s="27" t="n"/>
      <c r="T12" s="27" t="n"/>
      <c r="U12" s="27" t="n"/>
      <c r="V12" s="7" t="inlineStr">
        <is>
          <t>RECOMMENDED ACTIONS</t>
        </is>
      </c>
      <c r="W12" s="27" t="n"/>
      <c r="X12" s="27" t="n"/>
      <c r="Y12" s="27" t="n"/>
      <c r="Z12" s="7" t="inlineStr">
        <is>
          <t>CRITICALITY – AFTER ACTION</t>
        </is>
      </c>
      <c r="AA12" s="27" t="n"/>
      <c r="AB12" s="27" t="n"/>
      <c r="AC12" s="27" t="n"/>
      <c r="AD12" s="27" t="n"/>
      <c r="AE12" s="7" t="inlineStr">
        <is>
          <t>LINKS</t>
        </is>
      </c>
      <c r="AF12" s="27" t="n"/>
    </row>
    <row r="13" ht="42" customHeight="1">
      <c r="A13" s="7" t="inlineStr">
        <is>
          <t>Ref</t>
        </is>
      </c>
      <c r="B13" s="7" t="inlineStr">
        <is>
          <t>Equipment tag</t>
        </is>
      </c>
      <c r="C13" s="7" t="inlineStr">
        <is>
          <t>Equipment type (auto)</t>
        </is>
      </c>
      <c r="D13" s="7" t="inlineStr">
        <is>
          <t>Component / maintainable item</t>
        </is>
      </c>
      <c r="E13" s="7" t="inlineStr">
        <is>
          <t>Function of item</t>
        </is>
      </c>
      <c r="F13" s="7" t="inlineStr">
        <is>
          <t>Failure mode</t>
        </is>
      </c>
      <c r="G13" s="28" t="inlineStr">
        <is>
          <t>Cause 1</t>
        </is>
      </c>
      <c r="H13" s="28" t="inlineStr">
        <is>
          <t>Cause 2</t>
        </is>
      </c>
      <c r="I13" s="28" t="inlineStr">
        <is>
          <t>Cause 3</t>
        </is>
      </c>
      <c r="J13" s="7" t="inlineStr">
        <is>
          <t>Failure causes / mechanisms</t>
        </is>
      </c>
      <c r="K13" s="7" t="inlineStr">
        <is>
          <t>Local effect</t>
        </is>
      </c>
      <c r="L13" s="7" t="inlineStr">
        <is>
          <t>System effect</t>
        </is>
      </c>
      <c r="M13" s="7" t="inlineStr">
        <is>
          <t>End effect (safety / environment / production)</t>
        </is>
      </c>
      <c r="N13" s="7" t="inlineStr">
        <is>
          <t>Severity (S)</t>
        </is>
      </c>
      <c r="O13" s="7" t="inlineStr">
        <is>
          <t>Current prevention controls</t>
        </is>
      </c>
      <c r="P13" s="7" t="inlineStr">
        <is>
          <t>Occurrence (O)</t>
        </is>
      </c>
      <c r="Q13" s="7" t="inlineStr">
        <is>
          <t>Current detection method</t>
        </is>
      </c>
      <c r="R13" s="7" t="inlineStr">
        <is>
          <t>Detection (D)</t>
        </is>
      </c>
      <c r="S13" s="7" t="inlineStr">
        <is>
          <t>RPN</t>
        </is>
      </c>
      <c r="T13" s="7" t="inlineStr">
        <is>
          <t>AP</t>
        </is>
      </c>
      <c r="U13" s="7" t="inlineStr">
        <is>
          <t>Action required?</t>
        </is>
      </c>
      <c r="V13" s="7" t="inlineStr">
        <is>
          <t>Recommended action</t>
        </is>
      </c>
      <c r="W13" s="7" t="inlineStr">
        <is>
          <t>Action / task type</t>
        </is>
      </c>
      <c r="X13" s="7" t="inlineStr">
        <is>
          <t>Action by</t>
        </is>
      </c>
      <c r="Y13" s="7" t="inlineStr">
        <is>
          <t>Due date</t>
        </is>
      </c>
      <c r="Z13" s="7" t="inlineStr">
        <is>
          <t>Severity (S)</t>
        </is>
      </c>
      <c r="AA13" s="7" t="inlineStr">
        <is>
          <t>Occurrence (O)</t>
        </is>
      </c>
      <c r="AB13" s="7" t="inlineStr">
        <is>
          <t>Detection (D)</t>
        </is>
      </c>
      <c r="AC13" s="7" t="inlineStr">
        <is>
          <t>RPN after</t>
        </is>
      </c>
      <c r="AD13" s="7" t="inlineStr">
        <is>
          <t>AP after</t>
        </is>
      </c>
      <c r="AE13" s="7" t="inlineStr">
        <is>
          <t>HAZOP ref.</t>
        </is>
      </c>
      <c r="AF13" s="7" t="inlineStr">
        <is>
          <t>Comments</t>
        </is>
      </c>
    </row>
    <row r="14">
      <c r="A14" s="20">
        <f>IF(F14="","",LEFT($D$3,3)&amp;"-"&amp;TEXT(COUNTIF(F$14:F14,"?*"),"00"))</f>
        <v/>
      </c>
      <c r="B14" s="4" t="n"/>
      <c r="C14" s="5">
        <f>IF(B14="","",IFERROR(INDEX(EqTypeCol,MATCH(B14,EqTag,0)),"Tag not in register"))</f>
        <v/>
      </c>
      <c r="D14" s="4" t="n"/>
      <c r="E14" s="4" t="n"/>
      <c r="F14" s="4" t="n"/>
      <c r="G14" s="4" t="n"/>
      <c r="H14" s="4" t="n"/>
      <c r="I14" s="4" t="n"/>
      <c r="J14" s="5">
        <f>_xlfn.TEXTJOIN(CHAR(10),TRUE,IF(G14="","","• "&amp;G14),IF(H14="","","• "&amp;H14),IF(I14="","","• "&amp;I14))</f>
        <v/>
      </c>
      <c r="K14" s="4" t="n"/>
      <c r="L14" s="4" t="n"/>
      <c r="M14" s="4" t="n"/>
      <c r="N14" s="16" t="n"/>
      <c r="O14" s="4" t="n"/>
      <c r="P14" s="16" t="n"/>
      <c r="Q14" s="4" t="n"/>
      <c r="R14" s="16" t="n"/>
      <c r="S14" s="20">
        <f>IF(OR(N14="",P14="",R14=""),"",(--TRIM(LEFT(N14,2)))*(--TRIM(LEFT(P14,2)))*(--TRIM(LEFT(R14,2))))</f>
        <v/>
      </c>
      <c r="T14" s="20">
        <f>IF(OR(N14="",P14="",R14=""),"",INDEX(APGrid,COUNTIF(APS,"&gt;"&amp;(--TRIM(LEFT(N14,2))))*5+COUNTIF(APO,"&gt;"&amp;(--TRIM(LEFT(P14,2))))+1,COUNTIF(APD,"&gt;"&amp;(--TRIM(LEFT(R14,2))))+1))</f>
        <v/>
      </c>
      <c r="U14" s="20">
        <f>IF(S14="","",IF(OR((--TRIM(LEFT(N14,2)))&gt;=SThr,S14&gt;=RPNThr,T14="H"),"Yes","No"))</f>
        <v/>
      </c>
      <c r="V14" s="4" t="n"/>
      <c r="W14" s="4" t="n"/>
      <c r="X14" s="4" t="n"/>
      <c r="Y14" s="29" t="n"/>
      <c r="Z14" s="16" t="n"/>
      <c r="AA14" s="16" t="n"/>
      <c r="AB14" s="16" t="n"/>
      <c r="AC14" s="20">
        <f>IF(OR(Z14="",AA14="",AB14=""),"",(--TRIM(LEFT(Z14,2)))*(--TRIM(LEFT(AA14,2)))*(--TRIM(LEFT(AB14,2))))</f>
        <v/>
      </c>
      <c r="AD14" s="20">
        <f>IF(OR(Z14="",AA14="",AB14=""),"",INDEX(APGrid,COUNTIF(APS,"&gt;"&amp;(--TRIM(LEFT(Z14,2))))*5+COUNTIF(APO,"&gt;"&amp;(--TRIM(LEFT(AA14,2))))+1,COUNTIF(APD,"&gt;"&amp;(--TRIM(LEFT(AB14,2))))+1))</f>
        <v/>
      </c>
      <c r="AE14" s="4" t="n"/>
      <c r="AF14" s="4" t="n"/>
      <c r="AH14">
        <f>IFERROR(INDEX(EqTag,_xlfn.AGGREGATE(15,6,(ROW(EqTag)-4)/((EqSys=$D$3)*(EqTag&lt;&gt;"")),ROWS($AH$14:AH14))),"")</f>
        <v/>
      </c>
    </row>
    <row r="15">
      <c r="A15" s="20">
        <f>IF(F15="","",LEFT($D$3,3)&amp;"-"&amp;TEXT(COUNTIF(F$14:F15,"?*"),"00"))</f>
        <v/>
      </c>
      <c r="B15" s="4" t="n"/>
      <c r="C15" s="5">
        <f>IF(B15="","",IFERROR(INDEX(EqTypeCol,MATCH(B15,EqTag,0)),"Tag not in register"))</f>
        <v/>
      </c>
      <c r="D15" s="4" t="n"/>
      <c r="E15" s="4" t="n"/>
      <c r="F15" s="4" t="n"/>
      <c r="G15" s="4" t="n"/>
      <c r="H15" s="4" t="n"/>
      <c r="I15" s="4" t="n"/>
      <c r="J15" s="5">
        <f>_xlfn.TEXTJOIN(CHAR(10),TRUE,IF(G15="","","• "&amp;G15),IF(H15="","","• "&amp;H15),IF(I15="","","• "&amp;I15))</f>
        <v/>
      </c>
      <c r="K15" s="4" t="n"/>
      <c r="L15" s="4" t="n"/>
      <c r="M15" s="4" t="n"/>
      <c r="N15" s="16" t="n"/>
      <c r="O15" s="4" t="n"/>
      <c r="P15" s="16" t="n"/>
      <c r="Q15" s="4" t="n"/>
      <c r="R15" s="16" t="n"/>
      <c r="S15" s="20">
        <f>IF(OR(N15="",P15="",R15=""),"",(--TRIM(LEFT(N15,2)))*(--TRIM(LEFT(P15,2)))*(--TRIM(LEFT(R15,2))))</f>
        <v/>
      </c>
      <c r="T15" s="20">
        <f>IF(OR(N15="",P15="",R15=""),"",INDEX(APGrid,COUNTIF(APS,"&gt;"&amp;(--TRIM(LEFT(N15,2))))*5+COUNTIF(APO,"&gt;"&amp;(--TRIM(LEFT(P15,2))))+1,COUNTIF(APD,"&gt;"&amp;(--TRIM(LEFT(R15,2))))+1))</f>
        <v/>
      </c>
      <c r="U15" s="20">
        <f>IF(S15="","",IF(OR((--TRIM(LEFT(N15,2)))&gt;=SThr,S15&gt;=RPNThr,T15="H"),"Yes","No"))</f>
        <v/>
      </c>
      <c r="V15" s="4" t="n"/>
      <c r="W15" s="4" t="n"/>
      <c r="X15" s="4" t="n"/>
      <c r="Y15" s="29" t="n"/>
      <c r="Z15" s="16" t="n"/>
      <c r="AA15" s="16" t="n"/>
      <c r="AB15" s="16" t="n"/>
      <c r="AC15" s="20">
        <f>IF(OR(Z15="",AA15="",AB15=""),"",(--TRIM(LEFT(Z15,2)))*(--TRIM(LEFT(AA15,2)))*(--TRIM(LEFT(AB15,2))))</f>
        <v/>
      </c>
      <c r="AD15" s="20">
        <f>IF(OR(Z15="",AA15="",AB15=""),"",INDEX(APGrid,COUNTIF(APS,"&gt;"&amp;(--TRIM(LEFT(Z15,2))))*5+COUNTIF(APO,"&gt;"&amp;(--TRIM(LEFT(AA15,2))))+1,COUNTIF(APD,"&gt;"&amp;(--TRIM(LEFT(AB15,2))))+1))</f>
        <v/>
      </c>
      <c r="AE15" s="4" t="n"/>
      <c r="AF15" s="4" t="n"/>
      <c r="AH15">
        <f>IFERROR(INDEX(EqTag,_xlfn.AGGREGATE(15,6,(ROW(EqTag)-4)/((EqSys=$D$3)*(EqTag&lt;&gt;"")),ROWS($AH$14:AH15))),"")</f>
        <v/>
      </c>
    </row>
    <row r="16">
      <c r="A16" s="20">
        <f>IF(F16="","",LEFT($D$3,3)&amp;"-"&amp;TEXT(COUNTIF(F$14:F16,"?*"),"00"))</f>
        <v/>
      </c>
      <c r="B16" s="4" t="n"/>
      <c r="C16" s="5">
        <f>IF(B16="","",IFERROR(INDEX(EqTypeCol,MATCH(B16,EqTag,0)),"Tag not in register"))</f>
        <v/>
      </c>
      <c r="D16" s="4" t="n"/>
      <c r="E16" s="4" t="n"/>
      <c r="F16" s="4" t="n"/>
      <c r="G16" s="4" t="n"/>
      <c r="H16" s="4" t="n"/>
      <c r="I16" s="4" t="n"/>
      <c r="J16" s="5">
        <f>_xlfn.TEXTJOIN(CHAR(10),TRUE,IF(G16="","","• "&amp;G16),IF(H16="","","• "&amp;H16),IF(I16="","","• "&amp;I16))</f>
        <v/>
      </c>
      <c r="K16" s="4" t="n"/>
      <c r="L16" s="4" t="n"/>
      <c r="M16" s="4" t="n"/>
      <c r="N16" s="16" t="n"/>
      <c r="O16" s="4" t="n"/>
      <c r="P16" s="16" t="n"/>
      <c r="Q16" s="4" t="n"/>
      <c r="R16" s="16" t="n"/>
      <c r="S16" s="20">
        <f>IF(OR(N16="",P16="",R16=""),"",(--TRIM(LEFT(N16,2)))*(--TRIM(LEFT(P16,2)))*(--TRIM(LEFT(R16,2))))</f>
        <v/>
      </c>
      <c r="T16" s="20">
        <f>IF(OR(N16="",P16="",R16=""),"",INDEX(APGrid,COUNTIF(APS,"&gt;"&amp;(--TRIM(LEFT(N16,2))))*5+COUNTIF(APO,"&gt;"&amp;(--TRIM(LEFT(P16,2))))+1,COUNTIF(APD,"&gt;"&amp;(--TRIM(LEFT(R16,2))))+1))</f>
        <v/>
      </c>
      <c r="U16" s="20">
        <f>IF(S16="","",IF(OR((--TRIM(LEFT(N16,2)))&gt;=SThr,S16&gt;=RPNThr,T16="H"),"Yes","No"))</f>
        <v/>
      </c>
      <c r="V16" s="4" t="n"/>
      <c r="W16" s="4" t="n"/>
      <c r="X16" s="4" t="n"/>
      <c r="Y16" s="29" t="n"/>
      <c r="Z16" s="16" t="n"/>
      <c r="AA16" s="16" t="n"/>
      <c r="AB16" s="16" t="n"/>
      <c r="AC16" s="20">
        <f>IF(OR(Z16="",AA16="",AB16=""),"",(--TRIM(LEFT(Z16,2)))*(--TRIM(LEFT(AA16,2)))*(--TRIM(LEFT(AB16,2))))</f>
        <v/>
      </c>
      <c r="AD16" s="20">
        <f>IF(OR(Z16="",AA16="",AB16=""),"",INDEX(APGrid,COUNTIF(APS,"&gt;"&amp;(--TRIM(LEFT(Z16,2))))*5+COUNTIF(APO,"&gt;"&amp;(--TRIM(LEFT(AA16,2))))+1,COUNTIF(APD,"&gt;"&amp;(--TRIM(LEFT(AB16,2))))+1))</f>
        <v/>
      </c>
      <c r="AE16" s="4" t="n"/>
      <c r="AF16" s="4" t="n"/>
      <c r="AH16">
        <f>IFERROR(INDEX(EqTag,_xlfn.AGGREGATE(15,6,(ROW(EqTag)-4)/((EqSys=$D$3)*(EqTag&lt;&gt;"")),ROWS($AH$14:AH16))),"")</f>
        <v/>
      </c>
    </row>
    <row r="17">
      <c r="A17" s="20">
        <f>IF(F17="","",LEFT($D$3,3)&amp;"-"&amp;TEXT(COUNTIF(F$14:F17,"?*"),"00"))</f>
        <v/>
      </c>
      <c r="B17" s="4" t="n"/>
      <c r="C17" s="5">
        <f>IF(B17="","",IFERROR(INDEX(EqTypeCol,MATCH(B17,EqTag,0)),"Tag not in register"))</f>
        <v/>
      </c>
      <c r="D17" s="4" t="n"/>
      <c r="E17" s="4" t="n"/>
      <c r="F17" s="4" t="n"/>
      <c r="G17" s="4" t="n"/>
      <c r="H17" s="4" t="n"/>
      <c r="I17" s="4" t="n"/>
      <c r="J17" s="5">
        <f>_xlfn.TEXTJOIN(CHAR(10),TRUE,IF(G17="","","• "&amp;G17),IF(H17="","","• "&amp;H17),IF(I17="","","• "&amp;I17))</f>
        <v/>
      </c>
      <c r="K17" s="4" t="n"/>
      <c r="L17" s="4" t="n"/>
      <c r="M17" s="4" t="n"/>
      <c r="N17" s="16" t="n"/>
      <c r="O17" s="4" t="n"/>
      <c r="P17" s="16" t="n"/>
      <c r="Q17" s="4" t="n"/>
      <c r="R17" s="16" t="n"/>
      <c r="S17" s="20">
        <f>IF(OR(N17="",P17="",R17=""),"",(--TRIM(LEFT(N17,2)))*(--TRIM(LEFT(P17,2)))*(--TRIM(LEFT(R17,2))))</f>
        <v/>
      </c>
      <c r="T17" s="20">
        <f>IF(OR(N17="",P17="",R17=""),"",INDEX(APGrid,COUNTIF(APS,"&gt;"&amp;(--TRIM(LEFT(N17,2))))*5+COUNTIF(APO,"&gt;"&amp;(--TRIM(LEFT(P17,2))))+1,COUNTIF(APD,"&gt;"&amp;(--TRIM(LEFT(R17,2))))+1))</f>
        <v/>
      </c>
      <c r="U17" s="20">
        <f>IF(S17="","",IF(OR((--TRIM(LEFT(N17,2)))&gt;=SThr,S17&gt;=RPNThr,T17="H"),"Yes","No"))</f>
        <v/>
      </c>
      <c r="V17" s="4" t="n"/>
      <c r="W17" s="4" t="n"/>
      <c r="X17" s="4" t="n"/>
      <c r="Y17" s="29" t="n"/>
      <c r="Z17" s="16" t="n"/>
      <c r="AA17" s="16" t="n"/>
      <c r="AB17" s="16" t="n"/>
      <c r="AC17" s="20">
        <f>IF(OR(Z17="",AA17="",AB17=""),"",(--TRIM(LEFT(Z17,2)))*(--TRIM(LEFT(AA17,2)))*(--TRIM(LEFT(AB17,2))))</f>
        <v/>
      </c>
      <c r="AD17" s="20">
        <f>IF(OR(Z17="",AA17="",AB17=""),"",INDEX(APGrid,COUNTIF(APS,"&gt;"&amp;(--TRIM(LEFT(Z17,2))))*5+COUNTIF(APO,"&gt;"&amp;(--TRIM(LEFT(AA17,2))))+1,COUNTIF(APD,"&gt;"&amp;(--TRIM(LEFT(AB17,2))))+1))</f>
        <v/>
      </c>
      <c r="AE17" s="4" t="n"/>
      <c r="AF17" s="4" t="n"/>
      <c r="AH17">
        <f>IFERROR(INDEX(EqTag,_xlfn.AGGREGATE(15,6,(ROW(EqTag)-4)/((EqSys=$D$3)*(EqTag&lt;&gt;"")),ROWS($AH$14:AH17))),"")</f>
        <v/>
      </c>
    </row>
    <row r="18">
      <c r="A18" s="20">
        <f>IF(F18="","",LEFT($D$3,3)&amp;"-"&amp;TEXT(COUNTIF(F$14:F18,"?*"),"00"))</f>
        <v/>
      </c>
      <c r="B18" s="4" t="n"/>
      <c r="C18" s="5">
        <f>IF(B18="","",IFERROR(INDEX(EqTypeCol,MATCH(B18,EqTag,0)),"Tag not in register"))</f>
        <v/>
      </c>
      <c r="D18" s="4" t="n"/>
      <c r="E18" s="4" t="n"/>
      <c r="F18" s="4" t="n"/>
      <c r="G18" s="4" t="n"/>
      <c r="H18" s="4" t="n"/>
      <c r="I18" s="4" t="n"/>
      <c r="J18" s="5">
        <f>_xlfn.TEXTJOIN(CHAR(10),TRUE,IF(G18="","","• "&amp;G18),IF(H18="","","• "&amp;H18),IF(I18="","","• "&amp;I18))</f>
        <v/>
      </c>
      <c r="K18" s="4" t="n"/>
      <c r="L18" s="4" t="n"/>
      <c r="M18" s="4" t="n"/>
      <c r="N18" s="16" t="n"/>
      <c r="O18" s="4" t="n"/>
      <c r="P18" s="16" t="n"/>
      <c r="Q18" s="4" t="n"/>
      <c r="R18" s="16" t="n"/>
      <c r="S18" s="20">
        <f>IF(OR(N18="",P18="",R18=""),"",(--TRIM(LEFT(N18,2)))*(--TRIM(LEFT(P18,2)))*(--TRIM(LEFT(R18,2))))</f>
        <v/>
      </c>
      <c r="T18" s="20">
        <f>IF(OR(N18="",P18="",R18=""),"",INDEX(APGrid,COUNTIF(APS,"&gt;"&amp;(--TRIM(LEFT(N18,2))))*5+COUNTIF(APO,"&gt;"&amp;(--TRIM(LEFT(P18,2))))+1,COUNTIF(APD,"&gt;"&amp;(--TRIM(LEFT(R18,2))))+1))</f>
        <v/>
      </c>
      <c r="U18" s="20">
        <f>IF(S18="","",IF(OR((--TRIM(LEFT(N18,2)))&gt;=SThr,S18&gt;=RPNThr,T18="H"),"Yes","No"))</f>
        <v/>
      </c>
      <c r="V18" s="4" t="n"/>
      <c r="W18" s="4" t="n"/>
      <c r="X18" s="4" t="n"/>
      <c r="Y18" s="29" t="n"/>
      <c r="Z18" s="16" t="n"/>
      <c r="AA18" s="16" t="n"/>
      <c r="AB18" s="16" t="n"/>
      <c r="AC18" s="20">
        <f>IF(OR(Z18="",AA18="",AB18=""),"",(--TRIM(LEFT(Z18,2)))*(--TRIM(LEFT(AA18,2)))*(--TRIM(LEFT(AB18,2))))</f>
        <v/>
      </c>
      <c r="AD18" s="20">
        <f>IF(OR(Z18="",AA18="",AB18=""),"",INDEX(APGrid,COUNTIF(APS,"&gt;"&amp;(--TRIM(LEFT(Z18,2))))*5+COUNTIF(APO,"&gt;"&amp;(--TRIM(LEFT(AA18,2))))+1,COUNTIF(APD,"&gt;"&amp;(--TRIM(LEFT(AB18,2))))+1))</f>
        <v/>
      </c>
      <c r="AE18" s="4" t="n"/>
      <c r="AF18" s="4" t="n"/>
      <c r="AH18">
        <f>IFERROR(INDEX(EqTag,_xlfn.AGGREGATE(15,6,(ROW(EqTag)-4)/((EqSys=$D$3)*(EqTag&lt;&gt;"")),ROWS($AH$14:AH18))),"")</f>
        <v/>
      </c>
    </row>
    <row r="19">
      <c r="A19" s="20">
        <f>IF(F19="","",LEFT($D$3,3)&amp;"-"&amp;TEXT(COUNTIF(F$14:F19,"?*"),"00"))</f>
        <v/>
      </c>
      <c r="B19" s="4" t="n"/>
      <c r="C19" s="5">
        <f>IF(B19="","",IFERROR(INDEX(EqTypeCol,MATCH(B19,EqTag,0)),"Tag not in register"))</f>
        <v/>
      </c>
      <c r="D19" s="4" t="n"/>
      <c r="E19" s="4" t="n"/>
      <c r="F19" s="4" t="n"/>
      <c r="G19" s="4" t="n"/>
      <c r="H19" s="4" t="n"/>
      <c r="I19" s="4" t="n"/>
      <c r="J19" s="5">
        <f>_xlfn.TEXTJOIN(CHAR(10),TRUE,IF(G19="","","• "&amp;G19),IF(H19="","","• "&amp;H19),IF(I19="","","• "&amp;I19))</f>
        <v/>
      </c>
      <c r="K19" s="4" t="n"/>
      <c r="L19" s="4" t="n"/>
      <c r="M19" s="4" t="n"/>
      <c r="N19" s="16" t="n"/>
      <c r="O19" s="4" t="n"/>
      <c r="P19" s="16" t="n"/>
      <c r="Q19" s="4" t="n"/>
      <c r="R19" s="16" t="n"/>
      <c r="S19" s="20">
        <f>IF(OR(N19="",P19="",R19=""),"",(--TRIM(LEFT(N19,2)))*(--TRIM(LEFT(P19,2)))*(--TRIM(LEFT(R19,2))))</f>
        <v/>
      </c>
      <c r="T19" s="20">
        <f>IF(OR(N19="",P19="",R19=""),"",INDEX(APGrid,COUNTIF(APS,"&gt;"&amp;(--TRIM(LEFT(N19,2))))*5+COUNTIF(APO,"&gt;"&amp;(--TRIM(LEFT(P19,2))))+1,COUNTIF(APD,"&gt;"&amp;(--TRIM(LEFT(R19,2))))+1))</f>
        <v/>
      </c>
      <c r="U19" s="20">
        <f>IF(S19="","",IF(OR((--TRIM(LEFT(N19,2)))&gt;=SThr,S19&gt;=RPNThr,T19="H"),"Yes","No"))</f>
        <v/>
      </c>
      <c r="V19" s="4" t="n"/>
      <c r="W19" s="4" t="n"/>
      <c r="X19" s="4" t="n"/>
      <c r="Y19" s="29" t="n"/>
      <c r="Z19" s="16" t="n"/>
      <c r="AA19" s="16" t="n"/>
      <c r="AB19" s="16" t="n"/>
      <c r="AC19" s="20">
        <f>IF(OR(Z19="",AA19="",AB19=""),"",(--TRIM(LEFT(Z19,2)))*(--TRIM(LEFT(AA19,2)))*(--TRIM(LEFT(AB19,2))))</f>
        <v/>
      </c>
      <c r="AD19" s="20">
        <f>IF(OR(Z19="",AA19="",AB19=""),"",INDEX(APGrid,COUNTIF(APS,"&gt;"&amp;(--TRIM(LEFT(Z19,2))))*5+COUNTIF(APO,"&gt;"&amp;(--TRIM(LEFT(AA19,2))))+1,COUNTIF(APD,"&gt;"&amp;(--TRIM(LEFT(AB19,2))))+1))</f>
        <v/>
      </c>
      <c r="AE19" s="4" t="n"/>
      <c r="AF19" s="4" t="n"/>
      <c r="AH19">
        <f>IFERROR(INDEX(EqTag,_xlfn.AGGREGATE(15,6,(ROW(EqTag)-4)/((EqSys=$D$3)*(EqTag&lt;&gt;"")),ROWS($AH$14:AH19))),"")</f>
        <v/>
      </c>
    </row>
    <row r="20">
      <c r="A20" s="20">
        <f>IF(F20="","",LEFT($D$3,3)&amp;"-"&amp;TEXT(COUNTIF(F$14:F20,"?*"),"00"))</f>
        <v/>
      </c>
      <c r="B20" s="4" t="n"/>
      <c r="C20" s="5">
        <f>IF(B20="","",IFERROR(INDEX(EqTypeCol,MATCH(B20,EqTag,0)),"Tag not in register"))</f>
        <v/>
      </c>
      <c r="D20" s="4" t="n"/>
      <c r="E20" s="4" t="n"/>
      <c r="F20" s="4" t="n"/>
      <c r="G20" s="4" t="n"/>
      <c r="H20" s="4" t="n"/>
      <c r="I20" s="4" t="n"/>
      <c r="J20" s="5">
        <f>_xlfn.TEXTJOIN(CHAR(10),TRUE,IF(G20="","","• "&amp;G20),IF(H20="","","• "&amp;H20),IF(I20="","","• "&amp;I20))</f>
        <v/>
      </c>
      <c r="K20" s="4" t="n"/>
      <c r="L20" s="4" t="n"/>
      <c r="M20" s="4" t="n"/>
      <c r="N20" s="16" t="n"/>
      <c r="O20" s="4" t="n"/>
      <c r="P20" s="16" t="n"/>
      <c r="Q20" s="4" t="n"/>
      <c r="R20" s="16" t="n"/>
      <c r="S20" s="20">
        <f>IF(OR(N20="",P20="",R20=""),"",(--TRIM(LEFT(N20,2)))*(--TRIM(LEFT(P20,2)))*(--TRIM(LEFT(R20,2))))</f>
        <v/>
      </c>
      <c r="T20" s="20">
        <f>IF(OR(N20="",P20="",R20=""),"",INDEX(APGrid,COUNTIF(APS,"&gt;"&amp;(--TRIM(LEFT(N20,2))))*5+COUNTIF(APO,"&gt;"&amp;(--TRIM(LEFT(P20,2))))+1,COUNTIF(APD,"&gt;"&amp;(--TRIM(LEFT(R20,2))))+1))</f>
        <v/>
      </c>
      <c r="U20" s="20">
        <f>IF(S20="","",IF(OR((--TRIM(LEFT(N20,2)))&gt;=SThr,S20&gt;=RPNThr,T20="H"),"Yes","No"))</f>
        <v/>
      </c>
      <c r="V20" s="4" t="n"/>
      <c r="W20" s="4" t="n"/>
      <c r="X20" s="4" t="n"/>
      <c r="Y20" s="29" t="n"/>
      <c r="Z20" s="16" t="n"/>
      <c r="AA20" s="16" t="n"/>
      <c r="AB20" s="16" t="n"/>
      <c r="AC20" s="20">
        <f>IF(OR(Z20="",AA20="",AB20=""),"",(--TRIM(LEFT(Z20,2)))*(--TRIM(LEFT(AA20,2)))*(--TRIM(LEFT(AB20,2))))</f>
        <v/>
      </c>
      <c r="AD20" s="20">
        <f>IF(OR(Z20="",AA20="",AB20=""),"",INDEX(APGrid,COUNTIF(APS,"&gt;"&amp;(--TRIM(LEFT(Z20,2))))*5+COUNTIF(APO,"&gt;"&amp;(--TRIM(LEFT(AA20,2))))+1,COUNTIF(APD,"&gt;"&amp;(--TRIM(LEFT(AB20,2))))+1))</f>
        <v/>
      </c>
      <c r="AE20" s="4" t="n"/>
      <c r="AF20" s="4" t="n"/>
      <c r="AH20">
        <f>IFERROR(INDEX(EqTag,_xlfn.AGGREGATE(15,6,(ROW(EqTag)-4)/((EqSys=$D$3)*(EqTag&lt;&gt;"")),ROWS($AH$14:AH20))),"")</f>
        <v/>
      </c>
    </row>
    <row r="21">
      <c r="A21" s="20">
        <f>IF(F21="","",LEFT($D$3,3)&amp;"-"&amp;TEXT(COUNTIF(F$14:F21,"?*"),"00"))</f>
        <v/>
      </c>
      <c r="B21" s="4" t="n"/>
      <c r="C21" s="5">
        <f>IF(B21="","",IFERROR(INDEX(EqTypeCol,MATCH(B21,EqTag,0)),"Tag not in register"))</f>
        <v/>
      </c>
      <c r="D21" s="4" t="n"/>
      <c r="E21" s="4" t="n"/>
      <c r="F21" s="4" t="n"/>
      <c r="G21" s="4" t="n"/>
      <c r="H21" s="4" t="n"/>
      <c r="I21" s="4" t="n"/>
      <c r="J21" s="5">
        <f>_xlfn.TEXTJOIN(CHAR(10),TRUE,IF(G21="","","• "&amp;G21),IF(H21="","","• "&amp;H21),IF(I21="","","• "&amp;I21))</f>
        <v/>
      </c>
      <c r="K21" s="4" t="n"/>
      <c r="L21" s="4" t="n"/>
      <c r="M21" s="4" t="n"/>
      <c r="N21" s="16" t="n"/>
      <c r="O21" s="4" t="n"/>
      <c r="P21" s="16" t="n"/>
      <c r="Q21" s="4" t="n"/>
      <c r="R21" s="16" t="n"/>
      <c r="S21" s="20">
        <f>IF(OR(N21="",P21="",R21=""),"",(--TRIM(LEFT(N21,2)))*(--TRIM(LEFT(P21,2)))*(--TRIM(LEFT(R21,2))))</f>
        <v/>
      </c>
      <c r="T21" s="20">
        <f>IF(OR(N21="",P21="",R21=""),"",INDEX(APGrid,COUNTIF(APS,"&gt;"&amp;(--TRIM(LEFT(N21,2))))*5+COUNTIF(APO,"&gt;"&amp;(--TRIM(LEFT(P21,2))))+1,COUNTIF(APD,"&gt;"&amp;(--TRIM(LEFT(R21,2))))+1))</f>
        <v/>
      </c>
      <c r="U21" s="20">
        <f>IF(S21="","",IF(OR((--TRIM(LEFT(N21,2)))&gt;=SThr,S21&gt;=RPNThr,T21="H"),"Yes","No"))</f>
        <v/>
      </c>
      <c r="V21" s="4" t="n"/>
      <c r="W21" s="4" t="n"/>
      <c r="X21" s="4" t="n"/>
      <c r="Y21" s="29" t="n"/>
      <c r="Z21" s="16" t="n"/>
      <c r="AA21" s="16" t="n"/>
      <c r="AB21" s="16" t="n"/>
      <c r="AC21" s="20">
        <f>IF(OR(Z21="",AA21="",AB21=""),"",(--TRIM(LEFT(Z21,2)))*(--TRIM(LEFT(AA21,2)))*(--TRIM(LEFT(AB21,2))))</f>
        <v/>
      </c>
      <c r="AD21" s="20">
        <f>IF(OR(Z21="",AA21="",AB21=""),"",INDEX(APGrid,COUNTIF(APS,"&gt;"&amp;(--TRIM(LEFT(Z21,2))))*5+COUNTIF(APO,"&gt;"&amp;(--TRIM(LEFT(AA21,2))))+1,COUNTIF(APD,"&gt;"&amp;(--TRIM(LEFT(AB21,2))))+1))</f>
        <v/>
      </c>
      <c r="AE21" s="4" t="n"/>
      <c r="AF21" s="4" t="n"/>
      <c r="AH21">
        <f>IFERROR(INDEX(EqTag,_xlfn.AGGREGATE(15,6,(ROW(EqTag)-4)/((EqSys=$D$3)*(EqTag&lt;&gt;"")),ROWS($AH$14:AH21))),"")</f>
        <v/>
      </c>
    </row>
    <row r="22">
      <c r="A22" s="20">
        <f>IF(F22="","",LEFT($D$3,3)&amp;"-"&amp;TEXT(COUNTIF(F$14:F22,"?*"),"00"))</f>
        <v/>
      </c>
      <c r="B22" s="4" t="n"/>
      <c r="C22" s="5">
        <f>IF(B22="","",IFERROR(INDEX(EqTypeCol,MATCH(B22,EqTag,0)),"Tag not in register"))</f>
        <v/>
      </c>
      <c r="D22" s="4" t="n"/>
      <c r="E22" s="4" t="n"/>
      <c r="F22" s="4" t="n"/>
      <c r="G22" s="4" t="n"/>
      <c r="H22" s="4" t="n"/>
      <c r="I22" s="4" t="n"/>
      <c r="J22" s="5">
        <f>_xlfn.TEXTJOIN(CHAR(10),TRUE,IF(G22="","","• "&amp;G22),IF(H22="","","• "&amp;H22),IF(I22="","","• "&amp;I22))</f>
        <v/>
      </c>
      <c r="K22" s="4" t="n"/>
      <c r="L22" s="4" t="n"/>
      <c r="M22" s="4" t="n"/>
      <c r="N22" s="16" t="n"/>
      <c r="O22" s="4" t="n"/>
      <c r="P22" s="16" t="n"/>
      <c r="Q22" s="4" t="n"/>
      <c r="R22" s="16" t="n"/>
      <c r="S22" s="20">
        <f>IF(OR(N22="",P22="",R22=""),"",(--TRIM(LEFT(N22,2)))*(--TRIM(LEFT(P22,2)))*(--TRIM(LEFT(R22,2))))</f>
        <v/>
      </c>
      <c r="T22" s="20">
        <f>IF(OR(N22="",P22="",R22=""),"",INDEX(APGrid,COUNTIF(APS,"&gt;"&amp;(--TRIM(LEFT(N22,2))))*5+COUNTIF(APO,"&gt;"&amp;(--TRIM(LEFT(P22,2))))+1,COUNTIF(APD,"&gt;"&amp;(--TRIM(LEFT(R22,2))))+1))</f>
        <v/>
      </c>
      <c r="U22" s="20">
        <f>IF(S22="","",IF(OR((--TRIM(LEFT(N22,2)))&gt;=SThr,S22&gt;=RPNThr,T22="H"),"Yes","No"))</f>
        <v/>
      </c>
      <c r="V22" s="4" t="n"/>
      <c r="W22" s="4" t="n"/>
      <c r="X22" s="4" t="n"/>
      <c r="Y22" s="29" t="n"/>
      <c r="Z22" s="16" t="n"/>
      <c r="AA22" s="16" t="n"/>
      <c r="AB22" s="16" t="n"/>
      <c r="AC22" s="20">
        <f>IF(OR(Z22="",AA22="",AB22=""),"",(--TRIM(LEFT(Z22,2)))*(--TRIM(LEFT(AA22,2)))*(--TRIM(LEFT(AB22,2))))</f>
        <v/>
      </c>
      <c r="AD22" s="20">
        <f>IF(OR(Z22="",AA22="",AB22=""),"",INDEX(APGrid,COUNTIF(APS,"&gt;"&amp;(--TRIM(LEFT(Z22,2))))*5+COUNTIF(APO,"&gt;"&amp;(--TRIM(LEFT(AA22,2))))+1,COUNTIF(APD,"&gt;"&amp;(--TRIM(LEFT(AB22,2))))+1))</f>
        <v/>
      </c>
      <c r="AE22" s="4" t="n"/>
      <c r="AF22" s="4" t="n"/>
      <c r="AH22">
        <f>IFERROR(INDEX(EqTag,_xlfn.AGGREGATE(15,6,(ROW(EqTag)-4)/((EqSys=$D$3)*(EqTag&lt;&gt;"")),ROWS($AH$14:AH22))),"")</f>
        <v/>
      </c>
    </row>
    <row r="23">
      <c r="A23" s="20">
        <f>IF(F23="","",LEFT($D$3,3)&amp;"-"&amp;TEXT(COUNTIF(F$14:F23,"?*"),"00"))</f>
        <v/>
      </c>
      <c r="B23" s="4" t="n"/>
      <c r="C23" s="5">
        <f>IF(B23="","",IFERROR(INDEX(EqTypeCol,MATCH(B23,EqTag,0)),"Tag not in register"))</f>
        <v/>
      </c>
      <c r="D23" s="4" t="n"/>
      <c r="E23" s="4" t="n"/>
      <c r="F23" s="4" t="n"/>
      <c r="G23" s="4" t="n"/>
      <c r="H23" s="4" t="n"/>
      <c r="I23" s="4" t="n"/>
      <c r="J23" s="5">
        <f>_xlfn.TEXTJOIN(CHAR(10),TRUE,IF(G23="","","• "&amp;G23),IF(H23="","","• "&amp;H23),IF(I23="","","• "&amp;I23))</f>
        <v/>
      </c>
      <c r="K23" s="4" t="n"/>
      <c r="L23" s="4" t="n"/>
      <c r="M23" s="4" t="n"/>
      <c r="N23" s="16" t="n"/>
      <c r="O23" s="4" t="n"/>
      <c r="P23" s="16" t="n"/>
      <c r="Q23" s="4" t="n"/>
      <c r="R23" s="16" t="n"/>
      <c r="S23" s="20">
        <f>IF(OR(N23="",P23="",R23=""),"",(--TRIM(LEFT(N23,2)))*(--TRIM(LEFT(P23,2)))*(--TRIM(LEFT(R23,2))))</f>
        <v/>
      </c>
      <c r="T23" s="20">
        <f>IF(OR(N23="",P23="",R23=""),"",INDEX(APGrid,COUNTIF(APS,"&gt;"&amp;(--TRIM(LEFT(N23,2))))*5+COUNTIF(APO,"&gt;"&amp;(--TRIM(LEFT(P23,2))))+1,COUNTIF(APD,"&gt;"&amp;(--TRIM(LEFT(R23,2))))+1))</f>
        <v/>
      </c>
      <c r="U23" s="20">
        <f>IF(S23="","",IF(OR((--TRIM(LEFT(N23,2)))&gt;=SThr,S23&gt;=RPNThr,T23="H"),"Yes","No"))</f>
        <v/>
      </c>
      <c r="V23" s="4" t="n"/>
      <c r="W23" s="4" t="n"/>
      <c r="X23" s="4" t="n"/>
      <c r="Y23" s="29" t="n"/>
      <c r="Z23" s="16" t="n"/>
      <c r="AA23" s="16" t="n"/>
      <c r="AB23" s="16" t="n"/>
      <c r="AC23" s="20">
        <f>IF(OR(Z23="",AA23="",AB23=""),"",(--TRIM(LEFT(Z23,2)))*(--TRIM(LEFT(AA23,2)))*(--TRIM(LEFT(AB23,2))))</f>
        <v/>
      </c>
      <c r="AD23" s="20">
        <f>IF(OR(Z23="",AA23="",AB23=""),"",INDEX(APGrid,COUNTIF(APS,"&gt;"&amp;(--TRIM(LEFT(Z23,2))))*5+COUNTIF(APO,"&gt;"&amp;(--TRIM(LEFT(AA23,2))))+1,COUNTIF(APD,"&gt;"&amp;(--TRIM(LEFT(AB23,2))))+1))</f>
        <v/>
      </c>
      <c r="AE23" s="4" t="n"/>
      <c r="AF23" s="4" t="n"/>
      <c r="AH23">
        <f>IFERROR(INDEX(EqTag,_xlfn.AGGREGATE(15,6,(ROW(EqTag)-4)/((EqSys=$D$3)*(EqTag&lt;&gt;"")),ROWS($AH$14:AH23))),"")</f>
        <v/>
      </c>
    </row>
    <row r="24">
      <c r="A24" s="20">
        <f>IF(F24="","",LEFT($D$3,3)&amp;"-"&amp;TEXT(COUNTIF(F$14:F24,"?*"),"00"))</f>
        <v/>
      </c>
      <c r="B24" s="4" t="n"/>
      <c r="C24" s="5">
        <f>IF(B24="","",IFERROR(INDEX(EqTypeCol,MATCH(B24,EqTag,0)),"Tag not in register"))</f>
        <v/>
      </c>
      <c r="D24" s="4" t="n"/>
      <c r="E24" s="4" t="n"/>
      <c r="F24" s="4" t="n"/>
      <c r="G24" s="4" t="n"/>
      <c r="H24" s="4" t="n"/>
      <c r="I24" s="4" t="n"/>
      <c r="J24" s="5">
        <f>_xlfn.TEXTJOIN(CHAR(10),TRUE,IF(G24="","","• "&amp;G24),IF(H24="","","• "&amp;H24),IF(I24="","","• "&amp;I24))</f>
        <v/>
      </c>
      <c r="K24" s="4" t="n"/>
      <c r="L24" s="4" t="n"/>
      <c r="M24" s="4" t="n"/>
      <c r="N24" s="16" t="n"/>
      <c r="O24" s="4" t="n"/>
      <c r="P24" s="16" t="n"/>
      <c r="Q24" s="4" t="n"/>
      <c r="R24" s="16" t="n"/>
      <c r="S24" s="20">
        <f>IF(OR(N24="",P24="",R24=""),"",(--TRIM(LEFT(N24,2)))*(--TRIM(LEFT(P24,2)))*(--TRIM(LEFT(R24,2))))</f>
        <v/>
      </c>
      <c r="T24" s="20">
        <f>IF(OR(N24="",P24="",R24=""),"",INDEX(APGrid,COUNTIF(APS,"&gt;"&amp;(--TRIM(LEFT(N24,2))))*5+COUNTIF(APO,"&gt;"&amp;(--TRIM(LEFT(P24,2))))+1,COUNTIF(APD,"&gt;"&amp;(--TRIM(LEFT(R24,2))))+1))</f>
        <v/>
      </c>
      <c r="U24" s="20">
        <f>IF(S24="","",IF(OR((--TRIM(LEFT(N24,2)))&gt;=SThr,S24&gt;=RPNThr,T24="H"),"Yes","No"))</f>
        <v/>
      </c>
      <c r="V24" s="4" t="n"/>
      <c r="W24" s="4" t="n"/>
      <c r="X24" s="4" t="n"/>
      <c r="Y24" s="29" t="n"/>
      <c r="Z24" s="16" t="n"/>
      <c r="AA24" s="16" t="n"/>
      <c r="AB24" s="16" t="n"/>
      <c r="AC24" s="20">
        <f>IF(OR(Z24="",AA24="",AB24=""),"",(--TRIM(LEFT(Z24,2)))*(--TRIM(LEFT(AA24,2)))*(--TRIM(LEFT(AB24,2))))</f>
        <v/>
      </c>
      <c r="AD24" s="20">
        <f>IF(OR(Z24="",AA24="",AB24=""),"",INDEX(APGrid,COUNTIF(APS,"&gt;"&amp;(--TRIM(LEFT(Z24,2))))*5+COUNTIF(APO,"&gt;"&amp;(--TRIM(LEFT(AA24,2))))+1,COUNTIF(APD,"&gt;"&amp;(--TRIM(LEFT(AB24,2))))+1))</f>
        <v/>
      </c>
      <c r="AE24" s="4" t="n"/>
      <c r="AF24" s="4" t="n"/>
      <c r="AH24">
        <f>IFERROR(INDEX(EqTag,_xlfn.AGGREGATE(15,6,(ROW(EqTag)-4)/((EqSys=$D$3)*(EqTag&lt;&gt;"")),ROWS($AH$14:AH24))),"")</f>
        <v/>
      </c>
    </row>
    <row r="25">
      <c r="A25" s="20">
        <f>IF(F25="","",LEFT($D$3,3)&amp;"-"&amp;TEXT(COUNTIF(F$14:F25,"?*"),"00"))</f>
        <v/>
      </c>
      <c r="B25" s="4" t="n"/>
      <c r="C25" s="5">
        <f>IF(B25="","",IFERROR(INDEX(EqTypeCol,MATCH(B25,EqTag,0)),"Tag not in register"))</f>
        <v/>
      </c>
      <c r="D25" s="4" t="n"/>
      <c r="E25" s="4" t="n"/>
      <c r="F25" s="4" t="n"/>
      <c r="G25" s="4" t="n"/>
      <c r="H25" s="4" t="n"/>
      <c r="I25" s="4" t="n"/>
      <c r="J25" s="5">
        <f>_xlfn.TEXTJOIN(CHAR(10),TRUE,IF(G25="","","• "&amp;G25),IF(H25="","","• "&amp;H25),IF(I25="","","• "&amp;I25))</f>
        <v/>
      </c>
      <c r="K25" s="4" t="n"/>
      <c r="L25" s="4" t="n"/>
      <c r="M25" s="4" t="n"/>
      <c r="N25" s="16" t="n"/>
      <c r="O25" s="4" t="n"/>
      <c r="P25" s="16" t="n"/>
      <c r="Q25" s="4" t="n"/>
      <c r="R25" s="16" t="n"/>
      <c r="S25" s="20">
        <f>IF(OR(N25="",P25="",R25=""),"",(--TRIM(LEFT(N25,2)))*(--TRIM(LEFT(P25,2)))*(--TRIM(LEFT(R25,2))))</f>
        <v/>
      </c>
      <c r="T25" s="20">
        <f>IF(OR(N25="",P25="",R25=""),"",INDEX(APGrid,COUNTIF(APS,"&gt;"&amp;(--TRIM(LEFT(N25,2))))*5+COUNTIF(APO,"&gt;"&amp;(--TRIM(LEFT(P25,2))))+1,COUNTIF(APD,"&gt;"&amp;(--TRIM(LEFT(R25,2))))+1))</f>
        <v/>
      </c>
      <c r="U25" s="20">
        <f>IF(S25="","",IF(OR((--TRIM(LEFT(N25,2)))&gt;=SThr,S25&gt;=RPNThr,T25="H"),"Yes","No"))</f>
        <v/>
      </c>
      <c r="V25" s="4" t="n"/>
      <c r="W25" s="4" t="n"/>
      <c r="X25" s="4" t="n"/>
      <c r="Y25" s="29" t="n"/>
      <c r="Z25" s="16" t="n"/>
      <c r="AA25" s="16" t="n"/>
      <c r="AB25" s="16" t="n"/>
      <c r="AC25" s="20">
        <f>IF(OR(Z25="",AA25="",AB25=""),"",(--TRIM(LEFT(Z25,2)))*(--TRIM(LEFT(AA25,2)))*(--TRIM(LEFT(AB25,2))))</f>
        <v/>
      </c>
      <c r="AD25" s="20">
        <f>IF(OR(Z25="",AA25="",AB25=""),"",INDEX(APGrid,COUNTIF(APS,"&gt;"&amp;(--TRIM(LEFT(Z25,2))))*5+COUNTIF(APO,"&gt;"&amp;(--TRIM(LEFT(AA25,2))))+1,COUNTIF(APD,"&gt;"&amp;(--TRIM(LEFT(AB25,2))))+1))</f>
        <v/>
      </c>
      <c r="AE25" s="4" t="n"/>
      <c r="AF25" s="4" t="n"/>
      <c r="AH25">
        <f>IFERROR(INDEX(EqTag,_xlfn.AGGREGATE(15,6,(ROW(EqTag)-4)/((EqSys=$D$3)*(EqTag&lt;&gt;"")),ROWS($AH$14:AH25))),"")</f>
        <v/>
      </c>
    </row>
    <row r="26">
      <c r="A26" s="20">
        <f>IF(F26="","",LEFT($D$3,3)&amp;"-"&amp;TEXT(COUNTIF(F$14:F26,"?*"),"00"))</f>
        <v/>
      </c>
      <c r="B26" s="4" t="n"/>
      <c r="C26" s="5">
        <f>IF(B26="","",IFERROR(INDEX(EqTypeCol,MATCH(B26,EqTag,0)),"Tag not in register"))</f>
        <v/>
      </c>
      <c r="D26" s="4" t="n"/>
      <c r="E26" s="4" t="n"/>
      <c r="F26" s="4" t="n"/>
      <c r="G26" s="4" t="n"/>
      <c r="H26" s="4" t="n"/>
      <c r="I26" s="4" t="n"/>
      <c r="J26" s="5">
        <f>_xlfn.TEXTJOIN(CHAR(10),TRUE,IF(G26="","","• "&amp;G26),IF(H26="","","• "&amp;H26),IF(I26="","","• "&amp;I26))</f>
        <v/>
      </c>
      <c r="K26" s="4" t="n"/>
      <c r="L26" s="4" t="n"/>
      <c r="M26" s="4" t="n"/>
      <c r="N26" s="16" t="n"/>
      <c r="O26" s="4" t="n"/>
      <c r="P26" s="16" t="n"/>
      <c r="Q26" s="4" t="n"/>
      <c r="R26" s="16" t="n"/>
      <c r="S26" s="20">
        <f>IF(OR(N26="",P26="",R26=""),"",(--TRIM(LEFT(N26,2)))*(--TRIM(LEFT(P26,2)))*(--TRIM(LEFT(R26,2))))</f>
        <v/>
      </c>
      <c r="T26" s="20">
        <f>IF(OR(N26="",P26="",R26=""),"",INDEX(APGrid,COUNTIF(APS,"&gt;"&amp;(--TRIM(LEFT(N26,2))))*5+COUNTIF(APO,"&gt;"&amp;(--TRIM(LEFT(P26,2))))+1,COUNTIF(APD,"&gt;"&amp;(--TRIM(LEFT(R26,2))))+1))</f>
        <v/>
      </c>
      <c r="U26" s="20">
        <f>IF(S26="","",IF(OR((--TRIM(LEFT(N26,2)))&gt;=SThr,S26&gt;=RPNThr,T26="H"),"Yes","No"))</f>
        <v/>
      </c>
      <c r="V26" s="4" t="n"/>
      <c r="W26" s="4" t="n"/>
      <c r="X26" s="4" t="n"/>
      <c r="Y26" s="29" t="n"/>
      <c r="Z26" s="16" t="n"/>
      <c r="AA26" s="16" t="n"/>
      <c r="AB26" s="16" t="n"/>
      <c r="AC26" s="20">
        <f>IF(OR(Z26="",AA26="",AB26=""),"",(--TRIM(LEFT(Z26,2)))*(--TRIM(LEFT(AA26,2)))*(--TRIM(LEFT(AB26,2))))</f>
        <v/>
      </c>
      <c r="AD26" s="20">
        <f>IF(OR(Z26="",AA26="",AB26=""),"",INDEX(APGrid,COUNTIF(APS,"&gt;"&amp;(--TRIM(LEFT(Z26,2))))*5+COUNTIF(APO,"&gt;"&amp;(--TRIM(LEFT(AA26,2))))+1,COUNTIF(APD,"&gt;"&amp;(--TRIM(LEFT(AB26,2))))+1))</f>
        <v/>
      </c>
      <c r="AE26" s="4" t="n"/>
      <c r="AF26" s="4" t="n"/>
      <c r="AH26">
        <f>IFERROR(INDEX(EqTag,_xlfn.AGGREGATE(15,6,(ROW(EqTag)-4)/((EqSys=$D$3)*(EqTag&lt;&gt;"")),ROWS($AH$14:AH26))),"")</f>
        <v/>
      </c>
    </row>
    <row r="27">
      <c r="A27" s="20">
        <f>IF(F27="","",LEFT($D$3,3)&amp;"-"&amp;TEXT(COUNTIF(F$14:F27,"?*"),"00"))</f>
        <v/>
      </c>
      <c r="B27" s="4" t="n"/>
      <c r="C27" s="5">
        <f>IF(B27="","",IFERROR(INDEX(EqTypeCol,MATCH(B27,EqTag,0)),"Tag not in register"))</f>
        <v/>
      </c>
      <c r="D27" s="4" t="n"/>
      <c r="E27" s="4" t="n"/>
      <c r="F27" s="4" t="n"/>
      <c r="G27" s="4" t="n"/>
      <c r="H27" s="4" t="n"/>
      <c r="I27" s="4" t="n"/>
      <c r="J27" s="5">
        <f>_xlfn.TEXTJOIN(CHAR(10),TRUE,IF(G27="","","• "&amp;G27),IF(H27="","","• "&amp;H27),IF(I27="","","• "&amp;I27))</f>
        <v/>
      </c>
      <c r="K27" s="4" t="n"/>
      <c r="L27" s="4" t="n"/>
      <c r="M27" s="4" t="n"/>
      <c r="N27" s="16" t="n"/>
      <c r="O27" s="4" t="n"/>
      <c r="P27" s="16" t="n"/>
      <c r="Q27" s="4" t="n"/>
      <c r="R27" s="16" t="n"/>
      <c r="S27" s="20">
        <f>IF(OR(N27="",P27="",R27=""),"",(--TRIM(LEFT(N27,2)))*(--TRIM(LEFT(P27,2)))*(--TRIM(LEFT(R27,2))))</f>
        <v/>
      </c>
      <c r="T27" s="20">
        <f>IF(OR(N27="",P27="",R27=""),"",INDEX(APGrid,COUNTIF(APS,"&gt;"&amp;(--TRIM(LEFT(N27,2))))*5+COUNTIF(APO,"&gt;"&amp;(--TRIM(LEFT(P27,2))))+1,COUNTIF(APD,"&gt;"&amp;(--TRIM(LEFT(R27,2))))+1))</f>
        <v/>
      </c>
      <c r="U27" s="20">
        <f>IF(S27="","",IF(OR((--TRIM(LEFT(N27,2)))&gt;=SThr,S27&gt;=RPNThr,T27="H"),"Yes","No"))</f>
        <v/>
      </c>
      <c r="V27" s="4" t="n"/>
      <c r="W27" s="4" t="n"/>
      <c r="X27" s="4" t="n"/>
      <c r="Y27" s="29" t="n"/>
      <c r="Z27" s="16" t="n"/>
      <c r="AA27" s="16" t="n"/>
      <c r="AB27" s="16" t="n"/>
      <c r="AC27" s="20">
        <f>IF(OR(Z27="",AA27="",AB27=""),"",(--TRIM(LEFT(Z27,2)))*(--TRIM(LEFT(AA27,2)))*(--TRIM(LEFT(AB27,2))))</f>
        <v/>
      </c>
      <c r="AD27" s="20">
        <f>IF(OR(Z27="",AA27="",AB27=""),"",INDEX(APGrid,COUNTIF(APS,"&gt;"&amp;(--TRIM(LEFT(Z27,2))))*5+COUNTIF(APO,"&gt;"&amp;(--TRIM(LEFT(AA27,2))))+1,COUNTIF(APD,"&gt;"&amp;(--TRIM(LEFT(AB27,2))))+1))</f>
        <v/>
      </c>
      <c r="AE27" s="4" t="n"/>
      <c r="AF27" s="4" t="n"/>
      <c r="AH27">
        <f>IFERROR(INDEX(EqTag,_xlfn.AGGREGATE(15,6,(ROW(EqTag)-4)/((EqSys=$D$3)*(EqTag&lt;&gt;"")),ROWS($AH$14:AH27))),"")</f>
        <v/>
      </c>
    </row>
    <row r="28">
      <c r="A28" s="20">
        <f>IF(F28="","",LEFT($D$3,3)&amp;"-"&amp;TEXT(COUNTIF(F$14:F28,"?*"),"00"))</f>
        <v/>
      </c>
      <c r="B28" s="4" t="n"/>
      <c r="C28" s="5">
        <f>IF(B28="","",IFERROR(INDEX(EqTypeCol,MATCH(B28,EqTag,0)),"Tag not in register"))</f>
        <v/>
      </c>
      <c r="D28" s="4" t="n"/>
      <c r="E28" s="4" t="n"/>
      <c r="F28" s="4" t="n"/>
      <c r="G28" s="4" t="n"/>
      <c r="H28" s="4" t="n"/>
      <c r="I28" s="4" t="n"/>
      <c r="J28" s="5">
        <f>_xlfn.TEXTJOIN(CHAR(10),TRUE,IF(G28="","","• "&amp;G28),IF(H28="","","• "&amp;H28),IF(I28="","","• "&amp;I28))</f>
        <v/>
      </c>
      <c r="K28" s="4" t="n"/>
      <c r="L28" s="4" t="n"/>
      <c r="M28" s="4" t="n"/>
      <c r="N28" s="16" t="n"/>
      <c r="O28" s="4" t="n"/>
      <c r="P28" s="16" t="n"/>
      <c r="Q28" s="4" t="n"/>
      <c r="R28" s="16" t="n"/>
      <c r="S28" s="20">
        <f>IF(OR(N28="",P28="",R28=""),"",(--TRIM(LEFT(N28,2)))*(--TRIM(LEFT(P28,2)))*(--TRIM(LEFT(R28,2))))</f>
        <v/>
      </c>
      <c r="T28" s="20">
        <f>IF(OR(N28="",P28="",R28=""),"",INDEX(APGrid,COUNTIF(APS,"&gt;"&amp;(--TRIM(LEFT(N28,2))))*5+COUNTIF(APO,"&gt;"&amp;(--TRIM(LEFT(P28,2))))+1,COUNTIF(APD,"&gt;"&amp;(--TRIM(LEFT(R28,2))))+1))</f>
        <v/>
      </c>
      <c r="U28" s="20">
        <f>IF(S28="","",IF(OR((--TRIM(LEFT(N28,2)))&gt;=SThr,S28&gt;=RPNThr,T28="H"),"Yes","No"))</f>
        <v/>
      </c>
      <c r="V28" s="4" t="n"/>
      <c r="W28" s="4" t="n"/>
      <c r="X28" s="4" t="n"/>
      <c r="Y28" s="29" t="n"/>
      <c r="Z28" s="16" t="n"/>
      <c r="AA28" s="16" t="n"/>
      <c r="AB28" s="16" t="n"/>
      <c r="AC28" s="20">
        <f>IF(OR(Z28="",AA28="",AB28=""),"",(--TRIM(LEFT(Z28,2)))*(--TRIM(LEFT(AA28,2)))*(--TRIM(LEFT(AB28,2))))</f>
        <v/>
      </c>
      <c r="AD28" s="20">
        <f>IF(OR(Z28="",AA28="",AB28=""),"",INDEX(APGrid,COUNTIF(APS,"&gt;"&amp;(--TRIM(LEFT(Z28,2))))*5+COUNTIF(APO,"&gt;"&amp;(--TRIM(LEFT(AA28,2))))+1,COUNTIF(APD,"&gt;"&amp;(--TRIM(LEFT(AB28,2))))+1))</f>
        <v/>
      </c>
      <c r="AE28" s="4" t="n"/>
      <c r="AF28" s="4" t="n"/>
      <c r="AH28">
        <f>IFERROR(INDEX(EqTag,_xlfn.AGGREGATE(15,6,(ROW(EqTag)-4)/((EqSys=$D$3)*(EqTag&lt;&gt;"")),ROWS($AH$14:AH28))),"")</f>
        <v/>
      </c>
    </row>
    <row r="29">
      <c r="A29" s="20">
        <f>IF(F29="","",LEFT($D$3,3)&amp;"-"&amp;TEXT(COUNTIF(F$14:F29,"?*"),"00"))</f>
        <v/>
      </c>
      <c r="B29" s="4" t="n"/>
      <c r="C29" s="5">
        <f>IF(B29="","",IFERROR(INDEX(EqTypeCol,MATCH(B29,EqTag,0)),"Tag not in register"))</f>
        <v/>
      </c>
      <c r="D29" s="4" t="n"/>
      <c r="E29" s="4" t="n"/>
      <c r="F29" s="4" t="n"/>
      <c r="G29" s="4" t="n"/>
      <c r="H29" s="4" t="n"/>
      <c r="I29" s="4" t="n"/>
      <c r="J29" s="5">
        <f>_xlfn.TEXTJOIN(CHAR(10),TRUE,IF(G29="","","• "&amp;G29),IF(H29="","","• "&amp;H29),IF(I29="","","• "&amp;I29))</f>
        <v/>
      </c>
      <c r="K29" s="4" t="n"/>
      <c r="L29" s="4" t="n"/>
      <c r="M29" s="4" t="n"/>
      <c r="N29" s="16" t="n"/>
      <c r="O29" s="4" t="n"/>
      <c r="P29" s="16" t="n"/>
      <c r="Q29" s="4" t="n"/>
      <c r="R29" s="16" t="n"/>
      <c r="S29" s="20">
        <f>IF(OR(N29="",P29="",R29=""),"",(--TRIM(LEFT(N29,2)))*(--TRIM(LEFT(P29,2)))*(--TRIM(LEFT(R29,2))))</f>
        <v/>
      </c>
      <c r="T29" s="20">
        <f>IF(OR(N29="",P29="",R29=""),"",INDEX(APGrid,COUNTIF(APS,"&gt;"&amp;(--TRIM(LEFT(N29,2))))*5+COUNTIF(APO,"&gt;"&amp;(--TRIM(LEFT(P29,2))))+1,COUNTIF(APD,"&gt;"&amp;(--TRIM(LEFT(R29,2))))+1))</f>
        <v/>
      </c>
      <c r="U29" s="20">
        <f>IF(S29="","",IF(OR((--TRIM(LEFT(N29,2)))&gt;=SThr,S29&gt;=RPNThr,T29="H"),"Yes","No"))</f>
        <v/>
      </c>
      <c r="V29" s="4" t="n"/>
      <c r="W29" s="4" t="n"/>
      <c r="X29" s="4" t="n"/>
      <c r="Y29" s="29" t="n"/>
      <c r="Z29" s="16" t="n"/>
      <c r="AA29" s="16" t="n"/>
      <c r="AB29" s="16" t="n"/>
      <c r="AC29" s="20">
        <f>IF(OR(Z29="",AA29="",AB29=""),"",(--TRIM(LEFT(Z29,2)))*(--TRIM(LEFT(AA29,2)))*(--TRIM(LEFT(AB29,2))))</f>
        <v/>
      </c>
      <c r="AD29" s="20">
        <f>IF(OR(Z29="",AA29="",AB29=""),"",INDEX(APGrid,COUNTIF(APS,"&gt;"&amp;(--TRIM(LEFT(Z29,2))))*5+COUNTIF(APO,"&gt;"&amp;(--TRIM(LEFT(AA29,2))))+1,COUNTIF(APD,"&gt;"&amp;(--TRIM(LEFT(AB29,2))))+1))</f>
        <v/>
      </c>
      <c r="AE29" s="4" t="n"/>
      <c r="AF29" s="4" t="n"/>
      <c r="AH29">
        <f>IFERROR(INDEX(EqTag,_xlfn.AGGREGATE(15,6,(ROW(EqTag)-4)/((EqSys=$D$3)*(EqTag&lt;&gt;"")),ROWS($AH$14:AH29))),"")</f>
        <v/>
      </c>
    </row>
    <row r="30">
      <c r="A30" s="20">
        <f>IF(F30="","",LEFT($D$3,3)&amp;"-"&amp;TEXT(COUNTIF(F$14:F30,"?*"),"00"))</f>
        <v/>
      </c>
      <c r="B30" s="4" t="n"/>
      <c r="C30" s="5">
        <f>IF(B30="","",IFERROR(INDEX(EqTypeCol,MATCH(B30,EqTag,0)),"Tag not in register"))</f>
        <v/>
      </c>
      <c r="D30" s="4" t="n"/>
      <c r="E30" s="4" t="n"/>
      <c r="F30" s="4" t="n"/>
      <c r="G30" s="4" t="n"/>
      <c r="H30" s="4" t="n"/>
      <c r="I30" s="4" t="n"/>
      <c r="J30" s="5">
        <f>_xlfn.TEXTJOIN(CHAR(10),TRUE,IF(G30="","","• "&amp;G30),IF(H30="","","• "&amp;H30),IF(I30="","","• "&amp;I30))</f>
        <v/>
      </c>
      <c r="K30" s="4" t="n"/>
      <c r="L30" s="4" t="n"/>
      <c r="M30" s="4" t="n"/>
      <c r="N30" s="16" t="n"/>
      <c r="O30" s="4" t="n"/>
      <c r="P30" s="16" t="n"/>
      <c r="Q30" s="4" t="n"/>
      <c r="R30" s="16" t="n"/>
      <c r="S30" s="20">
        <f>IF(OR(N30="",P30="",R30=""),"",(--TRIM(LEFT(N30,2)))*(--TRIM(LEFT(P30,2)))*(--TRIM(LEFT(R30,2))))</f>
        <v/>
      </c>
      <c r="T30" s="20">
        <f>IF(OR(N30="",P30="",R30=""),"",INDEX(APGrid,COUNTIF(APS,"&gt;"&amp;(--TRIM(LEFT(N30,2))))*5+COUNTIF(APO,"&gt;"&amp;(--TRIM(LEFT(P30,2))))+1,COUNTIF(APD,"&gt;"&amp;(--TRIM(LEFT(R30,2))))+1))</f>
        <v/>
      </c>
      <c r="U30" s="20">
        <f>IF(S30="","",IF(OR((--TRIM(LEFT(N30,2)))&gt;=SThr,S30&gt;=RPNThr,T30="H"),"Yes","No"))</f>
        <v/>
      </c>
      <c r="V30" s="4" t="n"/>
      <c r="W30" s="4" t="n"/>
      <c r="X30" s="4" t="n"/>
      <c r="Y30" s="29" t="n"/>
      <c r="Z30" s="16" t="n"/>
      <c r="AA30" s="16" t="n"/>
      <c r="AB30" s="16" t="n"/>
      <c r="AC30" s="20">
        <f>IF(OR(Z30="",AA30="",AB30=""),"",(--TRIM(LEFT(Z30,2)))*(--TRIM(LEFT(AA30,2)))*(--TRIM(LEFT(AB30,2))))</f>
        <v/>
      </c>
      <c r="AD30" s="20">
        <f>IF(OR(Z30="",AA30="",AB30=""),"",INDEX(APGrid,COUNTIF(APS,"&gt;"&amp;(--TRIM(LEFT(Z30,2))))*5+COUNTIF(APO,"&gt;"&amp;(--TRIM(LEFT(AA30,2))))+1,COUNTIF(APD,"&gt;"&amp;(--TRIM(LEFT(AB30,2))))+1))</f>
        <v/>
      </c>
      <c r="AE30" s="4" t="n"/>
      <c r="AF30" s="4" t="n"/>
      <c r="AH30">
        <f>IFERROR(INDEX(EqTag,_xlfn.AGGREGATE(15,6,(ROW(EqTag)-4)/((EqSys=$D$3)*(EqTag&lt;&gt;"")),ROWS($AH$14:AH30))),"")</f>
        <v/>
      </c>
    </row>
    <row r="31">
      <c r="A31" s="20">
        <f>IF(F31="","",LEFT($D$3,3)&amp;"-"&amp;TEXT(COUNTIF(F$14:F31,"?*"),"00"))</f>
        <v/>
      </c>
      <c r="B31" s="4" t="n"/>
      <c r="C31" s="5">
        <f>IF(B31="","",IFERROR(INDEX(EqTypeCol,MATCH(B31,EqTag,0)),"Tag not in register"))</f>
        <v/>
      </c>
      <c r="D31" s="4" t="n"/>
      <c r="E31" s="4" t="n"/>
      <c r="F31" s="4" t="n"/>
      <c r="G31" s="4" t="n"/>
      <c r="H31" s="4" t="n"/>
      <c r="I31" s="4" t="n"/>
      <c r="J31" s="5">
        <f>_xlfn.TEXTJOIN(CHAR(10),TRUE,IF(G31="","","• "&amp;G31),IF(H31="","","• "&amp;H31),IF(I31="","","• "&amp;I31))</f>
        <v/>
      </c>
      <c r="K31" s="4" t="n"/>
      <c r="L31" s="4" t="n"/>
      <c r="M31" s="4" t="n"/>
      <c r="N31" s="16" t="n"/>
      <c r="O31" s="4" t="n"/>
      <c r="P31" s="16" t="n"/>
      <c r="Q31" s="4" t="n"/>
      <c r="R31" s="16" t="n"/>
      <c r="S31" s="20">
        <f>IF(OR(N31="",P31="",R31=""),"",(--TRIM(LEFT(N31,2)))*(--TRIM(LEFT(P31,2)))*(--TRIM(LEFT(R31,2))))</f>
        <v/>
      </c>
      <c r="T31" s="20">
        <f>IF(OR(N31="",P31="",R31=""),"",INDEX(APGrid,COUNTIF(APS,"&gt;"&amp;(--TRIM(LEFT(N31,2))))*5+COUNTIF(APO,"&gt;"&amp;(--TRIM(LEFT(P31,2))))+1,COUNTIF(APD,"&gt;"&amp;(--TRIM(LEFT(R31,2))))+1))</f>
        <v/>
      </c>
      <c r="U31" s="20">
        <f>IF(S31="","",IF(OR((--TRIM(LEFT(N31,2)))&gt;=SThr,S31&gt;=RPNThr,T31="H"),"Yes","No"))</f>
        <v/>
      </c>
      <c r="V31" s="4" t="n"/>
      <c r="W31" s="4" t="n"/>
      <c r="X31" s="4" t="n"/>
      <c r="Y31" s="29" t="n"/>
      <c r="Z31" s="16" t="n"/>
      <c r="AA31" s="16" t="n"/>
      <c r="AB31" s="16" t="n"/>
      <c r="AC31" s="20">
        <f>IF(OR(Z31="",AA31="",AB31=""),"",(--TRIM(LEFT(Z31,2)))*(--TRIM(LEFT(AA31,2)))*(--TRIM(LEFT(AB31,2))))</f>
        <v/>
      </c>
      <c r="AD31" s="20">
        <f>IF(OR(Z31="",AA31="",AB31=""),"",INDEX(APGrid,COUNTIF(APS,"&gt;"&amp;(--TRIM(LEFT(Z31,2))))*5+COUNTIF(APO,"&gt;"&amp;(--TRIM(LEFT(AA31,2))))+1,COUNTIF(APD,"&gt;"&amp;(--TRIM(LEFT(AB31,2))))+1))</f>
        <v/>
      </c>
      <c r="AE31" s="4" t="n"/>
      <c r="AF31" s="4" t="n"/>
      <c r="AH31">
        <f>IFERROR(INDEX(EqTag,_xlfn.AGGREGATE(15,6,(ROW(EqTag)-4)/((EqSys=$D$3)*(EqTag&lt;&gt;"")),ROWS($AH$14:AH31))),"")</f>
        <v/>
      </c>
    </row>
    <row r="32">
      <c r="A32" s="20">
        <f>IF(F32="","",LEFT($D$3,3)&amp;"-"&amp;TEXT(COUNTIF(F$14:F32,"?*"),"00"))</f>
        <v/>
      </c>
      <c r="B32" s="4" t="n"/>
      <c r="C32" s="5">
        <f>IF(B32="","",IFERROR(INDEX(EqTypeCol,MATCH(B32,EqTag,0)),"Tag not in register"))</f>
        <v/>
      </c>
      <c r="D32" s="4" t="n"/>
      <c r="E32" s="4" t="n"/>
      <c r="F32" s="4" t="n"/>
      <c r="G32" s="4" t="n"/>
      <c r="H32" s="4" t="n"/>
      <c r="I32" s="4" t="n"/>
      <c r="J32" s="5">
        <f>_xlfn.TEXTJOIN(CHAR(10),TRUE,IF(G32="","","• "&amp;G32),IF(H32="","","• "&amp;H32),IF(I32="","","• "&amp;I32))</f>
        <v/>
      </c>
      <c r="K32" s="4" t="n"/>
      <c r="L32" s="4" t="n"/>
      <c r="M32" s="4" t="n"/>
      <c r="N32" s="16" t="n"/>
      <c r="O32" s="4" t="n"/>
      <c r="P32" s="16" t="n"/>
      <c r="Q32" s="4" t="n"/>
      <c r="R32" s="16" t="n"/>
      <c r="S32" s="20">
        <f>IF(OR(N32="",P32="",R32=""),"",(--TRIM(LEFT(N32,2)))*(--TRIM(LEFT(P32,2)))*(--TRIM(LEFT(R32,2))))</f>
        <v/>
      </c>
      <c r="T32" s="20">
        <f>IF(OR(N32="",P32="",R32=""),"",INDEX(APGrid,COUNTIF(APS,"&gt;"&amp;(--TRIM(LEFT(N32,2))))*5+COUNTIF(APO,"&gt;"&amp;(--TRIM(LEFT(P32,2))))+1,COUNTIF(APD,"&gt;"&amp;(--TRIM(LEFT(R32,2))))+1))</f>
        <v/>
      </c>
      <c r="U32" s="20">
        <f>IF(S32="","",IF(OR((--TRIM(LEFT(N32,2)))&gt;=SThr,S32&gt;=RPNThr,T32="H"),"Yes","No"))</f>
        <v/>
      </c>
      <c r="V32" s="4" t="n"/>
      <c r="W32" s="4" t="n"/>
      <c r="X32" s="4" t="n"/>
      <c r="Y32" s="29" t="n"/>
      <c r="Z32" s="16" t="n"/>
      <c r="AA32" s="16" t="n"/>
      <c r="AB32" s="16" t="n"/>
      <c r="AC32" s="20">
        <f>IF(OR(Z32="",AA32="",AB32=""),"",(--TRIM(LEFT(Z32,2)))*(--TRIM(LEFT(AA32,2)))*(--TRIM(LEFT(AB32,2))))</f>
        <v/>
      </c>
      <c r="AD32" s="20">
        <f>IF(OR(Z32="",AA32="",AB32=""),"",INDEX(APGrid,COUNTIF(APS,"&gt;"&amp;(--TRIM(LEFT(Z32,2))))*5+COUNTIF(APO,"&gt;"&amp;(--TRIM(LEFT(AA32,2))))+1,COUNTIF(APD,"&gt;"&amp;(--TRIM(LEFT(AB32,2))))+1))</f>
        <v/>
      </c>
      <c r="AE32" s="4" t="n"/>
      <c r="AF32" s="4" t="n"/>
      <c r="AH32">
        <f>IFERROR(INDEX(EqTag,_xlfn.AGGREGATE(15,6,(ROW(EqTag)-4)/((EqSys=$D$3)*(EqTag&lt;&gt;"")),ROWS($AH$14:AH32))),"")</f>
        <v/>
      </c>
    </row>
    <row r="33">
      <c r="A33" s="20">
        <f>IF(F33="","",LEFT($D$3,3)&amp;"-"&amp;TEXT(COUNTIF(F$14:F33,"?*"),"00"))</f>
        <v/>
      </c>
      <c r="B33" s="4" t="n"/>
      <c r="C33" s="5">
        <f>IF(B33="","",IFERROR(INDEX(EqTypeCol,MATCH(B33,EqTag,0)),"Tag not in register"))</f>
        <v/>
      </c>
      <c r="D33" s="4" t="n"/>
      <c r="E33" s="4" t="n"/>
      <c r="F33" s="4" t="n"/>
      <c r="G33" s="4" t="n"/>
      <c r="H33" s="4" t="n"/>
      <c r="I33" s="4" t="n"/>
      <c r="J33" s="5">
        <f>_xlfn.TEXTJOIN(CHAR(10),TRUE,IF(G33="","","• "&amp;G33),IF(H33="","","• "&amp;H33),IF(I33="","","• "&amp;I33))</f>
        <v/>
      </c>
      <c r="K33" s="4" t="n"/>
      <c r="L33" s="4" t="n"/>
      <c r="M33" s="4" t="n"/>
      <c r="N33" s="16" t="n"/>
      <c r="O33" s="4" t="n"/>
      <c r="P33" s="16" t="n"/>
      <c r="Q33" s="4" t="n"/>
      <c r="R33" s="16" t="n"/>
      <c r="S33" s="20">
        <f>IF(OR(N33="",P33="",R33=""),"",(--TRIM(LEFT(N33,2)))*(--TRIM(LEFT(P33,2)))*(--TRIM(LEFT(R33,2))))</f>
        <v/>
      </c>
      <c r="T33" s="20">
        <f>IF(OR(N33="",P33="",R33=""),"",INDEX(APGrid,COUNTIF(APS,"&gt;"&amp;(--TRIM(LEFT(N33,2))))*5+COUNTIF(APO,"&gt;"&amp;(--TRIM(LEFT(P33,2))))+1,COUNTIF(APD,"&gt;"&amp;(--TRIM(LEFT(R33,2))))+1))</f>
        <v/>
      </c>
      <c r="U33" s="20">
        <f>IF(S33="","",IF(OR((--TRIM(LEFT(N33,2)))&gt;=SThr,S33&gt;=RPNThr,T33="H"),"Yes","No"))</f>
        <v/>
      </c>
      <c r="V33" s="4" t="n"/>
      <c r="W33" s="4" t="n"/>
      <c r="X33" s="4" t="n"/>
      <c r="Y33" s="29" t="n"/>
      <c r="Z33" s="16" t="n"/>
      <c r="AA33" s="16" t="n"/>
      <c r="AB33" s="16" t="n"/>
      <c r="AC33" s="20">
        <f>IF(OR(Z33="",AA33="",AB33=""),"",(--TRIM(LEFT(Z33,2)))*(--TRIM(LEFT(AA33,2)))*(--TRIM(LEFT(AB33,2))))</f>
        <v/>
      </c>
      <c r="AD33" s="20">
        <f>IF(OR(Z33="",AA33="",AB33=""),"",INDEX(APGrid,COUNTIF(APS,"&gt;"&amp;(--TRIM(LEFT(Z33,2))))*5+COUNTIF(APO,"&gt;"&amp;(--TRIM(LEFT(AA33,2))))+1,COUNTIF(APD,"&gt;"&amp;(--TRIM(LEFT(AB33,2))))+1))</f>
        <v/>
      </c>
      <c r="AE33" s="4" t="n"/>
      <c r="AF33" s="4" t="n"/>
      <c r="AH33">
        <f>IFERROR(INDEX(EqTag,_xlfn.AGGREGATE(15,6,(ROW(EqTag)-4)/((EqSys=$D$3)*(EqTag&lt;&gt;"")),ROWS($AH$14:AH33))),"")</f>
        <v/>
      </c>
    </row>
    <row r="34">
      <c r="A34" s="20">
        <f>IF(F34="","",LEFT($D$3,3)&amp;"-"&amp;TEXT(COUNTIF(F$14:F34,"?*"),"00"))</f>
        <v/>
      </c>
      <c r="B34" s="4" t="n"/>
      <c r="C34" s="5">
        <f>IF(B34="","",IFERROR(INDEX(EqTypeCol,MATCH(B34,EqTag,0)),"Tag not in register"))</f>
        <v/>
      </c>
      <c r="D34" s="4" t="n"/>
      <c r="E34" s="4" t="n"/>
      <c r="F34" s="4" t="n"/>
      <c r="G34" s="4" t="n"/>
      <c r="H34" s="4" t="n"/>
      <c r="I34" s="4" t="n"/>
      <c r="J34" s="5">
        <f>_xlfn.TEXTJOIN(CHAR(10),TRUE,IF(G34="","","• "&amp;G34),IF(H34="","","• "&amp;H34),IF(I34="","","• "&amp;I34))</f>
        <v/>
      </c>
      <c r="K34" s="4" t="n"/>
      <c r="L34" s="4" t="n"/>
      <c r="M34" s="4" t="n"/>
      <c r="N34" s="16" t="n"/>
      <c r="O34" s="4" t="n"/>
      <c r="P34" s="16" t="n"/>
      <c r="Q34" s="4" t="n"/>
      <c r="R34" s="16" t="n"/>
      <c r="S34" s="20">
        <f>IF(OR(N34="",P34="",R34=""),"",(--TRIM(LEFT(N34,2)))*(--TRIM(LEFT(P34,2)))*(--TRIM(LEFT(R34,2))))</f>
        <v/>
      </c>
      <c r="T34" s="20">
        <f>IF(OR(N34="",P34="",R34=""),"",INDEX(APGrid,COUNTIF(APS,"&gt;"&amp;(--TRIM(LEFT(N34,2))))*5+COUNTIF(APO,"&gt;"&amp;(--TRIM(LEFT(P34,2))))+1,COUNTIF(APD,"&gt;"&amp;(--TRIM(LEFT(R34,2))))+1))</f>
        <v/>
      </c>
      <c r="U34" s="20">
        <f>IF(S34="","",IF(OR((--TRIM(LEFT(N34,2)))&gt;=SThr,S34&gt;=RPNThr,T34="H"),"Yes","No"))</f>
        <v/>
      </c>
      <c r="V34" s="4" t="n"/>
      <c r="W34" s="4" t="n"/>
      <c r="X34" s="4" t="n"/>
      <c r="Y34" s="29" t="n"/>
      <c r="Z34" s="16" t="n"/>
      <c r="AA34" s="16" t="n"/>
      <c r="AB34" s="16" t="n"/>
      <c r="AC34" s="20">
        <f>IF(OR(Z34="",AA34="",AB34=""),"",(--TRIM(LEFT(Z34,2)))*(--TRIM(LEFT(AA34,2)))*(--TRIM(LEFT(AB34,2))))</f>
        <v/>
      </c>
      <c r="AD34" s="20">
        <f>IF(OR(Z34="",AA34="",AB34=""),"",INDEX(APGrid,COUNTIF(APS,"&gt;"&amp;(--TRIM(LEFT(Z34,2))))*5+COUNTIF(APO,"&gt;"&amp;(--TRIM(LEFT(AA34,2))))+1,COUNTIF(APD,"&gt;"&amp;(--TRIM(LEFT(AB34,2))))+1))</f>
        <v/>
      </c>
      <c r="AE34" s="4" t="n"/>
      <c r="AF34" s="4" t="n"/>
      <c r="AH34">
        <f>IFERROR(INDEX(EqTag,_xlfn.AGGREGATE(15,6,(ROW(EqTag)-4)/((EqSys=$D$3)*(EqTag&lt;&gt;"")),ROWS($AH$14:AH34))),"")</f>
        <v/>
      </c>
    </row>
    <row r="35">
      <c r="A35" s="20">
        <f>IF(F35="","",LEFT($D$3,3)&amp;"-"&amp;TEXT(COUNTIF(F$14:F35,"?*"),"00"))</f>
        <v/>
      </c>
      <c r="B35" s="4" t="n"/>
      <c r="C35" s="5">
        <f>IF(B35="","",IFERROR(INDEX(EqTypeCol,MATCH(B35,EqTag,0)),"Tag not in register"))</f>
        <v/>
      </c>
      <c r="D35" s="4" t="n"/>
      <c r="E35" s="4" t="n"/>
      <c r="F35" s="4" t="n"/>
      <c r="G35" s="4" t="n"/>
      <c r="H35" s="4" t="n"/>
      <c r="I35" s="4" t="n"/>
      <c r="J35" s="5">
        <f>_xlfn.TEXTJOIN(CHAR(10),TRUE,IF(G35="","","• "&amp;G35),IF(H35="","","• "&amp;H35),IF(I35="","","• "&amp;I35))</f>
        <v/>
      </c>
      <c r="K35" s="4" t="n"/>
      <c r="L35" s="4" t="n"/>
      <c r="M35" s="4" t="n"/>
      <c r="N35" s="16" t="n"/>
      <c r="O35" s="4" t="n"/>
      <c r="P35" s="16" t="n"/>
      <c r="Q35" s="4" t="n"/>
      <c r="R35" s="16" t="n"/>
      <c r="S35" s="20">
        <f>IF(OR(N35="",P35="",R35=""),"",(--TRIM(LEFT(N35,2)))*(--TRIM(LEFT(P35,2)))*(--TRIM(LEFT(R35,2))))</f>
        <v/>
      </c>
      <c r="T35" s="20">
        <f>IF(OR(N35="",P35="",R35=""),"",INDEX(APGrid,COUNTIF(APS,"&gt;"&amp;(--TRIM(LEFT(N35,2))))*5+COUNTIF(APO,"&gt;"&amp;(--TRIM(LEFT(P35,2))))+1,COUNTIF(APD,"&gt;"&amp;(--TRIM(LEFT(R35,2))))+1))</f>
        <v/>
      </c>
      <c r="U35" s="20">
        <f>IF(S35="","",IF(OR((--TRIM(LEFT(N35,2)))&gt;=SThr,S35&gt;=RPNThr,T35="H"),"Yes","No"))</f>
        <v/>
      </c>
      <c r="V35" s="4" t="n"/>
      <c r="W35" s="4" t="n"/>
      <c r="X35" s="4" t="n"/>
      <c r="Y35" s="29" t="n"/>
      <c r="Z35" s="16" t="n"/>
      <c r="AA35" s="16" t="n"/>
      <c r="AB35" s="16" t="n"/>
      <c r="AC35" s="20">
        <f>IF(OR(Z35="",AA35="",AB35=""),"",(--TRIM(LEFT(Z35,2)))*(--TRIM(LEFT(AA35,2)))*(--TRIM(LEFT(AB35,2))))</f>
        <v/>
      </c>
      <c r="AD35" s="20">
        <f>IF(OR(Z35="",AA35="",AB35=""),"",INDEX(APGrid,COUNTIF(APS,"&gt;"&amp;(--TRIM(LEFT(Z35,2))))*5+COUNTIF(APO,"&gt;"&amp;(--TRIM(LEFT(AA35,2))))+1,COUNTIF(APD,"&gt;"&amp;(--TRIM(LEFT(AB35,2))))+1))</f>
        <v/>
      </c>
      <c r="AE35" s="4" t="n"/>
      <c r="AF35" s="4" t="n"/>
      <c r="AH35">
        <f>IFERROR(INDEX(EqTag,_xlfn.AGGREGATE(15,6,(ROW(EqTag)-4)/((EqSys=$D$3)*(EqTag&lt;&gt;"")),ROWS($AH$14:AH35))),"")</f>
        <v/>
      </c>
    </row>
    <row r="36">
      <c r="A36" s="20">
        <f>IF(F36="","",LEFT($D$3,3)&amp;"-"&amp;TEXT(COUNTIF(F$14:F36,"?*"),"00"))</f>
        <v/>
      </c>
      <c r="B36" s="4" t="n"/>
      <c r="C36" s="5">
        <f>IF(B36="","",IFERROR(INDEX(EqTypeCol,MATCH(B36,EqTag,0)),"Tag not in register"))</f>
        <v/>
      </c>
      <c r="D36" s="4" t="n"/>
      <c r="E36" s="4" t="n"/>
      <c r="F36" s="4" t="n"/>
      <c r="G36" s="4" t="n"/>
      <c r="H36" s="4" t="n"/>
      <c r="I36" s="4" t="n"/>
      <c r="J36" s="5">
        <f>_xlfn.TEXTJOIN(CHAR(10),TRUE,IF(G36="","","• "&amp;G36),IF(H36="","","• "&amp;H36),IF(I36="","","• "&amp;I36))</f>
        <v/>
      </c>
      <c r="K36" s="4" t="n"/>
      <c r="L36" s="4" t="n"/>
      <c r="M36" s="4" t="n"/>
      <c r="N36" s="16" t="n"/>
      <c r="O36" s="4" t="n"/>
      <c r="P36" s="16" t="n"/>
      <c r="Q36" s="4" t="n"/>
      <c r="R36" s="16" t="n"/>
      <c r="S36" s="20">
        <f>IF(OR(N36="",P36="",R36=""),"",(--TRIM(LEFT(N36,2)))*(--TRIM(LEFT(P36,2)))*(--TRIM(LEFT(R36,2))))</f>
        <v/>
      </c>
      <c r="T36" s="20">
        <f>IF(OR(N36="",P36="",R36=""),"",INDEX(APGrid,COUNTIF(APS,"&gt;"&amp;(--TRIM(LEFT(N36,2))))*5+COUNTIF(APO,"&gt;"&amp;(--TRIM(LEFT(P36,2))))+1,COUNTIF(APD,"&gt;"&amp;(--TRIM(LEFT(R36,2))))+1))</f>
        <v/>
      </c>
      <c r="U36" s="20">
        <f>IF(S36="","",IF(OR((--TRIM(LEFT(N36,2)))&gt;=SThr,S36&gt;=RPNThr,T36="H"),"Yes","No"))</f>
        <v/>
      </c>
      <c r="V36" s="4" t="n"/>
      <c r="W36" s="4" t="n"/>
      <c r="X36" s="4" t="n"/>
      <c r="Y36" s="29" t="n"/>
      <c r="Z36" s="16" t="n"/>
      <c r="AA36" s="16" t="n"/>
      <c r="AB36" s="16" t="n"/>
      <c r="AC36" s="20">
        <f>IF(OR(Z36="",AA36="",AB36=""),"",(--TRIM(LEFT(Z36,2)))*(--TRIM(LEFT(AA36,2)))*(--TRIM(LEFT(AB36,2))))</f>
        <v/>
      </c>
      <c r="AD36" s="20">
        <f>IF(OR(Z36="",AA36="",AB36=""),"",INDEX(APGrid,COUNTIF(APS,"&gt;"&amp;(--TRIM(LEFT(Z36,2))))*5+COUNTIF(APO,"&gt;"&amp;(--TRIM(LEFT(AA36,2))))+1,COUNTIF(APD,"&gt;"&amp;(--TRIM(LEFT(AB36,2))))+1))</f>
        <v/>
      </c>
      <c r="AE36" s="4" t="n"/>
      <c r="AF36" s="4" t="n"/>
      <c r="AH36">
        <f>IFERROR(INDEX(EqTag,_xlfn.AGGREGATE(15,6,(ROW(EqTag)-4)/((EqSys=$D$3)*(EqTag&lt;&gt;"")),ROWS($AH$14:AH36))),"")</f>
        <v/>
      </c>
    </row>
    <row r="37">
      <c r="A37" s="20">
        <f>IF(F37="","",LEFT($D$3,3)&amp;"-"&amp;TEXT(COUNTIF(F$14:F37,"?*"),"00"))</f>
        <v/>
      </c>
      <c r="B37" s="4" t="n"/>
      <c r="C37" s="5">
        <f>IF(B37="","",IFERROR(INDEX(EqTypeCol,MATCH(B37,EqTag,0)),"Tag not in register"))</f>
        <v/>
      </c>
      <c r="D37" s="4" t="n"/>
      <c r="E37" s="4" t="n"/>
      <c r="F37" s="4" t="n"/>
      <c r="G37" s="4" t="n"/>
      <c r="H37" s="4" t="n"/>
      <c r="I37" s="4" t="n"/>
      <c r="J37" s="5">
        <f>_xlfn.TEXTJOIN(CHAR(10),TRUE,IF(G37="","","• "&amp;G37),IF(H37="","","• "&amp;H37),IF(I37="","","• "&amp;I37))</f>
        <v/>
      </c>
      <c r="K37" s="4" t="n"/>
      <c r="L37" s="4" t="n"/>
      <c r="M37" s="4" t="n"/>
      <c r="N37" s="16" t="n"/>
      <c r="O37" s="4" t="n"/>
      <c r="P37" s="16" t="n"/>
      <c r="Q37" s="4" t="n"/>
      <c r="R37" s="16" t="n"/>
      <c r="S37" s="20">
        <f>IF(OR(N37="",P37="",R37=""),"",(--TRIM(LEFT(N37,2)))*(--TRIM(LEFT(P37,2)))*(--TRIM(LEFT(R37,2))))</f>
        <v/>
      </c>
      <c r="T37" s="20">
        <f>IF(OR(N37="",P37="",R37=""),"",INDEX(APGrid,COUNTIF(APS,"&gt;"&amp;(--TRIM(LEFT(N37,2))))*5+COUNTIF(APO,"&gt;"&amp;(--TRIM(LEFT(P37,2))))+1,COUNTIF(APD,"&gt;"&amp;(--TRIM(LEFT(R37,2))))+1))</f>
        <v/>
      </c>
      <c r="U37" s="20">
        <f>IF(S37="","",IF(OR((--TRIM(LEFT(N37,2)))&gt;=SThr,S37&gt;=RPNThr,T37="H"),"Yes","No"))</f>
        <v/>
      </c>
      <c r="V37" s="4" t="n"/>
      <c r="W37" s="4" t="n"/>
      <c r="X37" s="4" t="n"/>
      <c r="Y37" s="29" t="n"/>
      <c r="Z37" s="16" t="n"/>
      <c r="AA37" s="16" t="n"/>
      <c r="AB37" s="16" t="n"/>
      <c r="AC37" s="20">
        <f>IF(OR(Z37="",AA37="",AB37=""),"",(--TRIM(LEFT(Z37,2)))*(--TRIM(LEFT(AA37,2)))*(--TRIM(LEFT(AB37,2))))</f>
        <v/>
      </c>
      <c r="AD37" s="20">
        <f>IF(OR(Z37="",AA37="",AB37=""),"",INDEX(APGrid,COUNTIF(APS,"&gt;"&amp;(--TRIM(LEFT(Z37,2))))*5+COUNTIF(APO,"&gt;"&amp;(--TRIM(LEFT(AA37,2))))+1,COUNTIF(APD,"&gt;"&amp;(--TRIM(LEFT(AB37,2))))+1))</f>
        <v/>
      </c>
      <c r="AE37" s="4" t="n"/>
      <c r="AF37" s="4" t="n"/>
      <c r="AH37">
        <f>IFERROR(INDEX(EqTag,_xlfn.AGGREGATE(15,6,(ROW(EqTag)-4)/((EqSys=$D$3)*(EqTag&lt;&gt;"")),ROWS($AH$14:AH37))),"")</f>
        <v/>
      </c>
    </row>
    <row r="38">
      <c r="A38" s="20">
        <f>IF(F38="","",LEFT($D$3,3)&amp;"-"&amp;TEXT(COUNTIF(F$14:F38,"?*"),"00"))</f>
        <v/>
      </c>
      <c r="B38" s="4" t="n"/>
      <c r="C38" s="5">
        <f>IF(B38="","",IFERROR(INDEX(EqTypeCol,MATCH(B38,EqTag,0)),"Tag not in register"))</f>
        <v/>
      </c>
      <c r="D38" s="4" t="n"/>
      <c r="E38" s="4" t="n"/>
      <c r="F38" s="4" t="n"/>
      <c r="G38" s="4" t="n"/>
      <c r="H38" s="4" t="n"/>
      <c r="I38" s="4" t="n"/>
      <c r="J38" s="5">
        <f>_xlfn.TEXTJOIN(CHAR(10),TRUE,IF(G38="","","• "&amp;G38),IF(H38="","","• "&amp;H38),IF(I38="","","• "&amp;I38))</f>
        <v/>
      </c>
      <c r="K38" s="4" t="n"/>
      <c r="L38" s="4" t="n"/>
      <c r="M38" s="4" t="n"/>
      <c r="N38" s="16" t="n"/>
      <c r="O38" s="4" t="n"/>
      <c r="P38" s="16" t="n"/>
      <c r="Q38" s="4" t="n"/>
      <c r="R38" s="16" t="n"/>
      <c r="S38" s="20">
        <f>IF(OR(N38="",P38="",R38=""),"",(--TRIM(LEFT(N38,2)))*(--TRIM(LEFT(P38,2)))*(--TRIM(LEFT(R38,2))))</f>
        <v/>
      </c>
      <c r="T38" s="20">
        <f>IF(OR(N38="",P38="",R38=""),"",INDEX(APGrid,COUNTIF(APS,"&gt;"&amp;(--TRIM(LEFT(N38,2))))*5+COUNTIF(APO,"&gt;"&amp;(--TRIM(LEFT(P38,2))))+1,COUNTIF(APD,"&gt;"&amp;(--TRIM(LEFT(R38,2))))+1))</f>
        <v/>
      </c>
      <c r="U38" s="20">
        <f>IF(S38="","",IF(OR((--TRIM(LEFT(N38,2)))&gt;=SThr,S38&gt;=RPNThr,T38="H"),"Yes","No"))</f>
        <v/>
      </c>
      <c r="V38" s="4" t="n"/>
      <c r="W38" s="4" t="n"/>
      <c r="X38" s="4" t="n"/>
      <c r="Y38" s="29" t="n"/>
      <c r="Z38" s="16" t="n"/>
      <c r="AA38" s="16" t="n"/>
      <c r="AB38" s="16" t="n"/>
      <c r="AC38" s="20">
        <f>IF(OR(Z38="",AA38="",AB38=""),"",(--TRIM(LEFT(Z38,2)))*(--TRIM(LEFT(AA38,2)))*(--TRIM(LEFT(AB38,2))))</f>
        <v/>
      </c>
      <c r="AD38" s="20">
        <f>IF(OR(Z38="",AA38="",AB38=""),"",INDEX(APGrid,COUNTIF(APS,"&gt;"&amp;(--TRIM(LEFT(Z38,2))))*5+COUNTIF(APO,"&gt;"&amp;(--TRIM(LEFT(AA38,2))))+1,COUNTIF(APD,"&gt;"&amp;(--TRIM(LEFT(AB38,2))))+1))</f>
        <v/>
      </c>
      <c r="AE38" s="4" t="n"/>
      <c r="AF38" s="4" t="n"/>
      <c r="AH38">
        <f>IFERROR(INDEX(EqTag,_xlfn.AGGREGATE(15,6,(ROW(EqTag)-4)/((EqSys=$D$3)*(EqTag&lt;&gt;"")),ROWS($AH$14:AH38))),"")</f>
        <v/>
      </c>
    </row>
    <row r="39">
      <c r="A39" s="20">
        <f>IF(F39="","",LEFT($D$3,3)&amp;"-"&amp;TEXT(COUNTIF(F$14:F39,"?*"),"00"))</f>
        <v/>
      </c>
      <c r="B39" s="4" t="n"/>
      <c r="C39" s="5">
        <f>IF(B39="","",IFERROR(INDEX(EqTypeCol,MATCH(B39,EqTag,0)),"Tag not in register"))</f>
        <v/>
      </c>
      <c r="D39" s="4" t="n"/>
      <c r="E39" s="4" t="n"/>
      <c r="F39" s="4" t="n"/>
      <c r="G39" s="4" t="n"/>
      <c r="H39" s="4" t="n"/>
      <c r="I39" s="4" t="n"/>
      <c r="J39" s="5">
        <f>_xlfn.TEXTJOIN(CHAR(10),TRUE,IF(G39="","","• "&amp;G39),IF(H39="","","• "&amp;H39),IF(I39="","","• "&amp;I39))</f>
        <v/>
      </c>
      <c r="K39" s="4" t="n"/>
      <c r="L39" s="4" t="n"/>
      <c r="M39" s="4" t="n"/>
      <c r="N39" s="16" t="n"/>
      <c r="O39" s="4" t="n"/>
      <c r="P39" s="16" t="n"/>
      <c r="Q39" s="4" t="n"/>
      <c r="R39" s="16" t="n"/>
      <c r="S39" s="20">
        <f>IF(OR(N39="",P39="",R39=""),"",(--TRIM(LEFT(N39,2)))*(--TRIM(LEFT(P39,2)))*(--TRIM(LEFT(R39,2))))</f>
        <v/>
      </c>
      <c r="T39" s="20">
        <f>IF(OR(N39="",P39="",R39=""),"",INDEX(APGrid,COUNTIF(APS,"&gt;"&amp;(--TRIM(LEFT(N39,2))))*5+COUNTIF(APO,"&gt;"&amp;(--TRIM(LEFT(P39,2))))+1,COUNTIF(APD,"&gt;"&amp;(--TRIM(LEFT(R39,2))))+1))</f>
        <v/>
      </c>
      <c r="U39" s="20">
        <f>IF(S39="","",IF(OR((--TRIM(LEFT(N39,2)))&gt;=SThr,S39&gt;=RPNThr,T39="H"),"Yes","No"))</f>
        <v/>
      </c>
      <c r="V39" s="4" t="n"/>
      <c r="W39" s="4" t="n"/>
      <c r="X39" s="4" t="n"/>
      <c r="Y39" s="29" t="n"/>
      <c r="Z39" s="16" t="n"/>
      <c r="AA39" s="16" t="n"/>
      <c r="AB39" s="16" t="n"/>
      <c r="AC39" s="20">
        <f>IF(OR(Z39="",AA39="",AB39=""),"",(--TRIM(LEFT(Z39,2)))*(--TRIM(LEFT(AA39,2)))*(--TRIM(LEFT(AB39,2))))</f>
        <v/>
      </c>
      <c r="AD39" s="20">
        <f>IF(OR(Z39="",AA39="",AB39=""),"",INDEX(APGrid,COUNTIF(APS,"&gt;"&amp;(--TRIM(LEFT(Z39,2))))*5+COUNTIF(APO,"&gt;"&amp;(--TRIM(LEFT(AA39,2))))+1,COUNTIF(APD,"&gt;"&amp;(--TRIM(LEFT(AB39,2))))+1))</f>
        <v/>
      </c>
      <c r="AE39" s="4" t="n"/>
      <c r="AF39" s="4" t="n"/>
      <c r="AH39">
        <f>IFERROR(INDEX(EqTag,_xlfn.AGGREGATE(15,6,(ROW(EqTag)-4)/((EqSys=$D$3)*(EqTag&lt;&gt;"")),ROWS($AH$14:AH39))),"")</f>
        <v/>
      </c>
    </row>
    <row r="40">
      <c r="A40" s="20">
        <f>IF(F40="","",LEFT($D$3,3)&amp;"-"&amp;TEXT(COUNTIF(F$14:F40,"?*"),"00"))</f>
        <v/>
      </c>
      <c r="B40" s="4" t="n"/>
      <c r="C40" s="5">
        <f>IF(B40="","",IFERROR(INDEX(EqTypeCol,MATCH(B40,EqTag,0)),"Tag not in register"))</f>
        <v/>
      </c>
      <c r="D40" s="4" t="n"/>
      <c r="E40" s="4" t="n"/>
      <c r="F40" s="4" t="n"/>
      <c r="G40" s="4" t="n"/>
      <c r="H40" s="4" t="n"/>
      <c r="I40" s="4" t="n"/>
      <c r="J40" s="5">
        <f>_xlfn.TEXTJOIN(CHAR(10),TRUE,IF(G40="","","• "&amp;G40),IF(H40="","","• "&amp;H40),IF(I40="","","• "&amp;I40))</f>
        <v/>
      </c>
      <c r="K40" s="4" t="n"/>
      <c r="L40" s="4" t="n"/>
      <c r="M40" s="4" t="n"/>
      <c r="N40" s="16" t="n"/>
      <c r="O40" s="4" t="n"/>
      <c r="P40" s="16" t="n"/>
      <c r="Q40" s="4" t="n"/>
      <c r="R40" s="16" t="n"/>
      <c r="S40" s="20">
        <f>IF(OR(N40="",P40="",R40=""),"",(--TRIM(LEFT(N40,2)))*(--TRIM(LEFT(P40,2)))*(--TRIM(LEFT(R40,2))))</f>
        <v/>
      </c>
      <c r="T40" s="20">
        <f>IF(OR(N40="",P40="",R40=""),"",INDEX(APGrid,COUNTIF(APS,"&gt;"&amp;(--TRIM(LEFT(N40,2))))*5+COUNTIF(APO,"&gt;"&amp;(--TRIM(LEFT(P40,2))))+1,COUNTIF(APD,"&gt;"&amp;(--TRIM(LEFT(R40,2))))+1))</f>
        <v/>
      </c>
      <c r="U40" s="20">
        <f>IF(S40="","",IF(OR((--TRIM(LEFT(N40,2)))&gt;=SThr,S40&gt;=RPNThr,T40="H"),"Yes","No"))</f>
        <v/>
      </c>
      <c r="V40" s="4" t="n"/>
      <c r="W40" s="4" t="n"/>
      <c r="X40" s="4" t="n"/>
      <c r="Y40" s="29" t="n"/>
      <c r="Z40" s="16" t="n"/>
      <c r="AA40" s="16" t="n"/>
      <c r="AB40" s="16" t="n"/>
      <c r="AC40" s="20">
        <f>IF(OR(Z40="",AA40="",AB40=""),"",(--TRIM(LEFT(Z40,2)))*(--TRIM(LEFT(AA40,2)))*(--TRIM(LEFT(AB40,2))))</f>
        <v/>
      </c>
      <c r="AD40" s="20">
        <f>IF(OR(Z40="",AA40="",AB40=""),"",INDEX(APGrid,COUNTIF(APS,"&gt;"&amp;(--TRIM(LEFT(Z40,2))))*5+COUNTIF(APO,"&gt;"&amp;(--TRIM(LEFT(AA40,2))))+1,COUNTIF(APD,"&gt;"&amp;(--TRIM(LEFT(AB40,2))))+1))</f>
        <v/>
      </c>
      <c r="AE40" s="4" t="n"/>
      <c r="AF40" s="4" t="n"/>
      <c r="AH40">
        <f>IFERROR(INDEX(EqTag,_xlfn.AGGREGATE(15,6,(ROW(EqTag)-4)/((EqSys=$D$3)*(EqTag&lt;&gt;"")),ROWS($AH$14:AH40))),"")</f>
        <v/>
      </c>
    </row>
    <row r="41">
      <c r="A41" s="20">
        <f>IF(F41="","",LEFT($D$3,3)&amp;"-"&amp;TEXT(COUNTIF(F$14:F41,"?*"),"00"))</f>
        <v/>
      </c>
      <c r="B41" s="4" t="n"/>
      <c r="C41" s="5">
        <f>IF(B41="","",IFERROR(INDEX(EqTypeCol,MATCH(B41,EqTag,0)),"Tag not in register"))</f>
        <v/>
      </c>
      <c r="D41" s="4" t="n"/>
      <c r="E41" s="4" t="n"/>
      <c r="F41" s="4" t="n"/>
      <c r="G41" s="4" t="n"/>
      <c r="H41" s="4" t="n"/>
      <c r="I41" s="4" t="n"/>
      <c r="J41" s="5">
        <f>_xlfn.TEXTJOIN(CHAR(10),TRUE,IF(G41="","","• "&amp;G41),IF(H41="","","• "&amp;H41),IF(I41="","","• "&amp;I41))</f>
        <v/>
      </c>
      <c r="K41" s="4" t="n"/>
      <c r="L41" s="4" t="n"/>
      <c r="M41" s="4" t="n"/>
      <c r="N41" s="16" t="n"/>
      <c r="O41" s="4" t="n"/>
      <c r="P41" s="16" t="n"/>
      <c r="Q41" s="4" t="n"/>
      <c r="R41" s="16" t="n"/>
      <c r="S41" s="20">
        <f>IF(OR(N41="",P41="",R41=""),"",(--TRIM(LEFT(N41,2)))*(--TRIM(LEFT(P41,2)))*(--TRIM(LEFT(R41,2))))</f>
        <v/>
      </c>
      <c r="T41" s="20">
        <f>IF(OR(N41="",P41="",R41=""),"",INDEX(APGrid,COUNTIF(APS,"&gt;"&amp;(--TRIM(LEFT(N41,2))))*5+COUNTIF(APO,"&gt;"&amp;(--TRIM(LEFT(P41,2))))+1,COUNTIF(APD,"&gt;"&amp;(--TRIM(LEFT(R41,2))))+1))</f>
        <v/>
      </c>
      <c r="U41" s="20">
        <f>IF(S41="","",IF(OR((--TRIM(LEFT(N41,2)))&gt;=SThr,S41&gt;=RPNThr,T41="H"),"Yes","No"))</f>
        <v/>
      </c>
      <c r="V41" s="4" t="n"/>
      <c r="W41" s="4" t="n"/>
      <c r="X41" s="4" t="n"/>
      <c r="Y41" s="29" t="n"/>
      <c r="Z41" s="16" t="n"/>
      <c r="AA41" s="16" t="n"/>
      <c r="AB41" s="16" t="n"/>
      <c r="AC41" s="20">
        <f>IF(OR(Z41="",AA41="",AB41=""),"",(--TRIM(LEFT(Z41,2)))*(--TRIM(LEFT(AA41,2)))*(--TRIM(LEFT(AB41,2))))</f>
        <v/>
      </c>
      <c r="AD41" s="20">
        <f>IF(OR(Z41="",AA41="",AB41=""),"",INDEX(APGrid,COUNTIF(APS,"&gt;"&amp;(--TRIM(LEFT(Z41,2))))*5+COUNTIF(APO,"&gt;"&amp;(--TRIM(LEFT(AA41,2))))+1,COUNTIF(APD,"&gt;"&amp;(--TRIM(LEFT(AB41,2))))+1))</f>
        <v/>
      </c>
      <c r="AE41" s="4" t="n"/>
      <c r="AF41" s="4" t="n"/>
      <c r="AH41">
        <f>IFERROR(INDEX(EqTag,_xlfn.AGGREGATE(15,6,(ROW(EqTag)-4)/((EqSys=$D$3)*(EqTag&lt;&gt;"")),ROWS($AH$14:AH41))),"")</f>
        <v/>
      </c>
    </row>
    <row r="42">
      <c r="A42" s="20">
        <f>IF(F42="","",LEFT($D$3,3)&amp;"-"&amp;TEXT(COUNTIF(F$14:F42,"?*"),"00"))</f>
        <v/>
      </c>
      <c r="B42" s="4" t="n"/>
      <c r="C42" s="5">
        <f>IF(B42="","",IFERROR(INDEX(EqTypeCol,MATCH(B42,EqTag,0)),"Tag not in register"))</f>
        <v/>
      </c>
      <c r="D42" s="4" t="n"/>
      <c r="E42" s="4" t="n"/>
      <c r="F42" s="4" t="n"/>
      <c r="G42" s="4" t="n"/>
      <c r="H42" s="4" t="n"/>
      <c r="I42" s="4" t="n"/>
      <c r="J42" s="5">
        <f>_xlfn.TEXTJOIN(CHAR(10),TRUE,IF(G42="","","• "&amp;G42),IF(H42="","","• "&amp;H42),IF(I42="","","• "&amp;I42))</f>
        <v/>
      </c>
      <c r="K42" s="4" t="n"/>
      <c r="L42" s="4" t="n"/>
      <c r="M42" s="4" t="n"/>
      <c r="N42" s="16" t="n"/>
      <c r="O42" s="4" t="n"/>
      <c r="P42" s="16" t="n"/>
      <c r="Q42" s="4" t="n"/>
      <c r="R42" s="16" t="n"/>
      <c r="S42" s="20">
        <f>IF(OR(N42="",P42="",R42=""),"",(--TRIM(LEFT(N42,2)))*(--TRIM(LEFT(P42,2)))*(--TRIM(LEFT(R42,2))))</f>
        <v/>
      </c>
      <c r="T42" s="20">
        <f>IF(OR(N42="",P42="",R42=""),"",INDEX(APGrid,COUNTIF(APS,"&gt;"&amp;(--TRIM(LEFT(N42,2))))*5+COUNTIF(APO,"&gt;"&amp;(--TRIM(LEFT(P42,2))))+1,COUNTIF(APD,"&gt;"&amp;(--TRIM(LEFT(R42,2))))+1))</f>
        <v/>
      </c>
      <c r="U42" s="20">
        <f>IF(S42="","",IF(OR((--TRIM(LEFT(N42,2)))&gt;=SThr,S42&gt;=RPNThr,T42="H"),"Yes","No"))</f>
        <v/>
      </c>
      <c r="V42" s="4" t="n"/>
      <c r="W42" s="4" t="n"/>
      <c r="X42" s="4" t="n"/>
      <c r="Y42" s="29" t="n"/>
      <c r="Z42" s="16" t="n"/>
      <c r="AA42" s="16" t="n"/>
      <c r="AB42" s="16" t="n"/>
      <c r="AC42" s="20">
        <f>IF(OR(Z42="",AA42="",AB42=""),"",(--TRIM(LEFT(Z42,2)))*(--TRIM(LEFT(AA42,2)))*(--TRIM(LEFT(AB42,2))))</f>
        <v/>
      </c>
      <c r="AD42" s="20">
        <f>IF(OR(Z42="",AA42="",AB42=""),"",INDEX(APGrid,COUNTIF(APS,"&gt;"&amp;(--TRIM(LEFT(Z42,2))))*5+COUNTIF(APO,"&gt;"&amp;(--TRIM(LEFT(AA42,2))))+1,COUNTIF(APD,"&gt;"&amp;(--TRIM(LEFT(AB42,2))))+1))</f>
        <v/>
      </c>
      <c r="AE42" s="4" t="n"/>
      <c r="AF42" s="4" t="n"/>
      <c r="AH42">
        <f>IFERROR(INDEX(EqTag,_xlfn.AGGREGATE(15,6,(ROW(EqTag)-4)/((EqSys=$D$3)*(EqTag&lt;&gt;"")),ROWS($AH$14:AH42))),"")</f>
        <v/>
      </c>
    </row>
    <row r="43">
      <c r="A43" s="20">
        <f>IF(F43="","",LEFT($D$3,3)&amp;"-"&amp;TEXT(COUNTIF(F$14:F43,"?*"),"00"))</f>
        <v/>
      </c>
      <c r="B43" s="4" t="n"/>
      <c r="C43" s="5">
        <f>IF(B43="","",IFERROR(INDEX(EqTypeCol,MATCH(B43,EqTag,0)),"Tag not in register"))</f>
        <v/>
      </c>
      <c r="D43" s="4" t="n"/>
      <c r="E43" s="4" t="n"/>
      <c r="F43" s="4" t="n"/>
      <c r="G43" s="4" t="n"/>
      <c r="H43" s="4" t="n"/>
      <c r="I43" s="4" t="n"/>
      <c r="J43" s="5">
        <f>_xlfn.TEXTJOIN(CHAR(10),TRUE,IF(G43="","","• "&amp;G43),IF(H43="","","• "&amp;H43),IF(I43="","","• "&amp;I43))</f>
        <v/>
      </c>
      <c r="K43" s="4" t="n"/>
      <c r="L43" s="4" t="n"/>
      <c r="M43" s="4" t="n"/>
      <c r="N43" s="16" t="n"/>
      <c r="O43" s="4" t="n"/>
      <c r="P43" s="16" t="n"/>
      <c r="Q43" s="4" t="n"/>
      <c r="R43" s="16" t="n"/>
      <c r="S43" s="20">
        <f>IF(OR(N43="",P43="",R43=""),"",(--TRIM(LEFT(N43,2)))*(--TRIM(LEFT(P43,2)))*(--TRIM(LEFT(R43,2))))</f>
        <v/>
      </c>
      <c r="T43" s="20">
        <f>IF(OR(N43="",P43="",R43=""),"",INDEX(APGrid,COUNTIF(APS,"&gt;"&amp;(--TRIM(LEFT(N43,2))))*5+COUNTIF(APO,"&gt;"&amp;(--TRIM(LEFT(P43,2))))+1,COUNTIF(APD,"&gt;"&amp;(--TRIM(LEFT(R43,2))))+1))</f>
        <v/>
      </c>
      <c r="U43" s="20">
        <f>IF(S43="","",IF(OR((--TRIM(LEFT(N43,2)))&gt;=SThr,S43&gt;=RPNThr,T43="H"),"Yes","No"))</f>
        <v/>
      </c>
      <c r="V43" s="4" t="n"/>
      <c r="W43" s="4" t="n"/>
      <c r="X43" s="4" t="n"/>
      <c r="Y43" s="29" t="n"/>
      <c r="Z43" s="16" t="n"/>
      <c r="AA43" s="16" t="n"/>
      <c r="AB43" s="16" t="n"/>
      <c r="AC43" s="20">
        <f>IF(OR(Z43="",AA43="",AB43=""),"",(--TRIM(LEFT(Z43,2)))*(--TRIM(LEFT(AA43,2)))*(--TRIM(LEFT(AB43,2))))</f>
        <v/>
      </c>
      <c r="AD43" s="20">
        <f>IF(OR(Z43="",AA43="",AB43=""),"",INDEX(APGrid,COUNTIF(APS,"&gt;"&amp;(--TRIM(LEFT(Z43,2))))*5+COUNTIF(APO,"&gt;"&amp;(--TRIM(LEFT(AA43,2))))+1,COUNTIF(APD,"&gt;"&amp;(--TRIM(LEFT(AB43,2))))+1))</f>
        <v/>
      </c>
      <c r="AE43" s="4" t="n"/>
      <c r="AF43" s="4" t="n"/>
      <c r="AH43">
        <f>IFERROR(INDEX(EqTag,_xlfn.AGGREGATE(15,6,(ROW(EqTag)-4)/((EqSys=$D$3)*(EqTag&lt;&gt;"")),ROWS($AH$14:AH43))),"")</f>
        <v/>
      </c>
    </row>
    <row r="44">
      <c r="A44" s="20">
        <f>IF(F44="","",LEFT($D$3,3)&amp;"-"&amp;TEXT(COUNTIF(F$14:F44,"?*"),"00"))</f>
        <v/>
      </c>
      <c r="B44" s="4" t="n"/>
      <c r="C44" s="5">
        <f>IF(B44="","",IFERROR(INDEX(EqTypeCol,MATCH(B44,EqTag,0)),"Tag not in register"))</f>
        <v/>
      </c>
      <c r="D44" s="4" t="n"/>
      <c r="E44" s="4" t="n"/>
      <c r="F44" s="4" t="n"/>
      <c r="G44" s="4" t="n"/>
      <c r="H44" s="4" t="n"/>
      <c r="I44" s="4" t="n"/>
      <c r="J44" s="5">
        <f>_xlfn.TEXTJOIN(CHAR(10),TRUE,IF(G44="","","• "&amp;G44),IF(H44="","","• "&amp;H44),IF(I44="","","• "&amp;I44))</f>
        <v/>
      </c>
      <c r="K44" s="4" t="n"/>
      <c r="L44" s="4" t="n"/>
      <c r="M44" s="4" t="n"/>
      <c r="N44" s="16" t="n"/>
      <c r="O44" s="4" t="n"/>
      <c r="P44" s="16" t="n"/>
      <c r="Q44" s="4" t="n"/>
      <c r="R44" s="16" t="n"/>
      <c r="S44" s="20">
        <f>IF(OR(N44="",P44="",R44=""),"",(--TRIM(LEFT(N44,2)))*(--TRIM(LEFT(P44,2)))*(--TRIM(LEFT(R44,2))))</f>
        <v/>
      </c>
      <c r="T44" s="20">
        <f>IF(OR(N44="",P44="",R44=""),"",INDEX(APGrid,COUNTIF(APS,"&gt;"&amp;(--TRIM(LEFT(N44,2))))*5+COUNTIF(APO,"&gt;"&amp;(--TRIM(LEFT(P44,2))))+1,COUNTIF(APD,"&gt;"&amp;(--TRIM(LEFT(R44,2))))+1))</f>
        <v/>
      </c>
      <c r="U44" s="20">
        <f>IF(S44="","",IF(OR((--TRIM(LEFT(N44,2)))&gt;=SThr,S44&gt;=RPNThr,T44="H"),"Yes","No"))</f>
        <v/>
      </c>
      <c r="V44" s="4" t="n"/>
      <c r="W44" s="4" t="n"/>
      <c r="X44" s="4" t="n"/>
      <c r="Y44" s="29" t="n"/>
      <c r="Z44" s="16" t="n"/>
      <c r="AA44" s="16" t="n"/>
      <c r="AB44" s="16" t="n"/>
      <c r="AC44" s="20">
        <f>IF(OR(Z44="",AA44="",AB44=""),"",(--TRIM(LEFT(Z44,2)))*(--TRIM(LEFT(AA44,2)))*(--TRIM(LEFT(AB44,2))))</f>
        <v/>
      </c>
      <c r="AD44" s="20">
        <f>IF(OR(Z44="",AA44="",AB44=""),"",INDEX(APGrid,COUNTIF(APS,"&gt;"&amp;(--TRIM(LEFT(Z44,2))))*5+COUNTIF(APO,"&gt;"&amp;(--TRIM(LEFT(AA44,2))))+1,COUNTIF(APD,"&gt;"&amp;(--TRIM(LEFT(AB44,2))))+1))</f>
        <v/>
      </c>
      <c r="AE44" s="4" t="n"/>
      <c r="AF44" s="4" t="n"/>
      <c r="AH44">
        <f>IFERROR(INDEX(EqTag,_xlfn.AGGREGATE(15,6,(ROW(EqTag)-4)/((EqSys=$D$3)*(EqTag&lt;&gt;"")),ROWS($AH$14:AH44))),"")</f>
        <v/>
      </c>
    </row>
    <row r="45">
      <c r="A45" s="20">
        <f>IF(F45="","",LEFT($D$3,3)&amp;"-"&amp;TEXT(COUNTIF(F$14:F45,"?*"),"00"))</f>
        <v/>
      </c>
      <c r="B45" s="4" t="n"/>
      <c r="C45" s="5">
        <f>IF(B45="","",IFERROR(INDEX(EqTypeCol,MATCH(B45,EqTag,0)),"Tag not in register"))</f>
        <v/>
      </c>
      <c r="D45" s="4" t="n"/>
      <c r="E45" s="4" t="n"/>
      <c r="F45" s="4" t="n"/>
      <c r="G45" s="4" t="n"/>
      <c r="H45" s="4" t="n"/>
      <c r="I45" s="4" t="n"/>
      <c r="J45" s="5">
        <f>_xlfn.TEXTJOIN(CHAR(10),TRUE,IF(G45="","","• "&amp;G45),IF(H45="","","• "&amp;H45),IF(I45="","","• "&amp;I45))</f>
        <v/>
      </c>
      <c r="K45" s="4" t="n"/>
      <c r="L45" s="4" t="n"/>
      <c r="M45" s="4" t="n"/>
      <c r="N45" s="16" t="n"/>
      <c r="O45" s="4" t="n"/>
      <c r="P45" s="16" t="n"/>
      <c r="Q45" s="4" t="n"/>
      <c r="R45" s="16" t="n"/>
      <c r="S45" s="20">
        <f>IF(OR(N45="",P45="",R45=""),"",(--TRIM(LEFT(N45,2)))*(--TRIM(LEFT(P45,2)))*(--TRIM(LEFT(R45,2))))</f>
        <v/>
      </c>
      <c r="T45" s="20">
        <f>IF(OR(N45="",P45="",R45=""),"",INDEX(APGrid,COUNTIF(APS,"&gt;"&amp;(--TRIM(LEFT(N45,2))))*5+COUNTIF(APO,"&gt;"&amp;(--TRIM(LEFT(P45,2))))+1,COUNTIF(APD,"&gt;"&amp;(--TRIM(LEFT(R45,2))))+1))</f>
        <v/>
      </c>
      <c r="U45" s="20">
        <f>IF(S45="","",IF(OR((--TRIM(LEFT(N45,2)))&gt;=SThr,S45&gt;=RPNThr,T45="H"),"Yes","No"))</f>
        <v/>
      </c>
      <c r="V45" s="4" t="n"/>
      <c r="W45" s="4" t="n"/>
      <c r="X45" s="4" t="n"/>
      <c r="Y45" s="29" t="n"/>
      <c r="Z45" s="16" t="n"/>
      <c r="AA45" s="16" t="n"/>
      <c r="AB45" s="16" t="n"/>
      <c r="AC45" s="20">
        <f>IF(OR(Z45="",AA45="",AB45=""),"",(--TRIM(LEFT(Z45,2)))*(--TRIM(LEFT(AA45,2)))*(--TRIM(LEFT(AB45,2))))</f>
        <v/>
      </c>
      <c r="AD45" s="20">
        <f>IF(OR(Z45="",AA45="",AB45=""),"",INDEX(APGrid,COUNTIF(APS,"&gt;"&amp;(--TRIM(LEFT(Z45,2))))*5+COUNTIF(APO,"&gt;"&amp;(--TRIM(LEFT(AA45,2))))+1,COUNTIF(APD,"&gt;"&amp;(--TRIM(LEFT(AB45,2))))+1))</f>
        <v/>
      </c>
      <c r="AE45" s="4" t="n"/>
      <c r="AF45" s="4" t="n"/>
      <c r="AH45">
        <f>IFERROR(INDEX(EqTag,_xlfn.AGGREGATE(15,6,(ROW(EqTag)-4)/((EqSys=$D$3)*(EqTag&lt;&gt;"")),ROWS($AH$14:AH45))),"")</f>
        <v/>
      </c>
    </row>
    <row r="46">
      <c r="A46" s="20">
        <f>IF(F46="","",LEFT($D$3,3)&amp;"-"&amp;TEXT(COUNTIF(F$14:F46,"?*"),"00"))</f>
        <v/>
      </c>
      <c r="B46" s="4" t="n"/>
      <c r="C46" s="5">
        <f>IF(B46="","",IFERROR(INDEX(EqTypeCol,MATCH(B46,EqTag,0)),"Tag not in register"))</f>
        <v/>
      </c>
      <c r="D46" s="4" t="n"/>
      <c r="E46" s="4" t="n"/>
      <c r="F46" s="4" t="n"/>
      <c r="G46" s="4" t="n"/>
      <c r="H46" s="4" t="n"/>
      <c r="I46" s="4" t="n"/>
      <c r="J46" s="5">
        <f>_xlfn.TEXTJOIN(CHAR(10),TRUE,IF(G46="","","• "&amp;G46),IF(H46="","","• "&amp;H46),IF(I46="","","• "&amp;I46))</f>
        <v/>
      </c>
      <c r="K46" s="4" t="n"/>
      <c r="L46" s="4" t="n"/>
      <c r="M46" s="4" t="n"/>
      <c r="N46" s="16" t="n"/>
      <c r="O46" s="4" t="n"/>
      <c r="P46" s="16" t="n"/>
      <c r="Q46" s="4" t="n"/>
      <c r="R46" s="16" t="n"/>
      <c r="S46" s="20">
        <f>IF(OR(N46="",P46="",R46=""),"",(--TRIM(LEFT(N46,2)))*(--TRIM(LEFT(P46,2)))*(--TRIM(LEFT(R46,2))))</f>
        <v/>
      </c>
      <c r="T46" s="20">
        <f>IF(OR(N46="",P46="",R46=""),"",INDEX(APGrid,COUNTIF(APS,"&gt;"&amp;(--TRIM(LEFT(N46,2))))*5+COUNTIF(APO,"&gt;"&amp;(--TRIM(LEFT(P46,2))))+1,COUNTIF(APD,"&gt;"&amp;(--TRIM(LEFT(R46,2))))+1))</f>
        <v/>
      </c>
      <c r="U46" s="20">
        <f>IF(S46="","",IF(OR((--TRIM(LEFT(N46,2)))&gt;=SThr,S46&gt;=RPNThr,T46="H"),"Yes","No"))</f>
        <v/>
      </c>
      <c r="V46" s="4" t="n"/>
      <c r="W46" s="4" t="n"/>
      <c r="X46" s="4" t="n"/>
      <c r="Y46" s="29" t="n"/>
      <c r="Z46" s="16" t="n"/>
      <c r="AA46" s="16" t="n"/>
      <c r="AB46" s="16" t="n"/>
      <c r="AC46" s="20">
        <f>IF(OR(Z46="",AA46="",AB46=""),"",(--TRIM(LEFT(Z46,2)))*(--TRIM(LEFT(AA46,2)))*(--TRIM(LEFT(AB46,2))))</f>
        <v/>
      </c>
      <c r="AD46" s="20">
        <f>IF(OR(Z46="",AA46="",AB46=""),"",INDEX(APGrid,COUNTIF(APS,"&gt;"&amp;(--TRIM(LEFT(Z46,2))))*5+COUNTIF(APO,"&gt;"&amp;(--TRIM(LEFT(AA46,2))))+1,COUNTIF(APD,"&gt;"&amp;(--TRIM(LEFT(AB46,2))))+1))</f>
        <v/>
      </c>
      <c r="AE46" s="4" t="n"/>
      <c r="AF46" s="4" t="n"/>
      <c r="AH46">
        <f>IFERROR(INDEX(EqTag,_xlfn.AGGREGATE(15,6,(ROW(EqTag)-4)/((EqSys=$D$3)*(EqTag&lt;&gt;"")),ROWS($AH$14:AH46))),"")</f>
        <v/>
      </c>
    </row>
    <row r="47">
      <c r="A47" s="20">
        <f>IF(F47="","",LEFT($D$3,3)&amp;"-"&amp;TEXT(COUNTIF(F$14:F47,"?*"),"00"))</f>
        <v/>
      </c>
      <c r="B47" s="4" t="n"/>
      <c r="C47" s="5">
        <f>IF(B47="","",IFERROR(INDEX(EqTypeCol,MATCH(B47,EqTag,0)),"Tag not in register"))</f>
        <v/>
      </c>
      <c r="D47" s="4" t="n"/>
      <c r="E47" s="4" t="n"/>
      <c r="F47" s="4" t="n"/>
      <c r="G47" s="4" t="n"/>
      <c r="H47" s="4" t="n"/>
      <c r="I47" s="4" t="n"/>
      <c r="J47" s="5">
        <f>_xlfn.TEXTJOIN(CHAR(10),TRUE,IF(G47="","","• "&amp;G47),IF(H47="","","• "&amp;H47),IF(I47="","","• "&amp;I47))</f>
        <v/>
      </c>
      <c r="K47" s="4" t="n"/>
      <c r="L47" s="4" t="n"/>
      <c r="M47" s="4" t="n"/>
      <c r="N47" s="16" t="n"/>
      <c r="O47" s="4" t="n"/>
      <c r="P47" s="16" t="n"/>
      <c r="Q47" s="4" t="n"/>
      <c r="R47" s="16" t="n"/>
      <c r="S47" s="20">
        <f>IF(OR(N47="",P47="",R47=""),"",(--TRIM(LEFT(N47,2)))*(--TRIM(LEFT(P47,2)))*(--TRIM(LEFT(R47,2))))</f>
        <v/>
      </c>
      <c r="T47" s="20">
        <f>IF(OR(N47="",P47="",R47=""),"",INDEX(APGrid,COUNTIF(APS,"&gt;"&amp;(--TRIM(LEFT(N47,2))))*5+COUNTIF(APO,"&gt;"&amp;(--TRIM(LEFT(P47,2))))+1,COUNTIF(APD,"&gt;"&amp;(--TRIM(LEFT(R47,2))))+1))</f>
        <v/>
      </c>
      <c r="U47" s="20">
        <f>IF(S47="","",IF(OR((--TRIM(LEFT(N47,2)))&gt;=SThr,S47&gt;=RPNThr,T47="H"),"Yes","No"))</f>
        <v/>
      </c>
      <c r="V47" s="4" t="n"/>
      <c r="W47" s="4" t="n"/>
      <c r="X47" s="4" t="n"/>
      <c r="Y47" s="29" t="n"/>
      <c r="Z47" s="16" t="n"/>
      <c r="AA47" s="16" t="n"/>
      <c r="AB47" s="16" t="n"/>
      <c r="AC47" s="20">
        <f>IF(OR(Z47="",AA47="",AB47=""),"",(--TRIM(LEFT(Z47,2)))*(--TRIM(LEFT(AA47,2)))*(--TRIM(LEFT(AB47,2))))</f>
        <v/>
      </c>
      <c r="AD47" s="20">
        <f>IF(OR(Z47="",AA47="",AB47=""),"",INDEX(APGrid,COUNTIF(APS,"&gt;"&amp;(--TRIM(LEFT(Z47,2))))*5+COUNTIF(APO,"&gt;"&amp;(--TRIM(LEFT(AA47,2))))+1,COUNTIF(APD,"&gt;"&amp;(--TRIM(LEFT(AB47,2))))+1))</f>
        <v/>
      </c>
      <c r="AE47" s="4" t="n"/>
      <c r="AF47" s="4" t="n"/>
      <c r="AH47">
        <f>IFERROR(INDEX(EqTag,_xlfn.AGGREGATE(15,6,(ROW(EqTag)-4)/((EqSys=$D$3)*(EqTag&lt;&gt;"")),ROWS($AH$14:AH47))),"")</f>
        <v/>
      </c>
    </row>
    <row r="48">
      <c r="A48" s="20">
        <f>IF(F48="","",LEFT($D$3,3)&amp;"-"&amp;TEXT(COUNTIF(F$14:F48,"?*"),"00"))</f>
        <v/>
      </c>
      <c r="B48" s="4" t="n"/>
      <c r="C48" s="5">
        <f>IF(B48="","",IFERROR(INDEX(EqTypeCol,MATCH(B48,EqTag,0)),"Tag not in register"))</f>
        <v/>
      </c>
      <c r="D48" s="4" t="n"/>
      <c r="E48" s="4" t="n"/>
      <c r="F48" s="4" t="n"/>
      <c r="G48" s="4" t="n"/>
      <c r="H48" s="4" t="n"/>
      <c r="I48" s="4" t="n"/>
      <c r="J48" s="5">
        <f>_xlfn.TEXTJOIN(CHAR(10),TRUE,IF(G48="","","• "&amp;G48),IF(H48="","","• "&amp;H48),IF(I48="","","• "&amp;I48))</f>
        <v/>
      </c>
      <c r="K48" s="4" t="n"/>
      <c r="L48" s="4" t="n"/>
      <c r="M48" s="4" t="n"/>
      <c r="N48" s="16" t="n"/>
      <c r="O48" s="4" t="n"/>
      <c r="P48" s="16" t="n"/>
      <c r="Q48" s="4" t="n"/>
      <c r="R48" s="16" t="n"/>
      <c r="S48" s="20">
        <f>IF(OR(N48="",P48="",R48=""),"",(--TRIM(LEFT(N48,2)))*(--TRIM(LEFT(P48,2)))*(--TRIM(LEFT(R48,2))))</f>
        <v/>
      </c>
      <c r="T48" s="20">
        <f>IF(OR(N48="",P48="",R48=""),"",INDEX(APGrid,COUNTIF(APS,"&gt;"&amp;(--TRIM(LEFT(N48,2))))*5+COUNTIF(APO,"&gt;"&amp;(--TRIM(LEFT(P48,2))))+1,COUNTIF(APD,"&gt;"&amp;(--TRIM(LEFT(R48,2))))+1))</f>
        <v/>
      </c>
      <c r="U48" s="20">
        <f>IF(S48="","",IF(OR((--TRIM(LEFT(N48,2)))&gt;=SThr,S48&gt;=RPNThr,T48="H"),"Yes","No"))</f>
        <v/>
      </c>
      <c r="V48" s="4" t="n"/>
      <c r="W48" s="4" t="n"/>
      <c r="X48" s="4" t="n"/>
      <c r="Y48" s="29" t="n"/>
      <c r="Z48" s="16" t="n"/>
      <c r="AA48" s="16" t="n"/>
      <c r="AB48" s="16" t="n"/>
      <c r="AC48" s="20">
        <f>IF(OR(Z48="",AA48="",AB48=""),"",(--TRIM(LEFT(Z48,2)))*(--TRIM(LEFT(AA48,2)))*(--TRIM(LEFT(AB48,2))))</f>
        <v/>
      </c>
      <c r="AD48" s="20">
        <f>IF(OR(Z48="",AA48="",AB48=""),"",INDEX(APGrid,COUNTIF(APS,"&gt;"&amp;(--TRIM(LEFT(Z48,2))))*5+COUNTIF(APO,"&gt;"&amp;(--TRIM(LEFT(AA48,2))))+1,COUNTIF(APD,"&gt;"&amp;(--TRIM(LEFT(AB48,2))))+1))</f>
        <v/>
      </c>
      <c r="AE48" s="4" t="n"/>
      <c r="AF48" s="4" t="n"/>
      <c r="AH48">
        <f>IFERROR(INDEX(EqTag,_xlfn.AGGREGATE(15,6,(ROW(EqTag)-4)/((EqSys=$D$3)*(EqTag&lt;&gt;"")),ROWS($AH$14:AH48))),"")</f>
        <v/>
      </c>
    </row>
    <row r="49">
      <c r="A49" s="20">
        <f>IF(F49="","",LEFT($D$3,3)&amp;"-"&amp;TEXT(COUNTIF(F$14:F49,"?*"),"00"))</f>
        <v/>
      </c>
      <c r="B49" s="4" t="n"/>
      <c r="C49" s="5">
        <f>IF(B49="","",IFERROR(INDEX(EqTypeCol,MATCH(B49,EqTag,0)),"Tag not in register"))</f>
        <v/>
      </c>
      <c r="D49" s="4" t="n"/>
      <c r="E49" s="4" t="n"/>
      <c r="F49" s="4" t="n"/>
      <c r="G49" s="4" t="n"/>
      <c r="H49" s="4" t="n"/>
      <c r="I49" s="4" t="n"/>
      <c r="J49" s="5">
        <f>_xlfn.TEXTJOIN(CHAR(10),TRUE,IF(G49="","","• "&amp;G49),IF(H49="","","• "&amp;H49),IF(I49="","","• "&amp;I49))</f>
        <v/>
      </c>
      <c r="K49" s="4" t="n"/>
      <c r="L49" s="4" t="n"/>
      <c r="M49" s="4" t="n"/>
      <c r="N49" s="16" t="n"/>
      <c r="O49" s="4" t="n"/>
      <c r="P49" s="16" t="n"/>
      <c r="Q49" s="4" t="n"/>
      <c r="R49" s="16" t="n"/>
      <c r="S49" s="20">
        <f>IF(OR(N49="",P49="",R49=""),"",(--TRIM(LEFT(N49,2)))*(--TRIM(LEFT(P49,2)))*(--TRIM(LEFT(R49,2))))</f>
        <v/>
      </c>
      <c r="T49" s="20">
        <f>IF(OR(N49="",P49="",R49=""),"",INDEX(APGrid,COUNTIF(APS,"&gt;"&amp;(--TRIM(LEFT(N49,2))))*5+COUNTIF(APO,"&gt;"&amp;(--TRIM(LEFT(P49,2))))+1,COUNTIF(APD,"&gt;"&amp;(--TRIM(LEFT(R49,2))))+1))</f>
        <v/>
      </c>
      <c r="U49" s="20">
        <f>IF(S49="","",IF(OR((--TRIM(LEFT(N49,2)))&gt;=SThr,S49&gt;=RPNThr,T49="H"),"Yes","No"))</f>
        <v/>
      </c>
      <c r="V49" s="4" t="n"/>
      <c r="W49" s="4" t="n"/>
      <c r="X49" s="4" t="n"/>
      <c r="Y49" s="29" t="n"/>
      <c r="Z49" s="16" t="n"/>
      <c r="AA49" s="16" t="n"/>
      <c r="AB49" s="16" t="n"/>
      <c r="AC49" s="20">
        <f>IF(OR(Z49="",AA49="",AB49=""),"",(--TRIM(LEFT(Z49,2)))*(--TRIM(LEFT(AA49,2)))*(--TRIM(LEFT(AB49,2))))</f>
        <v/>
      </c>
      <c r="AD49" s="20">
        <f>IF(OR(Z49="",AA49="",AB49=""),"",INDEX(APGrid,COUNTIF(APS,"&gt;"&amp;(--TRIM(LEFT(Z49,2))))*5+COUNTIF(APO,"&gt;"&amp;(--TRIM(LEFT(AA49,2))))+1,COUNTIF(APD,"&gt;"&amp;(--TRIM(LEFT(AB49,2))))+1))</f>
        <v/>
      </c>
      <c r="AE49" s="4" t="n"/>
      <c r="AF49" s="4" t="n"/>
      <c r="AH49">
        <f>IFERROR(INDEX(EqTag,_xlfn.AGGREGATE(15,6,(ROW(EqTag)-4)/((EqSys=$D$3)*(EqTag&lt;&gt;"")),ROWS($AH$14:AH49))),"")</f>
        <v/>
      </c>
    </row>
    <row r="50">
      <c r="A50" s="20">
        <f>IF(F50="","",LEFT($D$3,3)&amp;"-"&amp;TEXT(COUNTIF(F$14:F50,"?*"),"00"))</f>
        <v/>
      </c>
      <c r="B50" s="4" t="n"/>
      <c r="C50" s="5">
        <f>IF(B50="","",IFERROR(INDEX(EqTypeCol,MATCH(B50,EqTag,0)),"Tag not in register"))</f>
        <v/>
      </c>
      <c r="D50" s="4" t="n"/>
      <c r="E50" s="4" t="n"/>
      <c r="F50" s="4" t="n"/>
      <c r="G50" s="4" t="n"/>
      <c r="H50" s="4" t="n"/>
      <c r="I50" s="4" t="n"/>
      <c r="J50" s="5">
        <f>_xlfn.TEXTJOIN(CHAR(10),TRUE,IF(G50="","","• "&amp;G50),IF(H50="","","• "&amp;H50),IF(I50="","","• "&amp;I50))</f>
        <v/>
      </c>
      <c r="K50" s="4" t="n"/>
      <c r="L50" s="4" t="n"/>
      <c r="M50" s="4" t="n"/>
      <c r="N50" s="16" t="n"/>
      <c r="O50" s="4" t="n"/>
      <c r="P50" s="16" t="n"/>
      <c r="Q50" s="4" t="n"/>
      <c r="R50" s="16" t="n"/>
      <c r="S50" s="20">
        <f>IF(OR(N50="",P50="",R50=""),"",(--TRIM(LEFT(N50,2)))*(--TRIM(LEFT(P50,2)))*(--TRIM(LEFT(R50,2))))</f>
        <v/>
      </c>
      <c r="T50" s="20">
        <f>IF(OR(N50="",P50="",R50=""),"",INDEX(APGrid,COUNTIF(APS,"&gt;"&amp;(--TRIM(LEFT(N50,2))))*5+COUNTIF(APO,"&gt;"&amp;(--TRIM(LEFT(P50,2))))+1,COUNTIF(APD,"&gt;"&amp;(--TRIM(LEFT(R50,2))))+1))</f>
        <v/>
      </c>
      <c r="U50" s="20">
        <f>IF(S50="","",IF(OR((--TRIM(LEFT(N50,2)))&gt;=SThr,S50&gt;=RPNThr,T50="H"),"Yes","No"))</f>
        <v/>
      </c>
      <c r="V50" s="4" t="n"/>
      <c r="W50" s="4" t="n"/>
      <c r="X50" s="4" t="n"/>
      <c r="Y50" s="29" t="n"/>
      <c r="Z50" s="16" t="n"/>
      <c r="AA50" s="16" t="n"/>
      <c r="AB50" s="16" t="n"/>
      <c r="AC50" s="20">
        <f>IF(OR(Z50="",AA50="",AB50=""),"",(--TRIM(LEFT(Z50,2)))*(--TRIM(LEFT(AA50,2)))*(--TRIM(LEFT(AB50,2))))</f>
        <v/>
      </c>
      <c r="AD50" s="20">
        <f>IF(OR(Z50="",AA50="",AB50=""),"",INDEX(APGrid,COUNTIF(APS,"&gt;"&amp;(--TRIM(LEFT(Z50,2))))*5+COUNTIF(APO,"&gt;"&amp;(--TRIM(LEFT(AA50,2))))+1,COUNTIF(APD,"&gt;"&amp;(--TRIM(LEFT(AB50,2))))+1))</f>
        <v/>
      </c>
      <c r="AE50" s="4" t="n"/>
      <c r="AF50" s="4" t="n"/>
      <c r="AH50">
        <f>IFERROR(INDEX(EqTag,_xlfn.AGGREGATE(15,6,(ROW(EqTag)-4)/((EqSys=$D$3)*(EqTag&lt;&gt;"")),ROWS($AH$14:AH50))),"")</f>
        <v/>
      </c>
    </row>
    <row r="51">
      <c r="A51" s="20">
        <f>IF(F51="","",LEFT($D$3,3)&amp;"-"&amp;TEXT(COUNTIF(F$14:F51,"?*"),"00"))</f>
        <v/>
      </c>
      <c r="B51" s="4" t="n"/>
      <c r="C51" s="5">
        <f>IF(B51="","",IFERROR(INDEX(EqTypeCol,MATCH(B51,EqTag,0)),"Tag not in register"))</f>
        <v/>
      </c>
      <c r="D51" s="4" t="n"/>
      <c r="E51" s="4" t="n"/>
      <c r="F51" s="4" t="n"/>
      <c r="G51" s="4" t="n"/>
      <c r="H51" s="4" t="n"/>
      <c r="I51" s="4" t="n"/>
      <c r="J51" s="5">
        <f>_xlfn.TEXTJOIN(CHAR(10),TRUE,IF(G51="","","• "&amp;G51),IF(H51="","","• "&amp;H51),IF(I51="","","• "&amp;I51))</f>
        <v/>
      </c>
      <c r="K51" s="4" t="n"/>
      <c r="L51" s="4" t="n"/>
      <c r="M51" s="4" t="n"/>
      <c r="N51" s="16" t="n"/>
      <c r="O51" s="4" t="n"/>
      <c r="P51" s="16" t="n"/>
      <c r="Q51" s="4" t="n"/>
      <c r="R51" s="16" t="n"/>
      <c r="S51" s="20">
        <f>IF(OR(N51="",P51="",R51=""),"",(--TRIM(LEFT(N51,2)))*(--TRIM(LEFT(P51,2)))*(--TRIM(LEFT(R51,2))))</f>
        <v/>
      </c>
      <c r="T51" s="20">
        <f>IF(OR(N51="",P51="",R51=""),"",INDEX(APGrid,COUNTIF(APS,"&gt;"&amp;(--TRIM(LEFT(N51,2))))*5+COUNTIF(APO,"&gt;"&amp;(--TRIM(LEFT(P51,2))))+1,COUNTIF(APD,"&gt;"&amp;(--TRIM(LEFT(R51,2))))+1))</f>
        <v/>
      </c>
      <c r="U51" s="20">
        <f>IF(S51="","",IF(OR((--TRIM(LEFT(N51,2)))&gt;=SThr,S51&gt;=RPNThr,T51="H"),"Yes","No"))</f>
        <v/>
      </c>
      <c r="V51" s="4" t="n"/>
      <c r="W51" s="4" t="n"/>
      <c r="X51" s="4" t="n"/>
      <c r="Y51" s="29" t="n"/>
      <c r="Z51" s="16" t="n"/>
      <c r="AA51" s="16" t="n"/>
      <c r="AB51" s="16" t="n"/>
      <c r="AC51" s="20">
        <f>IF(OR(Z51="",AA51="",AB51=""),"",(--TRIM(LEFT(Z51,2)))*(--TRIM(LEFT(AA51,2)))*(--TRIM(LEFT(AB51,2))))</f>
        <v/>
      </c>
      <c r="AD51" s="20">
        <f>IF(OR(Z51="",AA51="",AB51=""),"",INDEX(APGrid,COUNTIF(APS,"&gt;"&amp;(--TRIM(LEFT(Z51,2))))*5+COUNTIF(APO,"&gt;"&amp;(--TRIM(LEFT(AA51,2))))+1,COUNTIF(APD,"&gt;"&amp;(--TRIM(LEFT(AB51,2))))+1))</f>
        <v/>
      </c>
      <c r="AE51" s="4" t="n"/>
      <c r="AF51" s="4" t="n"/>
      <c r="AH51">
        <f>IFERROR(INDEX(EqTag,_xlfn.AGGREGATE(15,6,(ROW(EqTag)-4)/((EqSys=$D$3)*(EqTag&lt;&gt;"")),ROWS($AH$14:AH51))),"")</f>
        <v/>
      </c>
    </row>
    <row r="52">
      <c r="A52" s="20">
        <f>IF(F52="","",LEFT($D$3,3)&amp;"-"&amp;TEXT(COUNTIF(F$14:F52,"?*"),"00"))</f>
        <v/>
      </c>
      <c r="B52" s="4" t="n"/>
      <c r="C52" s="5">
        <f>IF(B52="","",IFERROR(INDEX(EqTypeCol,MATCH(B52,EqTag,0)),"Tag not in register"))</f>
        <v/>
      </c>
      <c r="D52" s="4" t="n"/>
      <c r="E52" s="4" t="n"/>
      <c r="F52" s="4" t="n"/>
      <c r="G52" s="4" t="n"/>
      <c r="H52" s="4" t="n"/>
      <c r="I52" s="4" t="n"/>
      <c r="J52" s="5">
        <f>_xlfn.TEXTJOIN(CHAR(10),TRUE,IF(G52="","","• "&amp;G52),IF(H52="","","• "&amp;H52),IF(I52="","","• "&amp;I52))</f>
        <v/>
      </c>
      <c r="K52" s="4" t="n"/>
      <c r="L52" s="4" t="n"/>
      <c r="M52" s="4" t="n"/>
      <c r="N52" s="16" t="n"/>
      <c r="O52" s="4" t="n"/>
      <c r="P52" s="16" t="n"/>
      <c r="Q52" s="4" t="n"/>
      <c r="R52" s="16" t="n"/>
      <c r="S52" s="20">
        <f>IF(OR(N52="",P52="",R52=""),"",(--TRIM(LEFT(N52,2)))*(--TRIM(LEFT(P52,2)))*(--TRIM(LEFT(R52,2))))</f>
        <v/>
      </c>
      <c r="T52" s="20">
        <f>IF(OR(N52="",P52="",R52=""),"",INDEX(APGrid,COUNTIF(APS,"&gt;"&amp;(--TRIM(LEFT(N52,2))))*5+COUNTIF(APO,"&gt;"&amp;(--TRIM(LEFT(P52,2))))+1,COUNTIF(APD,"&gt;"&amp;(--TRIM(LEFT(R52,2))))+1))</f>
        <v/>
      </c>
      <c r="U52" s="20">
        <f>IF(S52="","",IF(OR((--TRIM(LEFT(N52,2)))&gt;=SThr,S52&gt;=RPNThr,T52="H"),"Yes","No"))</f>
        <v/>
      </c>
      <c r="V52" s="4" t="n"/>
      <c r="W52" s="4" t="n"/>
      <c r="X52" s="4" t="n"/>
      <c r="Y52" s="29" t="n"/>
      <c r="Z52" s="16" t="n"/>
      <c r="AA52" s="16" t="n"/>
      <c r="AB52" s="16" t="n"/>
      <c r="AC52" s="20">
        <f>IF(OR(Z52="",AA52="",AB52=""),"",(--TRIM(LEFT(Z52,2)))*(--TRIM(LEFT(AA52,2)))*(--TRIM(LEFT(AB52,2))))</f>
        <v/>
      </c>
      <c r="AD52" s="20">
        <f>IF(OR(Z52="",AA52="",AB52=""),"",INDEX(APGrid,COUNTIF(APS,"&gt;"&amp;(--TRIM(LEFT(Z52,2))))*5+COUNTIF(APO,"&gt;"&amp;(--TRIM(LEFT(AA52,2))))+1,COUNTIF(APD,"&gt;"&amp;(--TRIM(LEFT(AB52,2))))+1))</f>
        <v/>
      </c>
      <c r="AE52" s="4" t="n"/>
      <c r="AF52" s="4" t="n"/>
      <c r="AH52">
        <f>IFERROR(INDEX(EqTag,_xlfn.AGGREGATE(15,6,(ROW(EqTag)-4)/((EqSys=$D$3)*(EqTag&lt;&gt;"")),ROWS($AH$14:AH52))),"")</f>
        <v/>
      </c>
    </row>
    <row r="53">
      <c r="A53" s="20">
        <f>IF(F53="","",LEFT($D$3,3)&amp;"-"&amp;TEXT(COUNTIF(F$14:F53,"?*"),"00"))</f>
        <v/>
      </c>
      <c r="B53" s="4" t="n"/>
      <c r="C53" s="5">
        <f>IF(B53="","",IFERROR(INDEX(EqTypeCol,MATCH(B53,EqTag,0)),"Tag not in register"))</f>
        <v/>
      </c>
      <c r="D53" s="4" t="n"/>
      <c r="E53" s="4" t="n"/>
      <c r="F53" s="4" t="n"/>
      <c r="G53" s="4" t="n"/>
      <c r="H53" s="4" t="n"/>
      <c r="I53" s="4" t="n"/>
      <c r="J53" s="5">
        <f>_xlfn.TEXTJOIN(CHAR(10),TRUE,IF(G53="","","• "&amp;G53),IF(H53="","","• "&amp;H53),IF(I53="","","• "&amp;I53))</f>
        <v/>
      </c>
      <c r="K53" s="4" t="n"/>
      <c r="L53" s="4" t="n"/>
      <c r="M53" s="4" t="n"/>
      <c r="N53" s="16" t="n"/>
      <c r="O53" s="4" t="n"/>
      <c r="P53" s="16" t="n"/>
      <c r="Q53" s="4" t="n"/>
      <c r="R53" s="16" t="n"/>
      <c r="S53" s="20">
        <f>IF(OR(N53="",P53="",R53=""),"",(--TRIM(LEFT(N53,2)))*(--TRIM(LEFT(P53,2)))*(--TRIM(LEFT(R53,2))))</f>
        <v/>
      </c>
      <c r="T53" s="20">
        <f>IF(OR(N53="",P53="",R53=""),"",INDEX(APGrid,COUNTIF(APS,"&gt;"&amp;(--TRIM(LEFT(N53,2))))*5+COUNTIF(APO,"&gt;"&amp;(--TRIM(LEFT(P53,2))))+1,COUNTIF(APD,"&gt;"&amp;(--TRIM(LEFT(R53,2))))+1))</f>
        <v/>
      </c>
      <c r="U53" s="20">
        <f>IF(S53="","",IF(OR((--TRIM(LEFT(N53,2)))&gt;=SThr,S53&gt;=RPNThr,T53="H"),"Yes","No"))</f>
        <v/>
      </c>
      <c r="V53" s="4" t="n"/>
      <c r="W53" s="4" t="n"/>
      <c r="X53" s="4" t="n"/>
      <c r="Y53" s="29" t="n"/>
      <c r="Z53" s="16" t="n"/>
      <c r="AA53" s="16" t="n"/>
      <c r="AB53" s="16" t="n"/>
      <c r="AC53" s="20">
        <f>IF(OR(Z53="",AA53="",AB53=""),"",(--TRIM(LEFT(Z53,2)))*(--TRIM(LEFT(AA53,2)))*(--TRIM(LEFT(AB53,2))))</f>
        <v/>
      </c>
      <c r="AD53" s="20">
        <f>IF(OR(Z53="",AA53="",AB53=""),"",INDEX(APGrid,COUNTIF(APS,"&gt;"&amp;(--TRIM(LEFT(Z53,2))))*5+COUNTIF(APO,"&gt;"&amp;(--TRIM(LEFT(AA53,2))))+1,COUNTIF(APD,"&gt;"&amp;(--TRIM(LEFT(AB53,2))))+1))</f>
        <v/>
      </c>
      <c r="AE53" s="4" t="n"/>
      <c r="AF53" s="4" t="n"/>
      <c r="AH53">
        <f>IFERROR(INDEX(EqTag,_xlfn.AGGREGATE(15,6,(ROW(EqTag)-4)/((EqSys=$D$3)*(EqTag&lt;&gt;"")),ROWS($AH$14:AH53))),"")</f>
        <v/>
      </c>
    </row>
    <row r="54">
      <c r="A54" s="20">
        <f>IF(F54="","",LEFT($D$3,3)&amp;"-"&amp;TEXT(COUNTIF(F$14:F54,"?*"),"00"))</f>
        <v/>
      </c>
      <c r="B54" s="4" t="n"/>
      <c r="C54" s="5">
        <f>IF(B54="","",IFERROR(INDEX(EqTypeCol,MATCH(B54,EqTag,0)),"Tag not in register"))</f>
        <v/>
      </c>
      <c r="D54" s="4" t="n"/>
      <c r="E54" s="4" t="n"/>
      <c r="F54" s="4" t="n"/>
      <c r="G54" s="4" t="n"/>
      <c r="H54" s="4" t="n"/>
      <c r="I54" s="4" t="n"/>
      <c r="J54" s="5">
        <f>_xlfn.TEXTJOIN(CHAR(10),TRUE,IF(G54="","","• "&amp;G54),IF(H54="","","• "&amp;H54),IF(I54="","","• "&amp;I54))</f>
        <v/>
      </c>
      <c r="K54" s="4" t="n"/>
      <c r="L54" s="4" t="n"/>
      <c r="M54" s="4" t="n"/>
      <c r="N54" s="16" t="n"/>
      <c r="O54" s="4" t="n"/>
      <c r="P54" s="16" t="n"/>
      <c r="Q54" s="4" t="n"/>
      <c r="R54" s="16" t="n"/>
      <c r="S54" s="20">
        <f>IF(OR(N54="",P54="",R54=""),"",(--TRIM(LEFT(N54,2)))*(--TRIM(LEFT(P54,2)))*(--TRIM(LEFT(R54,2))))</f>
        <v/>
      </c>
      <c r="T54" s="20">
        <f>IF(OR(N54="",P54="",R54=""),"",INDEX(APGrid,COUNTIF(APS,"&gt;"&amp;(--TRIM(LEFT(N54,2))))*5+COUNTIF(APO,"&gt;"&amp;(--TRIM(LEFT(P54,2))))+1,COUNTIF(APD,"&gt;"&amp;(--TRIM(LEFT(R54,2))))+1))</f>
        <v/>
      </c>
      <c r="U54" s="20">
        <f>IF(S54="","",IF(OR((--TRIM(LEFT(N54,2)))&gt;=SThr,S54&gt;=RPNThr,T54="H"),"Yes","No"))</f>
        <v/>
      </c>
      <c r="V54" s="4" t="n"/>
      <c r="W54" s="4" t="n"/>
      <c r="X54" s="4" t="n"/>
      <c r="Y54" s="29" t="n"/>
      <c r="Z54" s="16" t="n"/>
      <c r="AA54" s="16" t="n"/>
      <c r="AB54" s="16" t="n"/>
      <c r="AC54" s="20">
        <f>IF(OR(Z54="",AA54="",AB54=""),"",(--TRIM(LEFT(Z54,2)))*(--TRIM(LEFT(AA54,2)))*(--TRIM(LEFT(AB54,2))))</f>
        <v/>
      </c>
      <c r="AD54" s="20">
        <f>IF(OR(Z54="",AA54="",AB54=""),"",INDEX(APGrid,COUNTIF(APS,"&gt;"&amp;(--TRIM(LEFT(Z54,2))))*5+COUNTIF(APO,"&gt;"&amp;(--TRIM(LEFT(AA54,2))))+1,COUNTIF(APD,"&gt;"&amp;(--TRIM(LEFT(AB54,2))))+1))</f>
        <v/>
      </c>
      <c r="AE54" s="4" t="n"/>
      <c r="AF54" s="4" t="n"/>
      <c r="AH54">
        <f>IFERROR(INDEX(EqTag,_xlfn.AGGREGATE(15,6,(ROW(EqTag)-4)/((EqSys=$D$3)*(EqTag&lt;&gt;"")),ROWS($AH$14:AH54))),"")</f>
        <v/>
      </c>
    </row>
    <row r="55">
      <c r="A55" s="20">
        <f>IF(F55="","",LEFT($D$3,3)&amp;"-"&amp;TEXT(COUNTIF(F$14:F55,"?*"),"00"))</f>
        <v/>
      </c>
      <c r="B55" s="4" t="n"/>
      <c r="C55" s="5">
        <f>IF(B55="","",IFERROR(INDEX(EqTypeCol,MATCH(B55,EqTag,0)),"Tag not in register"))</f>
        <v/>
      </c>
      <c r="D55" s="4" t="n"/>
      <c r="E55" s="4" t="n"/>
      <c r="F55" s="4" t="n"/>
      <c r="G55" s="4" t="n"/>
      <c r="H55" s="4" t="n"/>
      <c r="I55" s="4" t="n"/>
      <c r="J55" s="5">
        <f>_xlfn.TEXTJOIN(CHAR(10),TRUE,IF(G55="","","• "&amp;G55),IF(H55="","","• "&amp;H55),IF(I55="","","• "&amp;I55))</f>
        <v/>
      </c>
      <c r="K55" s="4" t="n"/>
      <c r="L55" s="4" t="n"/>
      <c r="M55" s="4" t="n"/>
      <c r="N55" s="16" t="n"/>
      <c r="O55" s="4" t="n"/>
      <c r="P55" s="16" t="n"/>
      <c r="Q55" s="4" t="n"/>
      <c r="R55" s="16" t="n"/>
      <c r="S55" s="20">
        <f>IF(OR(N55="",P55="",R55=""),"",(--TRIM(LEFT(N55,2)))*(--TRIM(LEFT(P55,2)))*(--TRIM(LEFT(R55,2))))</f>
        <v/>
      </c>
      <c r="T55" s="20">
        <f>IF(OR(N55="",P55="",R55=""),"",INDEX(APGrid,COUNTIF(APS,"&gt;"&amp;(--TRIM(LEFT(N55,2))))*5+COUNTIF(APO,"&gt;"&amp;(--TRIM(LEFT(P55,2))))+1,COUNTIF(APD,"&gt;"&amp;(--TRIM(LEFT(R55,2))))+1))</f>
        <v/>
      </c>
      <c r="U55" s="20">
        <f>IF(S55="","",IF(OR((--TRIM(LEFT(N55,2)))&gt;=SThr,S55&gt;=RPNThr,T55="H"),"Yes","No"))</f>
        <v/>
      </c>
      <c r="V55" s="4" t="n"/>
      <c r="W55" s="4" t="n"/>
      <c r="X55" s="4" t="n"/>
      <c r="Y55" s="29" t="n"/>
      <c r="Z55" s="16" t="n"/>
      <c r="AA55" s="16" t="n"/>
      <c r="AB55" s="16" t="n"/>
      <c r="AC55" s="20">
        <f>IF(OR(Z55="",AA55="",AB55=""),"",(--TRIM(LEFT(Z55,2)))*(--TRIM(LEFT(AA55,2)))*(--TRIM(LEFT(AB55,2))))</f>
        <v/>
      </c>
      <c r="AD55" s="20">
        <f>IF(OR(Z55="",AA55="",AB55=""),"",INDEX(APGrid,COUNTIF(APS,"&gt;"&amp;(--TRIM(LEFT(Z55,2))))*5+COUNTIF(APO,"&gt;"&amp;(--TRIM(LEFT(AA55,2))))+1,COUNTIF(APD,"&gt;"&amp;(--TRIM(LEFT(AB55,2))))+1))</f>
        <v/>
      </c>
      <c r="AE55" s="4" t="n"/>
      <c r="AF55" s="4" t="n"/>
      <c r="AH55">
        <f>IFERROR(INDEX(EqTag,_xlfn.AGGREGATE(15,6,(ROW(EqTag)-4)/((EqSys=$D$3)*(EqTag&lt;&gt;"")),ROWS($AH$14:AH55))),"")</f>
        <v/>
      </c>
    </row>
    <row r="56">
      <c r="A56" s="20">
        <f>IF(F56="","",LEFT($D$3,3)&amp;"-"&amp;TEXT(COUNTIF(F$14:F56,"?*"),"00"))</f>
        <v/>
      </c>
      <c r="B56" s="4" t="n"/>
      <c r="C56" s="5">
        <f>IF(B56="","",IFERROR(INDEX(EqTypeCol,MATCH(B56,EqTag,0)),"Tag not in register"))</f>
        <v/>
      </c>
      <c r="D56" s="4" t="n"/>
      <c r="E56" s="4" t="n"/>
      <c r="F56" s="4" t="n"/>
      <c r="G56" s="4" t="n"/>
      <c r="H56" s="4" t="n"/>
      <c r="I56" s="4" t="n"/>
      <c r="J56" s="5">
        <f>_xlfn.TEXTJOIN(CHAR(10),TRUE,IF(G56="","","• "&amp;G56),IF(H56="","","• "&amp;H56),IF(I56="","","• "&amp;I56))</f>
        <v/>
      </c>
      <c r="K56" s="4" t="n"/>
      <c r="L56" s="4" t="n"/>
      <c r="M56" s="4" t="n"/>
      <c r="N56" s="16" t="n"/>
      <c r="O56" s="4" t="n"/>
      <c r="P56" s="16" t="n"/>
      <c r="Q56" s="4" t="n"/>
      <c r="R56" s="16" t="n"/>
      <c r="S56" s="20">
        <f>IF(OR(N56="",P56="",R56=""),"",(--TRIM(LEFT(N56,2)))*(--TRIM(LEFT(P56,2)))*(--TRIM(LEFT(R56,2))))</f>
        <v/>
      </c>
      <c r="T56" s="20">
        <f>IF(OR(N56="",P56="",R56=""),"",INDEX(APGrid,COUNTIF(APS,"&gt;"&amp;(--TRIM(LEFT(N56,2))))*5+COUNTIF(APO,"&gt;"&amp;(--TRIM(LEFT(P56,2))))+1,COUNTIF(APD,"&gt;"&amp;(--TRIM(LEFT(R56,2))))+1))</f>
        <v/>
      </c>
      <c r="U56" s="20">
        <f>IF(S56="","",IF(OR((--TRIM(LEFT(N56,2)))&gt;=SThr,S56&gt;=RPNThr,T56="H"),"Yes","No"))</f>
        <v/>
      </c>
      <c r="V56" s="4" t="n"/>
      <c r="W56" s="4" t="n"/>
      <c r="X56" s="4" t="n"/>
      <c r="Y56" s="29" t="n"/>
      <c r="Z56" s="16" t="n"/>
      <c r="AA56" s="16" t="n"/>
      <c r="AB56" s="16" t="n"/>
      <c r="AC56" s="20">
        <f>IF(OR(Z56="",AA56="",AB56=""),"",(--TRIM(LEFT(Z56,2)))*(--TRIM(LEFT(AA56,2)))*(--TRIM(LEFT(AB56,2))))</f>
        <v/>
      </c>
      <c r="AD56" s="20">
        <f>IF(OR(Z56="",AA56="",AB56=""),"",INDEX(APGrid,COUNTIF(APS,"&gt;"&amp;(--TRIM(LEFT(Z56,2))))*5+COUNTIF(APO,"&gt;"&amp;(--TRIM(LEFT(AA56,2))))+1,COUNTIF(APD,"&gt;"&amp;(--TRIM(LEFT(AB56,2))))+1))</f>
        <v/>
      </c>
      <c r="AE56" s="4" t="n"/>
      <c r="AF56" s="4" t="n"/>
      <c r="AH56">
        <f>IFERROR(INDEX(EqTag,_xlfn.AGGREGATE(15,6,(ROW(EqTag)-4)/((EqSys=$D$3)*(EqTag&lt;&gt;"")),ROWS($AH$14:AH56))),"")</f>
        <v/>
      </c>
    </row>
    <row r="57">
      <c r="A57" s="20">
        <f>IF(F57="","",LEFT($D$3,3)&amp;"-"&amp;TEXT(COUNTIF(F$14:F57,"?*"),"00"))</f>
        <v/>
      </c>
      <c r="B57" s="4" t="n"/>
      <c r="C57" s="5">
        <f>IF(B57="","",IFERROR(INDEX(EqTypeCol,MATCH(B57,EqTag,0)),"Tag not in register"))</f>
        <v/>
      </c>
      <c r="D57" s="4" t="n"/>
      <c r="E57" s="4" t="n"/>
      <c r="F57" s="4" t="n"/>
      <c r="G57" s="4" t="n"/>
      <c r="H57" s="4" t="n"/>
      <c r="I57" s="4" t="n"/>
      <c r="J57" s="5">
        <f>_xlfn.TEXTJOIN(CHAR(10),TRUE,IF(G57="","","• "&amp;G57),IF(H57="","","• "&amp;H57),IF(I57="","","• "&amp;I57))</f>
        <v/>
      </c>
      <c r="K57" s="4" t="n"/>
      <c r="L57" s="4" t="n"/>
      <c r="M57" s="4" t="n"/>
      <c r="N57" s="16" t="n"/>
      <c r="O57" s="4" t="n"/>
      <c r="P57" s="16" t="n"/>
      <c r="Q57" s="4" t="n"/>
      <c r="R57" s="16" t="n"/>
      <c r="S57" s="20">
        <f>IF(OR(N57="",P57="",R57=""),"",(--TRIM(LEFT(N57,2)))*(--TRIM(LEFT(P57,2)))*(--TRIM(LEFT(R57,2))))</f>
        <v/>
      </c>
      <c r="T57" s="20">
        <f>IF(OR(N57="",P57="",R57=""),"",INDEX(APGrid,COUNTIF(APS,"&gt;"&amp;(--TRIM(LEFT(N57,2))))*5+COUNTIF(APO,"&gt;"&amp;(--TRIM(LEFT(P57,2))))+1,COUNTIF(APD,"&gt;"&amp;(--TRIM(LEFT(R57,2))))+1))</f>
        <v/>
      </c>
      <c r="U57" s="20">
        <f>IF(S57="","",IF(OR((--TRIM(LEFT(N57,2)))&gt;=SThr,S57&gt;=RPNThr,T57="H"),"Yes","No"))</f>
        <v/>
      </c>
      <c r="V57" s="4" t="n"/>
      <c r="W57" s="4" t="n"/>
      <c r="X57" s="4" t="n"/>
      <c r="Y57" s="29" t="n"/>
      <c r="Z57" s="16" t="n"/>
      <c r="AA57" s="16" t="n"/>
      <c r="AB57" s="16" t="n"/>
      <c r="AC57" s="20">
        <f>IF(OR(Z57="",AA57="",AB57=""),"",(--TRIM(LEFT(Z57,2)))*(--TRIM(LEFT(AA57,2)))*(--TRIM(LEFT(AB57,2))))</f>
        <v/>
      </c>
      <c r="AD57" s="20">
        <f>IF(OR(Z57="",AA57="",AB57=""),"",INDEX(APGrid,COUNTIF(APS,"&gt;"&amp;(--TRIM(LEFT(Z57,2))))*5+COUNTIF(APO,"&gt;"&amp;(--TRIM(LEFT(AA57,2))))+1,COUNTIF(APD,"&gt;"&amp;(--TRIM(LEFT(AB57,2))))+1))</f>
        <v/>
      </c>
      <c r="AE57" s="4" t="n"/>
      <c r="AF57" s="4" t="n"/>
      <c r="AH57">
        <f>IFERROR(INDEX(EqTag,_xlfn.AGGREGATE(15,6,(ROW(EqTag)-4)/((EqSys=$D$3)*(EqTag&lt;&gt;"")),ROWS($AH$14:AH57))),"")</f>
        <v/>
      </c>
    </row>
    <row r="58">
      <c r="A58" s="20">
        <f>IF(F58="","",LEFT($D$3,3)&amp;"-"&amp;TEXT(COUNTIF(F$14:F58,"?*"),"00"))</f>
        <v/>
      </c>
      <c r="B58" s="4" t="n"/>
      <c r="C58" s="5">
        <f>IF(B58="","",IFERROR(INDEX(EqTypeCol,MATCH(B58,EqTag,0)),"Tag not in register"))</f>
        <v/>
      </c>
      <c r="D58" s="4" t="n"/>
      <c r="E58" s="4" t="n"/>
      <c r="F58" s="4" t="n"/>
      <c r="G58" s="4" t="n"/>
      <c r="H58" s="4" t="n"/>
      <c r="I58" s="4" t="n"/>
      <c r="J58" s="5">
        <f>_xlfn.TEXTJOIN(CHAR(10),TRUE,IF(G58="","","• "&amp;G58),IF(H58="","","• "&amp;H58),IF(I58="","","• "&amp;I58))</f>
        <v/>
      </c>
      <c r="K58" s="4" t="n"/>
      <c r="L58" s="4" t="n"/>
      <c r="M58" s="4" t="n"/>
      <c r="N58" s="16" t="n"/>
      <c r="O58" s="4" t="n"/>
      <c r="P58" s="16" t="n"/>
      <c r="Q58" s="4" t="n"/>
      <c r="R58" s="16" t="n"/>
      <c r="S58" s="20">
        <f>IF(OR(N58="",P58="",R58=""),"",(--TRIM(LEFT(N58,2)))*(--TRIM(LEFT(P58,2)))*(--TRIM(LEFT(R58,2))))</f>
        <v/>
      </c>
      <c r="T58" s="20">
        <f>IF(OR(N58="",P58="",R58=""),"",INDEX(APGrid,COUNTIF(APS,"&gt;"&amp;(--TRIM(LEFT(N58,2))))*5+COUNTIF(APO,"&gt;"&amp;(--TRIM(LEFT(P58,2))))+1,COUNTIF(APD,"&gt;"&amp;(--TRIM(LEFT(R58,2))))+1))</f>
        <v/>
      </c>
      <c r="U58" s="20">
        <f>IF(S58="","",IF(OR((--TRIM(LEFT(N58,2)))&gt;=SThr,S58&gt;=RPNThr,T58="H"),"Yes","No"))</f>
        <v/>
      </c>
      <c r="V58" s="4" t="n"/>
      <c r="W58" s="4" t="n"/>
      <c r="X58" s="4" t="n"/>
      <c r="Y58" s="29" t="n"/>
      <c r="Z58" s="16" t="n"/>
      <c r="AA58" s="16" t="n"/>
      <c r="AB58" s="16" t="n"/>
      <c r="AC58" s="20">
        <f>IF(OR(Z58="",AA58="",AB58=""),"",(--TRIM(LEFT(Z58,2)))*(--TRIM(LEFT(AA58,2)))*(--TRIM(LEFT(AB58,2))))</f>
        <v/>
      </c>
      <c r="AD58" s="20">
        <f>IF(OR(Z58="",AA58="",AB58=""),"",INDEX(APGrid,COUNTIF(APS,"&gt;"&amp;(--TRIM(LEFT(Z58,2))))*5+COUNTIF(APO,"&gt;"&amp;(--TRIM(LEFT(AA58,2))))+1,COUNTIF(APD,"&gt;"&amp;(--TRIM(LEFT(AB58,2))))+1))</f>
        <v/>
      </c>
      <c r="AE58" s="4" t="n"/>
      <c r="AF58" s="4" t="n"/>
      <c r="AH58">
        <f>IFERROR(INDEX(EqTag,_xlfn.AGGREGATE(15,6,(ROW(EqTag)-4)/((EqSys=$D$3)*(EqTag&lt;&gt;"")),ROWS($AH$14:AH58))),"")</f>
        <v/>
      </c>
    </row>
    <row r="59">
      <c r="A59" s="20">
        <f>IF(F59="","",LEFT($D$3,3)&amp;"-"&amp;TEXT(COUNTIF(F$14:F59,"?*"),"00"))</f>
        <v/>
      </c>
      <c r="B59" s="4" t="n"/>
      <c r="C59" s="5">
        <f>IF(B59="","",IFERROR(INDEX(EqTypeCol,MATCH(B59,EqTag,0)),"Tag not in register"))</f>
        <v/>
      </c>
      <c r="D59" s="4" t="n"/>
      <c r="E59" s="4" t="n"/>
      <c r="F59" s="4" t="n"/>
      <c r="G59" s="4" t="n"/>
      <c r="H59" s="4" t="n"/>
      <c r="I59" s="4" t="n"/>
      <c r="J59" s="5">
        <f>_xlfn.TEXTJOIN(CHAR(10),TRUE,IF(G59="","","• "&amp;G59),IF(H59="","","• "&amp;H59),IF(I59="","","• "&amp;I59))</f>
        <v/>
      </c>
      <c r="K59" s="4" t="n"/>
      <c r="L59" s="4" t="n"/>
      <c r="M59" s="4" t="n"/>
      <c r="N59" s="16" t="n"/>
      <c r="O59" s="4" t="n"/>
      <c r="P59" s="16" t="n"/>
      <c r="Q59" s="4" t="n"/>
      <c r="R59" s="16" t="n"/>
      <c r="S59" s="20">
        <f>IF(OR(N59="",P59="",R59=""),"",(--TRIM(LEFT(N59,2)))*(--TRIM(LEFT(P59,2)))*(--TRIM(LEFT(R59,2))))</f>
        <v/>
      </c>
      <c r="T59" s="20">
        <f>IF(OR(N59="",P59="",R59=""),"",INDEX(APGrid,COUNTIF(APS,"&gt;"&amp;(--TRIM(LEFT(N59,2))))*5+COUNTIF(APO,"&gt;"&amp;(--TRIM(LEFT(P59,2))))+1,COUNTIF(APD,"&gt;"&amp;(--TRIM(LEFT(R59,2))))+1))</f>
        <v/>
      </c>
      <c r="U59" s="20">
        <f>IF(S59="","",IF(OR((--TRIM(LEFT(N59,2)))&gt;=SThr,S59&gt;=RPNThr,T59="H"),"Yes","No"))</f>
        <v/>
      </c>
      <c r="V59" s="4" t="n"/>
      <c r="W59" s="4" t="n"/>
      <c r="X59" s="4" t="n"/>
      <c r="Y59" s="29" t="n"/>
      <c r="Z59" s="16" t="n"/>
      <c r="AA59" s="16" t="n"/>
      <c r="AB59" s="16" t="n"/>
      <c r="AC59" s="20">
        <f>IF(OR(Z59="",AA59="",AB59=""),"",(--TRIM(LEFT(Z59,2)))*(--TRIM(LEFT(AA59,2)))*(--TRIM(LEFT(AB59,2))))</f>
        <v/>
      </c>
      <c r="AD59" s="20">
        <f>IF(OR(Z59="",AA59="",AB59=""),"",INDEX(APGrid,COUNTIF(APS,"&gt;"&amp;(--TRIM(LEFT(Z59,2))))*5+COUNTIF(APO,"&gt;"&amp;(--TRIM(LEFT(AA59,2))))+1,COUNTIF(APD,"&gt;"&amp;(--TRIM(LEFT(AB59,2))))+1))</f>
        <v/>
      </c>
      <c r="AE59" s="4" t="n"/>
      <c r="AF59" s="4" t="n"/>
      <c r="AH59">
        <f>IFERROR(INDEX(EqTag,_xlfn.AGGREGATE(15,6,(ROW(EqTag)-4)/((EqSys=$D$3)*(EqTag&lt;&gt;"")),ROWS($AH$14:AH59))),"")</f>
        <v/>
      </c>
    </row>
    <row r="60">
      <c r="A60" s="20">
        <f>IF(F60="","",LEFT($D$3,3)&amp;"-"&amp;TEXT(COUNTIF(F$14:F60,"?*"),"00"))</f>
        <v/>
      </c>
      <c r="B60" s="4" t="n"/>
      <c r="C60" s="5">
        <f>IF(B60="","",IFERROR(INDEX(EqTypeCol,MATCH(B60,EqTag,0)),"Tag not in register"))</f>
        <v/>
      </c>
      <c r="D60" s="4" t="n"/>
      <c r="E60" s="4" t="n"/>
      <c r="F60" s="4" t="n"/>
      <c r="G60" s="4" t="n"/>
      <c r="H60" s="4" t="n"/>
      <c r="I60" s="4" t="n"/>
      <c r="J60" s="5">
        <f>_xlfn.TEXTJOIN(CHAR(10),TRUE,IF(G60="","","• "&amp;G60),IF(H60="","","• "&amp;H60),IF(I60="","","• "&amp;I60))</f>
        <v/>
      </c>
      <c r="K60" s="4" t="n"/>
      <c r="L60" s="4" t="n"/>
      <c r="M60" s="4" t="n"/>
      <c r="N60" s="16" t="n"/>
      <c r="O60" s="4" t="n"/>
      <c r="P60" s="16" t="n"/>
      <c r="Q60" s="4" t="n"/>
      <c r="R60" s="16" t="n"/>
      <c r="S60" s="20">
        <f>IF(OR(N60="",P60="",R60=""),"",(--TRIM(LEFT(N60,2)))*(--TRIM(LEFT(P60,2)))*(--TRIM(LEFT(R60,2))))</f>
        <v/>
      </c>
      <c r="T60" s="20">
        <f>IF(OR(N60="",P60="",R60=""),"",INDEX(APGrid,COUNTIF(APS,"&gt;"&amp;(--TRIM(LEFT(N60,2))))*5+COUNTIF(APO,"&gt;"&amp;(--TRIM(LEFT(P60,2))))+1,COUNTIF(APD,"&gt;"&amp;(--TRIM(LEFT(R60,2))))+1))</f>
        <v/>
      </c>
      <c r="U60" s="20">
        <f>IF(S60="","",IF(OR((--TRIM(LEFT(N60,2)))&gt;=SThr,S60&gt;=RPNThr,T60="H"),"Yes","No"))</f>
        <v/>
      </c>
      <c r="V60" s="4" t="n"/>
      <c r="W60" s="4" t="n"/>
      <c r="X60" s="4" t="n"/>
      <c r="Y60" s="29" t="n"/>
      <c r="Z60" s="16" t="n"/>
      <c r="AA60" s="16" t="n"/>
      <c r="AB60" s="16" t="n"/>
      <c r="AC60" s="20">
        <f>IF(OR(Z60="",AA60="",AB60=""),"",(--TRIM(LEFT(Z60,2)))*(--TRIM(LEFT(AA60,2)))*(--TRIM(LEFT(AB60,2))))</f>
        <v/>
      </c>
      <c r="AD60" s="20">
        <f>IF(OR(Z60="",AA60="",AB60=""),"",INDEX(APGrid,COUNTIF(APS,"&gt;"&amp;(--TRIM(LEFT(Z60,2))))*5+COUNTIF(APO,"&gt;"&amp;(--TRIM(LEFT(AA60,2))))+1,COUNTIF(APD,"&gt;"&amp;(--TRIM(LEFT(AB60,2))))+1))</f>
        <v/>
      </c>
      <c r="AE60" s="4" t="n"/>
      <c r="AF60" s="4" t="n"/>
      <c r="AH60">
        <f>IFERROR(INDEX(EqTag,_xlfn.AGGREGATE(15,6,(ROW(EqTag)-4)/((EqSys=$D$3)*(EqTag&lt;&gt;"")),ROWS($AH$14:AH60))),"")</f>
        <v/>
      </c>
    </row>
    <row r="61">
      <c r="A61" s="20">
        <f>IF(F61="","",LEFT($D$3,3)&amp;"-"&amp;TEXT(COUNTIF(F$14:F61,"?*"),"00"))</f>
        <v/>
      </c>
      <c r="B61" s="4" t="n"/>
      <c r="C61" s="5">
        <f>IF(B61="","",IFERROR(INDEX(EqTypeCol,MATCH(B61,EqTag,0)),"Tag not in register"))</f>
        <v/>
      </c>
      <c r="D61" s="4" t="n"/>
      <c r="E61" s="4" t="n"/>
      <c r="F61" s="4" t="n"/>
      <c r="G61" s="4" t="n"/>
      <c r="H61" s="4" t="n"/>
      <c r="I61" s="4" t="n"/>
      <c r="J61" s="5">
        <f>_xlfn.TEXTJOIN(CHAR(10),TRUE,IF(G61="","","• "&amp;G61),IF(H61="","","• "&amp;H61),IF(I61="","","• "&amp;I61))</f>
        <v/>
      </c>
      <c r="K61" s="4" t="n"/>
      <c r="L61" s="4" t="n"/>
      <c r="M61" s="4" t="n"/>
      <c r="N61" s="16" t="n"/>
      <c r="O61" s="4" t="n"/>
      <c r="P61" s="16" t="n"/>
      <c r="Q61" s="4" t="n"/>
      <c r="R61" s="16" t="n"/>
      <c r="S61" s="20">
        <f>IF(OR(N61="",P61="",R61=""),"",(--TRIM(LEFT(N61,2)))*(--TRIM(LEFT(P61,2)))*(--TRIM(LEFT(R61,2))))</f>
        <v/>
      </c>
      <c r="T61" s="20">
        <f>IF(OR(N61="",P61="",R61=""),"",INDEX(APGrid,COUNTIF(APS,"&gt;"&amp;(--TRIM(LEFT(N61,2))))*5+COUNTIF(APO,"&gt;"&amp;(--TRIM(LEFT(P61,2))))+1,COUNTIF(APD,"&gt;"&amp;(--TRIM(LEFT(R61,2))))+1))</f>
        <v/>
      </c>
      <c r="U61" s="20">
        <f>IF(S61="","",IF(OR((--TRIM(LEFT(N61,2)))&gt;=SThr,S61&gt;=RPNThr,T61="H"),"Yes","No"))</f>
        <v/>
      </c>
      <c r="V61" s="4" t="n"/>
      <c r="W61" s="4" t="n"/>
      <c r="X61" s="4" t="n"/>
      <c r="Y61" s="29" t="n"/>
      <c r="Z61" s="16" t="n"/>
      <c r="AA61" s="16" t="n"/>
      <c r="AB61" s="16" t="n"/>
      <c r="AC61" s="20">
        <f>IF(OR(Z61="",AA61="",AB61=""),"",(--TRIM(LEFT(Z61,2)))*(--TRIM(LEFT(AA61,2)))*(--TRIM(LEFT(AB61,2))))</f>
        <v/>
      </c>
      <c r="AD61" s="20">
        <f>IF(OR(Z61="",AA61="",AB61=""),"",INDEX(APGrid,COUNTIF(APS,"&gt;"&amp;(--TRIM(LEFT(Z61,2))))*5+COUNTIF(APO,"&gt;"&amp;(--TRIM(LEFT(AA61,2))))+1,COUNTIF(APD,"&gt;"&amp;(--TRIM(LEFT(AB61,2))))+1))</f>
        <v/>
      </c>
      <c r="AE61" s="4" t="n"/>
      <c r="AF61" s="4" t="n"/>
      <c r="AH61">
        <f>IFERROR(INDEX(EqTag,_xlfn.AGGREGATE(15,6,(ROW(EqTag)-4)/((EqSys=$D$3)*(EqTag&lt;&gt;"")),ROWS($AH$14:AH61))),"")</f>
        <v/>
      </c>
    </row>
    <row r="62">
      <c r="A62" s="20">
        <f>IF(F62="","",LEFT($D$3,3)&amp;"-"&amp;TEXT(COUNTIF(F$14:F62,"?*"),"00"))</f>
        <v/>
      </c>
      <c r="B62" s="4" t="n"/>
      <c r="C62" s="5">
        <f>IF(B62="","",IFERROR(INDEX(EqTypeCol,MATCH(B62,EqTag,0)),"Tag not in register"))</f>
        <v/>
      </c>
      <c r="D62" s="4" t="n"/>
      <c r="E62" s="4" t="n"/>
      <c r="F62" s="4" t="n"/>
      <c r="G62" s="4" t="n"/>
      <c r="H62" s="4" t="n"/>
      <c r="I62" s="4" t="n"/>
      <c r="J62" s="5">
        <f>_xlfn.TEXTJOIN(CHAR(10),TRUE,IF(G62="","","• "&amp;G62),IF(H62="","","• "&amp;H62),IF(I62="","","• "&amp;I62))</f>
        <v/>
      </c>
      <c r="K62" s="4" t="n"/>
      <c r="L62" s="4" t="n"/>
      <c r="M62" s="4" t="n"/>
      <c r="N62" s="16" t="n"/>
      <c r="O62" s="4" t="n"/>
      <c r="P62" s="16" t="n"/>
      <c r="Q62" s="4" t="n"/>
      <c r="R62" s="16" t="n"/>
      <c r="S62" s="20">
        <f>IF(OR(N62="",P62="",R62=""),"",(--TRIM(LEFT(N62,2)))*(--TRIM(LEFT(P62,2)))*(--TRIM(LEFT(R62,2))))</f>
        <v/>
      </c>
      <c r="T62" s="20">
        <f>IF(OR(N62="",P62="",R62=""),"",INDEX(APGrid,COUNTIF(APS,"&gt;"&amp;(--TRIM(LEFT(N62,2))))*5+COUNTIF(APO,"&gt;"&amp;(--TRIM(LEFT(P62,2))))+1,COUNTIF(APD,"&gt;"&amp;(--TRIM(LEFT(R62,2))))+1))</f>
        <v/>
      </c>
      <c r="U62" s="20">
        <f>IF(S62="","",IF(OR((--TRIM(LEFT(N62,2)))&gt;=SThr,S62&gt;=RPNThr,T62="H"),"Yes","No"))</f>
        <v/>
      </c>
      <c r="V62" s="4" t="n"/>
      <c r="W62" s="4" t="n"/>
      <c r="X62" s="4" t="n"/>
      <c r="Y62" s="29" t="n"/>
      <c r="Z62" s="16" t="n"/>
      <c r="AA62" s="16" t="n"/>
      <c r="AB62" s="16" t="n"/>
      <c r="AC62" s="20">
        <f>IF(OR(Z62="",AA62="",AB62=""),"",(--TRIM(LEFT(Z62,2)))*(--TRIM(LEFT(AA62,2)))*(--TRIM(LEFT(AB62,2))))</f>
        <v/>
      </c>
      <c r="AD62" s="20">
        <f>IF(OR(Z62="",AA62="",AB62=""),"",INDEX(APGrid,COUNTIF(APS,"&gt;"&amp;(--TRIM(LEFT(Z62,2))))*5+COUNTIF(APO,"&gt;"&amp;(--TRIM(LEFT(AA62,2))))+1,COUNTIF(APD,"&gt;"&amp;(--TRIM(LEFT(AB62,2))))+1))</f>
        <v/>
      </c>
      <c r="AE62" s="4" t="n"/>
      <c r="AF62" s="4" t="n"/>
      <c r="AH62">
        <f>IFERROR(INDEX(EqTag,_xlfn.AGGREGATE(15,6,(ROW(EqTag)-4)/((EqSys=$D$3)*(EqTag&lt;&gt;"")),ROWS($AH$14:AH62))),"")</f>
        <v/>
      </c>
    </row>
    <row r="63">
      <c r="A63" s="20">
        <f>IF(F63="","",LEFT($D$3,3)&amp;"-"&amp;TEXT(COUNTIF(F$14:F63,"?*"),"00"))</f>
        <v/>
      </c>
      <c r="B63" s="4" t="n"/>
      <c r="C63" s="5">
        <f>IF(B63="","",IFERROR(INDEX(EqTypeCol,MATCH(B63,EqTag,0)),"Tag not in register"))</f>
        <v/>
      </c>
      <c r="D63" s="4" t="n"/>
      <c r="E63" s="4" t="n"/>
      <c r="F63" s="4" t="n"/>
      <c r="G63" s="4" t="n"/>
      <c r="H63" s="4" t="n"/>
      <c r="I63" s="4" t="n"/>
      <c r="J63" s="5">
        <f>_xlfn.TEXTJOIN(CHAR(10),TRUE,IF(G63="","","• "&amp;G63),IF(H63="","","• "&amp;H63),IF(I63="","","• "&amp;I63))</f>
        <v/>
      </c>
      <c r="K63" s="4" t="n"/>
      <c r="L63" s="4" t="n"/>
      <c r="M63" s="4" t="n"/>
      <c r="N63" s="16" t="n"/>
      <c r="O63" s="4" t="n"/>
      <c r="P63" s="16" t="n"/>
      <c r="Q63" s="4" t="n"/>
      <c r="R63" s="16" t="n"/>
      <c r="S63" s="20">
        <f>IF(OR(N63="",P63="",R63=""),"",(--TRIM(LEFT(N63,2)))*(--TRIM(LEFT(P63,2)))*(--TRIM(LEFT(R63,2))))</f>
        <v/>
      </c>
      <c r="T63" s="20">
        <f>IF(OR(N63="",P63="",R63=""),"",INDEX(APGrid,COUNTIF(APS,"&gt;"&amp;(--TRIM(LEFT(N63,2))))*5+COUNTIF(APO,"&gt;"&amp;(--TRIM(LEFT(P63,2))))+1,COUNTIF(APD,"&gt;"&amp;(--TRIM(LEFT(R63,2))))+1))</f>
        <v/>
      </c>
      <c r="U63" s="20">
        <f>IF(S63="","",IF(OR((--TRIM(LEFT(N63,2)))&gt;=SThr,S63&gt;=RPNThr,T63="H"),"Yes","No"))</f>
        <v/>
      </c>
      <c r="V63" s="4" t="n"/>
      <c r="W63" s="4" t="n"/>
      <c r="X63" s="4" t="n"/>
      <c r="Y63" s="29" t="n"/>
      <c r="Z63" s="16" t="n"/>
      <c r="AA63" s="16" t="n"/>
      <c r="AB63" s="16" t="n"/>
      <c r="AC63" s="20">
        <f>IF(OR(Z63="",AA63="",AB63=""),"",(--TRIM(LEFT(Z63,2)))*(--TRIM(LEFT(AA63,2)))*(--TRIM(LEFT(AB63,2))))</f>
        <v/>
      </c>
      <c r="AD63" s="20">
        <f>IF(OR(Z63="",AA63="",AB63=""),"",INDEX(APGrid,COUNTIF(APS,"&gt;"&amp;(--TRIM(LEFT(Z63,2))))*5+COUNTIF(APO,"&gt;"&amp;(--TRIM(LEFT(AA63,2))))+1,COUNTIF(APD,"&gt;"&amp;(--TRIM(LEFT(AB63,2))))+1))</f>
        <v/>
      </c>
      <c r="AE63" s="4" t="n"/>
      <c r="AF63" s="4" t="n"/>
      <c r="AH63">
        <f>IFERROR(INDEX(EqTag,_xlfn.AGGREGATE(15,6,(ROW(EqTag)-4)/((EqSys=$D$3)*(EqTag&lt;&gt;"")),ROWS($AH$14:AH63))),"")</f>
        <v/>
      </c>
    </row>
    <row r="64">
      <c r="A64" s="20">
        <f>IF(F64="","",LEFT($D$3,3)&amp;"-"&amp;TEXT(COUNTIF(F$14:F64,"?*"),"00"))</f>
        <v/>
      </c>
      <c r="B64" s="4" t="n"/>
      <c r="C64" s="5">
        <f>IF(B64="","",IFERROR(INDEX(EqTypeCol,MATCH(B64,EqTag,0)),"Tag not in register"))</f>
        <v/>
      </c>
      <c r="D64" s="4" t="n"/>
      <c r="E64" s="4" t="n"/>
      <c r="F64" s="4" t="n"/>
      <c r="G64" s="4" t="n"/>
      <c r="H64" s="4" t="n"/>
      <c r="I64" s="4" t="n"/>
      <c r="J64" s="5">
        <f>_xlfn.TEXTJOIN(CHAR(10),TRUE,IF(G64="","","• "&amp;G64),IF(H64="","","• "&amp;H64),IF(I64="","","• "&amp;I64))</f>
        <v/>
      </c>
      <c r="K64" s="4" t="n"/>
      <c r="L64" s="4" t="n"/>
      <c r="M64" s="4" t="n"/>
      <c r="N64" s="16" t="n"/>
      <c r="O64" s="4" t="n"/>
      <c r="P64" s="16" t="n"/>
      <c r="Q64" s="4" t="n"/>
      <c r="R64" s="16" t="n"/>
      <c r="S64" s="20">
        <f>IF(OR(N64="",P64="",R64=""),"",(--TRIM(LEFT(N64,2)))*(--TRIM(LEFT(P64,2)))*(--TRIM(LEFT(R64,2))))</f>
        <v/>
      </c>
      <c r="T64" s="20">
        <f>IF(OR(N64="",P64="",R64=""),"",INDEX(APGrid,COUNTIF(APS,"&gt;"&amp;(--TRIM(LEFT(N64,2))))*5+COUNTIF(APO,"&gt;"&amp;(--TRIM(LEFT(P64,2))))+1,COUNTIF(APD,"&gt;"&amp;(--TRIM(LEFT(R64,2))))+1))</f>
        <v/>
      </c>
      <c r="U64" s="20">
        <f>IF(S64="","",IF(OR((--TRIM(LEFT(N64,2)))&gt;=SThr,S64&gt;=RPNThr,T64="H"),"Yes","No"))</f>
        <v/>
      </c>
      <c r="V64" s="4" t="n"/>
      <c r="W64" s="4" t="n"/>
      <c r="X64" s="4" t="n"/>
      <c r="Y64" s="29" t="n"/>
      <c r="Z64" s="16" t="n"/>
      <c r="AA64" s="16" t="n"/>
      <c r="AB64" s="16" t="n"/>
      <c r="AC64" s="20">
        <f>IF(OR(Z64="",AA64="",AB64=""),"",(--TRIM(LEFT(Z64,2)))*(--TRIM(LEFT(AA64,2)))*(--TRIM(LEFT(AB64,2))))</f>
        <v/>
      </c>
      <c r="AD64" s="20">
        <f>IF(OR(Z64="",AA64="",AB64=""),"",INDEX(APGrid,COUNTIF(APS,"&gt;"&amp;(--TRIM(LEFT(Z64,2))))*5+COUNTIF(APO,"&gt;"&amp;(--TRIM(LEFT(AA64,2))))+1,COUNTIF(APD,"&gt;"&amp;(--TRIM(LEFT(AB64,2))))+1))</f>
        <v/>
      </c>
      <c r="AE64" s="4" t="n"/>
      <c r="AF64" s="4" t="n"/>
      <c r="AH64">
        <f>IFERROR(INDEX(EqTag,_xlfn.AGGREGATE(15,6,(ROW(EqTag)-4)/((EqSys=$D$3)*(EqTag&lt;&gt;"")),ROWS($AH$14:AH64))),"")</f>
        <v/>
      </c>
    </row>
    <row r="65">
      <c r="A65" s="20">
        <f>IF(F65="","",LEFT($D$3,3)&amp;"-"&amp;TEXT(COUNTIF(F$14:F65,"?*"),"00"))</f>
        <v/>
      </c>
      <c r="B65" s="4" t="n"/>
      <c r="C65" s="5">
        <f>IF(B65="","",IFERROR(INDEX(EqTypeCol,MATCH(B65,EqTag,0)),"Tag not in register"))</f>
        <v/>
      </c>
      <c r="D65" s="4" t="n"/>
      <c r="E65" s="4" t="n"/>
      <c r="F65" s="4" t="n"/>
      <c r="G65" s="4" t="n"/>
      <c r="H65" s="4" t="n"/>
      <c r="I65" s="4" t="n"/>
      <c r="J65" s="5">
        <f>_xlfn.TEXTJOIN(CHAR(10),TRUE,IF(G65="","","• "&amp;G65),IF(H65="","","• "&amp;H65),IF(I65="","","• "&amp;I65))</f>
        <v/>
      </c>
      <c r="K65" s="4" t="n"/>
      <c r="L65" s="4" t="n"/>
      <c r="M65" s="4" t="n"/>
      <c r="N65" s="16" t="n"/>
      <c r="O65" s="4" t="n"/>
      <c r="P65" s="16" t="n"/>
      <c r="Q65" s="4" t="n"/>
      <c r="R65" s="16" t="n"/>
      <c r="S65" s="20">
        <f>IF(OR(N65="",P65="",R65=""),"",(--TRIM(LEFT(N65,2)))*(--TRIM(LEFT(P65,2)))*(--TRIM(LEFT(R65,2))))</f>
        <v/>
      </c>
      <c r="T65" s="20">
        <f>IF(OR(N65="",P65="",R65=""),"",INDEX(APGrid,COUNTIF(APS,"&gt;"&amp;(--TRIM(LEFT(N65,2))))*5+COUNTIF(APO,"&gt;"&amp;(--TRIM(LEFT(P65,2))))+1,COUNTIF(APD,"&gt;"&amp;(--TRIM(LEFT(R65,2))))+1))</f>
        <v/>
      </c>
      <c r="U65" s="20">
        <f>IF(S65="","",IF(OR((--TRIM(LEFT(N65,2)))&gt;=SThr,S65&gt;=RPNThr,T65="H"),"Yes","No"))</f>
        <v/>
      </c>
      <c r="V65" s="4" t="n"/>
      <c r="W65" s="4" t="n"/>
      <c r="X65" s="4" t="n"/>
      <c r="Y65" s="29" t="n"/>
      <c r="Z65" s="16" t="n"/>
      <c r="AA65" s="16" t="n"/>
      <c r="AB65" s="16" t="n"/>
      <c r="AC65" s="20">
        <f>IF(OR(Z65="",AA65="",AB65=""),"",(--TRIM(LEFT(Z65,2)))*(--TRIM(LEFT(AA65,2)))*(--TRIM(LEFT(AB65,2))))</f>
        <v/>
      </c>
      <c r="AD65" s="20">
        <f>IF(OR(Z65="",AA65="",AB65=""),"",INDEX(APGrid,COUNTIF(APS,"&gt;"&amp;(--TRIM(LEFT(Z65,2))))*5+COUNTIF(APO,"&gt;"&amp;(--TRIM(LEFT(AA65,2))))+1,COUNTIF(APD,"&gt;"&amp;(--TRIM(LEFT(AB65,2))))+1))</f>
        <v/>
      </c>
      <c r="AE65" s="4" t="n"/>
      <c r="AF65" s="4" t="n"/>
      <c r="AH65">
        <f>IFERROR(INDEX(EqTag,_xlfn.AGGREGATE(15,6,(ROW(EqTag)-4)/((EqSys=$D$3)*(EqTag&lt;&gt;"")),ROWS($AH$14:AH65))),"")</f>
        <v/>
      </c>
    </row>
    <row r="66">
      <c r="A66" s="20">
        <f>IF(F66="","",LEFT($D$3,3)&amp;"-"&amp;TEXT(COUNTIF(F$14:F66,"?*"),"00"))</f>
        <v/>
      </c>
      <c r="B66" s="4" t="n"/>
      <c r="C66" s="5">
        <f>IF(B66="","",IFERROR(INDEX(EqTypeCol,MATCH(B66,EqTag,0)),"Tag not in register"))</f>
        <v/>
      </c>
      <c r="D66" s="4" t="n"/>
      <c r="E66" s="4" t="n"/>
      <c r="F66" s="4" t="n"/>
      <c r="G66" s="4" t="n"/>
      <c r="H66" s="4" t="n"/>
      <c r="I66" s="4" t="n"/>
      <c r="J66" s="5">
        <f>_xlfn.TEXTJOIN(CHAR(10),TRUE,IF(G66="","","• "&amp;G66),IF(H66="","","• "&amp;H66),IF(I66="","","• "&amp;I66))</f>
        <v/>
      </c>
      <c r="K66" s="4" t="n"/>
      <c r="L66" s="4" t="n"/>
      <c r="M66" s="4" t="n"/>
      <c r="N66" s="16" t="n"/>
      <c r="O66" s="4" t="n"/>
      <c r="P66" s="16" t="n"/>
      <c r="Q66" s="4" t="n"/>
      <c r="R66" s="16" t="n"/>
      <c r="S66" s="20">
        <f>IF(OR(N66="",P66="",R66=""),"",(--TRIM(LEFT(N66,2)))*(--TRIM(LEFT(P66,2)))*(--TRIM(LEFT(R66,2))))</f>
        <v/>
      </c>
      <c r="T66" s="20">
        <f>IF(OR(N66="",P66="",R66=""),"",INDEX(APGrid,COUNTIF(APS,"&gt;"&amp;(--TRIM(LEFT(N66,2))))*5+COUNTIF(APO,"&gt;"&amp;(--TRIM(LEFT(P66,2))))+1,COUNTIF(APD,"&gt;"&amp;(--TRIM(LEFT(R66,2))))+1))</f>
        <v/>
      </c>
      <c r="U66" s="20">
        <f>IF(S66="","",IF(OR((--TRIM(LEFT(N66,2)))&gt;=SThr,S66&gt;=RPNThr,T66="H"),"Yes","No"))</f>
        <v/>
      </c>
      <c r="V66" s="4" t="n"/>
      <c r="W66" s="4" t="n"/>
      <c r="X66" s="4" t="n"/>
      <c r="Y66" s="29" t="n"/>
      <c r="Z66" s="16" t="n"/>
      <c r="AA66" s="16" t="n"/>
      <c r="AB66" s="16" t="n"/>
      <c r="AC66" s="20">
        <f>IF(OR(Z66="",AA66="",AB66=""),"",(--TRIM(LEFT(Z66,2)))*(--TRIM(LEFT(AA66,2)))*(--TRIM(LEFT(AB66,2))))</f>
        <v/>
      </c>
      <c r="AD66" s="20">
        <f>IF(OR(Z66="",AA66="",AB66=""),"",INDEX(APGrid,COUNTIF(APS,"&gt;"&amp;(--TRIM(LEFT(Z66,2))))*5+COUNTIF(APO,"&gt;"&amp;(--TRIM(LEFT(AA66,2))))+1,COUNTIF(APD,"&gt;"&amp;(--TRIM(LEFT(AB66,2))))+1))</f>
        <v/>
      </c>
      <c r="AE66" s="4" t="n"/>
      <c r="AF66" s="4" t="n"/>
      <c r="AH66">
        <f>IFERROR(INDEX(EqTag,_xlfn.AGGREGATE(15,6,(ROW(EqTag)-4)/((EqSys=$D$3)*(EqTag&lt;&gt;"")),ROWS($AH$14:AH66))),"")</f>
        <v/>
      </c>
    </row>
    <row r="67">
      <c r="A67" s="20">
        <f>IF(F67="","",LEFT($D$3,3)&amp;"-"&amp;TEXT(COUNTIF(F$14:F67,"?*"),"00"))</f>
        <v/>
      </c>
      <c r="B67" s="4" t="n"/>
      <c r="C67" s="5">
        <f>IF(B67="","",IFERROR(INDEX(EqTypeCol,MATCH(B67,EqTag,0)),"Tag not in register"))</f>
        <v/>
      </c>
      <c r="D67" s="4" t="n"/>
      <c r="E67" s="4" t="n"/>
      <c r="F67" s="4" t="n"/>
      <c r="G67" s="4" t="n"/>
      <c r="H67" s="4" t="n"/>
      <c r="I67" s="4" t="n"/>
      <c r="J67" s="5">
        <f>_xlfn.TEXTJOIN(CHAR(10),TRUE,IF(G67="","","• "&amp;G67),IF(H67="","","• "&amp;H67),IF(I67="","","• "&amp;I67))</f>
        <v/>
      </c>
      <c r="K67" s="4" t="n"/>
      <c r="L67" s="4" t="n"/>
      <c r="M67" s="4" t="n"/>
      <c r="N67" s="16" t="n"/>
      <c r="O67" s="4" t="n"/>
      <c r="P67" s="16" t="n"/>
      <c r="Q67" s="4" t="n"/>
      <c r="R67" s="16" t="n"/>
      <c r="S67" s="20">
        <f>IF(OR(N67="",P67="",R67=""),"",(--TRIM(LEFT(N67,2)))*(--TRIM(LEFT(P67,2)))*(--TRIM(LEFT(R67,2))))</f>
        <v/>
      </c>
      <c r="T67" s="20">
        <f>IF(OR(N67="",P67="",R67=""),"",INDEX(APGrid,COUNTIF(APS,"&gt;"&amp;(--TRIM(LEFT(N67,2))))*5+COUNTIF(APO,"&gt;"&amp;(--TRIM(LEFT(P67,2))))+1,COUNTIF(APD,"&gt;"&amp;(--TRIM(LEFT(R67,2))))+1))</f>
        <v/>
      </c>
      <c r="U67" s="20">
        <f>IF(S67="","",IF(OR((--TRIM(LEFT(N67,2)))&gt;=SThr,S67&gt;=RPNThr,T67="H"),"Yes","No"))</f>
        <v/>
      </c>
      <c r="V67" s="4" t="n"/>
      <c r="W67" s="4" t="n"/>
      <c r="X67" s="4" t="n"/>
      <c r="Y67" s="29" t="n"/>
      <c r="Z67" s="16" t="n"/>
      <c r="AA67" s="16" t="n"/>
      <c r="AB67" s="16" t="n"/>
      <c r="AC67" s="20">
        <f>IF(OR(Z67="",AA67="",AB67=""),"",(--TRIM(LEFT(Z67,2)))*(--TRIM(LEFT(AA67,2)))*(--TRIM(LEFT(AB67,2))))</f>
        <v/>
      </c>
      <c r="AD67" s="20">
        <f>IF(OR(Z67="",AA67="",AB67=""),"",INDEX(APGrid,COUNTIF(APS,"&gt;"&amp;(--TRIM(LEFT(Z67,2))))*5+COUNTIF(APO,"&gt;"&amp;(--TRIM(LEFT(AA67,2))))+1,COUNTIF(APD,"&gt;"&amp;(--TRIM(LEFT(AB67,2))))+1))</f>
        <v/>
      </c>
      <c r="AE67" s="4" t="n"/>
      <c r="AF67" s="4" t="n"/>
      <c r="AH67">
        <f>IFERROR(INDEX(EqTag,_xlfn.AGGREGATE(15,6,(ROW(EqTag)-4)/((EqSys=$D$3)*(EqTag&lt;&gt;"")),ROWS($AH$14:AH67))),"")</f>
        <v/>
      </c>
    </row>
    <row r="68">
      <c r="A68" s="20">
        <f>IF(F68="","",LEFT($D$3,3)&amp;"-"&amp;TEXT(COUNTIF(F$14:F68,"?*"),"00"))</f>
        <v/>
      </c>
      <c r="B68" s="4" t="n"/>
      <c r="C68" s="5">
        <f>IF(B68="","",IFERROR(INDEX(EqTypeCol,MATCH(B68,EqTag,0)),"Tag not in register"))</f>
        <v/>
      </c>
      <c r="D68" s="4" t="n"/>
      <c r="E68" s="4" t="n"/>
      <c r="F68" s="4" t="n"/>
      <c r="G68" s="4" t="n"/>
      <c r="H68" s="4" t="n"/>
      <c r="I68" s="4" t="n"/>
      <c r="J68" s="5">
        <f>_xlfn.TEXTJOIN(CHAR(10),TRUE,IF(G68="","","• "&amp;G68),IF(H68="","","• "&amp;H68),IF(I68="","","• "&amp;I68))</f>
        <v/>
      </c>
      <c r="K68" s="4" t="n"/>
      <c r="L68" s="4" t="n"/>
      <c r="M68" s="4" t="n"/>
      <c r="N68" s="16" t="n"/>
      <c r="O68" s="4" t="n"/>
      <c r="P68" s="16" t="n"/>
      <c r="Q68" s="4" t="n"/>
      <c r="R68" s="16" t="n"/>
      <c r="S68" s="20">
        <f>IF(OR(N68="",P68="",R68=""),"",(--TRIM(LEFT(N68,2)))*(--TRIM(LEFT(P68,2)))*(--TRIM(LEFT(R68,2))))</f>
        <v/>
      </c>
      <c r="T68" s="20">
        <f>IF(OR(N68="",P68="",R68=""),"",INDEX(APGrid,COUNTIF(APS,"&gt;"&amp;(--TRIM(LEFT(N68,2))))*5+COUNTIF(APO,"&gt;"&amp;(--TRIM(LEFT(P68,2))))+1,COUNTIF(APD,"&gt;"&amp;(--TRIM(LEFT(R68,2))))+1))</f>
        <v/>
      </c>
      <c r="U68" s="20">
        <f>IF(S68="","",IF(OR((--TRIM(LEFT(N68,2)))&gt;=SThr,S68&gt;=RPNThr,T68="H"),"Yes","No"))</f>
        <v/>
      </c>
      <c r="V68" s="4" t="n"/>
      <c r="W68" s="4" t="n"/>
      <c r="X68" s="4" t="n"/>
      <c r="Y68" s="29" t="n"/>
      <c r="Z68" s="16" t="n"/>
      <c r="AA68" s="16" t="n"/>
      <c r="AB68" s="16" t="n"/>
      <c r="AC68" s="20">
        <f>IF(OR(Z68="",AA68="",AB68=""),"",(--TRIM(LEFT(Z68,2)))*(--TRIM(LEFT(AA68,2)))*(--TRIM(LEFT(AB68,2))))</f>
        <v/>
      </c>
      <c r="AD68" s="20">
        <f>IF(OR(Z68="",AA68="",AB68=""),"",INDEX(APGrid,COUNTIF(APS,"&gt;"&amp;(--TRIM(LEFT(Z68,2))))*5+COUNTIF(APO,"&gt;"&amp;(--TRIM(LEFT(AA68,2))))+1,COUNTIF(APD,"&gt;"&amp;(--TRIM(LEFT(AB68,2))))+1))</f>
        <v/>
      </c>
      <c r="AE68" s="4" t="n"/>
      <c r="AF68" s="4" t="n"/>
      <c r="AH68">
        <f>IFERROR(INDEX(EqTag,_xlfn.AGGREGATE(15,6,(ROW(EqTag)-4)/((EqSys=$D$3)*(EqTag&lt;&gt;"")),ROWS($AH$14:AH68))),"")</f>
        <v/>
      </c>
    </row>
    <row r="69">
      <c r="A69" s="20">
        <f>IF(F69="","",LEFT($D$3,3)&amp;"-"&amp;TEXT(COUNTIF(F$14:F69,"?*"),"00"))</f>
        <v/>
      </c>
      <c r="B69" s="4" t="n"/>
      <c r="C69" s="5">
        <f>IF(B69="","",IFERROR(INDEX(EqTypeCol,MATCH(B69,EqTag,0)),"Tag not in register"))</f>
        <v/>
      </c>
      <c r="D69" s="4" t="n"/>
      <c r="E69" s="4" t="n"/>
      <c r="F69" s="4" t="n"/>
      <c r="G69" s="4" t="n"/>
      <c r="H69" s="4" t="n"/>
      <c r="I69" s="4" t="n"/>
      <c r="J69" s="5">
        <f>_xlfn.TEXTJOIN(CHAR(10),TRUE,IF(G69="","","• "&amp;G69),IF(H69="","","• "&amp;H69),IF(I69="","","• "&amp;I69))</f>
        <v/>
      </c>
      <c r="K69" s="4" t="n"/>
      <c r="L69" s="4" t="n"/>
      <c r="M69" s="4" t="n"/>
      <c r="N69" s="16" t="n"/>
      <c r="O69" s="4" t="n"/>
      <c r="P69" s="16" t="n"/>
      <c r="Q69" s="4" t="n"/>
      <c r="R69" s="16" t="n"/>
      <c r="S69" s="20">
        <f>IF(OR(N69="",P69="",R69=""),"",(--TRIM(LEFT(N69,2)))*(--TRIM(LEFT(P69,2)))*(--TRIM(LEFT(R69,2))))</f>
        <v/>
      </c>
      <c r="T69" s="20">
        <f>IF(OR(N69="",P69="",R69=""),"",INDEX(APGrid,COUNTIF(APS,"&gt;"&amp;(--TRIM(LEFT(N69,2))))*5+COUNTIF(APO,"&gt;"&amp;(--TRIM(LEFT(P69,2))))+1,COUNTIF(APD,"&gt;"&amp;(--TRIM(LEFT(R69,2))))+1))</f>
        <v/>
      </c>
      <c r="U69" s="20">
        <f>IF(S69="","",IF(OR((--TRIM(LEFT(N69,2)))&gt;=SThr,S69&gt;=RPNThr,T69="H"),"Yes","No"))</f>
        <v/>
      </c>
      <c r="V69" s="4" t="n"/>
      <c r="W69" s="4" t="n"/>
      <c r="X69" s="4" t="n"/>
      <c r="Y69" s="29" t="n"/>
      <c r="Z69" s="16" t="n"/>
      <c r="AA69" s="16" t="n"/>
      <c r="AB69" s="16" t="n"/>
      <c r="AC69" s="20">
        <f>IF(OR(Z69="",AA69="",AB69=""),"",(--TRIM(LEFT(Z69,2)))*(--TRIM(LEFT(AA69,2)))*(--TRIM(LEFT(AB69,2))))</f>
        <v/>
      </c>
      <c r="AD69" s="20">
        <f>IF(OR(Z69="",AA69="",AB69=""),"",INDEX(APGrid,COUNTIF(APS,"&gt;"&amp;(--TRIM(LEFT(Z69,2))))*5+COUNTIF(APO,"&gt;"&amp;(--TRIM(LEFT(AA69,2))))+1,COUNTIF(APD,"&gt;"&amp;(--TRIM(LEFT(AB69,2))))+1))</f>
        <v/>
      </c>
      <c r="AE69" s="4" t="n"/>
      <c r="AF69" s="4" t="n"/>
      <c r="AH69">
        <f>IFERROR(INDEX(EqTag,_xlfn.AGGREGATE(15,6,(ROW(EqTag)-4)/((EqSys=$D$3)*(EqTag&lt;&gt;"")),ROWS($AH$14:AH69))),"")</f>
        <v/>
      </c>
    </row>
    <row r="70">
      <c r="A70" s="20">
        <f>IF(F70="","",LEFT($D$3,3)&amp;"-"&amp;TEXT(COUNTIF(F$14:F70,"?*"),"00"))</f>
        <v/>
      </c>
      <c r="B70" s="4" t="n"/>
      <c r="C70" s="5">
        <f>IF(B70="","",IFERROR(INDEX(EqTypeCol,MATCH(B70,EqTag,0)),"Tag not in register"))</f>
        <v/>
      </c>
      <c r="D70" s="4" t="n"/>
      <c r="E70" s="4" t="n"/>
      <c r="F70" s="4" t="n"/>
      <c r="G70" s="4" t="n"/>
      <c r="H70" s="4" t="n"/>
      <c r="I70" s="4" t="n"/>
      <c r="J70" s="5">
        <f>_xlfn.TEXTJOIN(CHAR(10),TRUE,IF(G70="","","• "&amp;G70),IF(H70="","","• "&amp;H70),IF(I70="","","• "&amp;I70))</f>
        <v/>
      </c>
      <c r="K70" s="4" t="n"/>
      <c r="L70" s="4" t="n"/>
      <c r="M70" s="4" t="n"/>
      <c r="N70" s="16" t="n"/>
      <c r="O70" s="4" t="n"/>
      <c r="P70" s="16" t="n"/>
      <c r="Q70" s="4" t="n"/>
      <c r="R70" s="16" t="n"/>
      <c r="S70" s="20">
        <f>IF(OR(N70="",P70="",R70=""),"",(--TRIM(LEFT(N70,2)))*(--TRIM(LEFT(P70,2)))*(--TRIM(LEFT(R70,2))))</f>
        <v/>
      </c>
      <c r="T70" s="20">
        <f>IF(OR(N70="",P70="",R70=""),"",INDEX(APGrid,COUNTIF(APS,"&gt;"&amp;(--TRIM(LEFT(N70,2))))*5+COUNTIF(APO,"&gt;"&amp;(--TRIM(LEFT(P70,2))))+1,COUNTIF(APD,"&gt;"&amp;(--TRIM(LEFT(R70,2))))+1))</f>
        <v/>
      </c>
      <c r="U70" s="20">
        <f>IF(S70="","",IF(OR((--TRIM(LEFT(N70,2)))&gt;=SThr,S70&gt;=RPNThr,T70="H"),"Yes","No"))</f>
        <v/>
      </c>
      <c r="V70" s="4" t="n"/>
      <c r="W70" s="4" t="n"/>
      <c r="X70" s="4" t="n"/>
      <c r="Y70" s="29" t="n"/>
      <c r="Z70" s="16" t="n"/>
      <c r="AA70" s="16" t="n"/>
      <c r="AB70" s="16" t="n"/>
      <c r="AC70" s="20">
        <f>IF(OR(Z70="",AA70="",AB70=""),"",(--TRIM(LEFT(Z70,2)))*(--TRIM(LEFT(AA70,2)))*(--TRIM(LEFT(AB70,2))))</f>
        <v/>
      </c>
      <c r="AD70" s="20">
        <f>IF(OR(Z70="",AA70="",AB70=""),"",INDEX(APGrid,COUNTIF(APS,"&gt;"&amp;(--TRIM(LEFT(Z70,2))))*5+COUNTIF(APO,"&gt;"&amp;(--TRIM(LEFT(AA70,2))))+1,COUNTIF(APD,"&gt;"&amp;(--TRIM(LEFT(AB70,2))))+1))</f>
        <v/>
      </c>
      <c r="AE70" s="4" t="n"/>
      <c r="AF70" s="4" t="n"/>
      <c r="AH70">
        <f>IFERROR(INDEX(EqTag,_xlfn.AGGREGATE(15,6,(ROW(EqTag)-4)/((EqSys=$D$3)*(EqTag&lt;&gt;"")),ROWS($AH$14:AH70))),"")</f>
        <v/>
      </c>
    </row>
    <row r="71">
      <c r="A71" s="20">
        <f>IF(F71="","",LEFT($D$3,3)&amp;"-"&amp;TEXT(COUNTIF(F$14:F71,"?*"),"00"))</f>
        <v/>
      </c>
      <c r="B71" s="4" t="n"/>
      <c r="C71" s="5">
        <f>IF(B71="","",IFERROR(INDEX(EqTypeCol,MATCH(B71,EqTag,0)),"Tag not in register"))</f>
        <v/>
      </c>
      <c r="D71" s="4" t="n"/>
      <c r="E71" s="4" t="n"/>
      <c r="F71" s="4" t="n"/>
      <c r="G71" s="4" t="n"/>
      <c r="H71" s="4" t="n"/>
      <c r="I71" s="4" t="n"/>
      <c r="J71" s="5">
        <f>_xlfn.TEXTJOIN(CHAR(10),TRUE,IF(G71="","","• "&amp;G71),IF(H71="","","• "&amp;H71),IF(I71="","","• "&amp;I71))</f>
        <v/>
      </c>
      <c r="K71" s="4" t="n"/>
      <c r="L71" s="4" t="n"/>
      <c r="M71" s="4" t="n"/>
      <c r="N71" s="16" t="n"/>
      <c r="O71" s="4" t="n"/>
      <c r="P71" s="16" t="n"/>
      <c r="Q71" s="4" t="n"/>
      <c r="R71" s="16" t="n"/>
      <c r="S71" s="20">
        <f>IF(OR(N71="",P71="",R71=""),"",(--TRIM(LEFT(N71,2)))*(--TRIM(LEFT(P71,2)))*(--TRIM(LEFT(R71,2))))</f>
        <v/>
      </c>
      <c r="T71" s="20">
        <f>IF(OR(N71="",P71="",R71=""),"",INDEX(APGrid,COUNTIF(APS,"&gt;"&amp;(--TRIM(LEFT(N71,2))))*5+COUNTIF(APO,"&gt;"&amp;(--TRIM(LEFT(P71,2))))+1,COUNTIF(APD,"&gt;"&amp;(--TRIM(LEFT(R71,2))))+1))</f>
        <v/>
      </c>
      <c r="U71" s="20">
        <f>IF(S71="","",IF(OR((--TRIM(LEFT(N71,2)))&gt;=SThr,S71&gt;=RPNThr,T71="H"),"Yes","No"))</f>
        <v/>
      </c>
      <c r="V71" s="4" t="n"/>
      <c r="W71" s="4" t="n"/>
      <c r="X71" s="4" t="n"/>
      <c r="Y71" s="29" t="n"/>
      <c r="Z71" s="16" t="n"/>
      <c r="AA71" s="16" t="n"/>
      <c r="AB71" s="16" t="n"/>
      <c r="AC71" s="20">
        <f>IF(OR(Z71="",AA71="",AB71=""),"",(--TRIM(LEFT(Z71,2)))*(--TRIM(LEFT(AA71,2)))*(--TRIM(LEFT(AB71,2))))</f>
        <v/>
      </c>
      <c r="AD71" s="20">
        <f>IF(OR(Z71="",AA71="",AB71=""),"",INDEX(APGrid,COUNTIF(APS,"&gt;"&amp;(--TRIM(LEFT(Z71,2))))*5+COUNTIF(APO,"&gt;"&amp;(--TRIM(LEFT(AA71,2))))+1,COUNTIF(APD,"&gt;"&amp;(--TRIM(LEFT(AB71,2))))+1))</f>
        <v/>
      </c>
      <c r="AE71" s="4" t="n"/>
      <c r="AF71" s="4" t="n"/>
      <c r="AH71">
        <f>IFERROR(INDEX(EqTag,_xlfn.AGGREGATE(15,6,(ROW(EqTag)-4)/((EqSys=$D$3)*(EqTag&lt;&gt;"")),ROWS($AH$14:AH71))),"")</f>
        <v/>
      </c>
    </row>
    <row r="72">
      <c r="A72" s="20">
        <f>IF(F72="","",LEFT($D$3,3)&amp;"-"&amp;TEXT(COUNTIF(F$14:F72,"?*"),"00"))</f>
        <v/>
      </c>
      <c r="B72" s="4" t="n"/>
      <c r="C72" s="5">
        <f>IF(B72="","",IFERROR(INDEX(EqTypeCol,MATCH(B72,EqTag,0)),"Tag not in register"))</f>
        <v/>
      </c>
      <c r="D72" s="4" t="n"/>
      <c r="E72" s="4" t="n"/>
      <c r="F72" s="4" t="n"/>
      <c r="G72" s="4" t="n"/>
      <c r="H72" s="4" t="n"/>
      <c r="I72" s="4" t="n"/>
      <c r="J72" s="5">
        <f>_xlfn.TEXTJOIN(CHAR(10),TRUE,IF(G72="","","• "&amp;G72),IF(H72="","","• "&amp;H72),IF(I72="","","• "&amp;I72))</f>
        <v/>
      </c>
      <c r="K72" s="4" t="n"/>
      <c r="L72" s="4" t="n"/>
      <c r="M72" s="4" t="n"/>
      <c r="N72" s="16" t="n"/>
      <c r="O72" s="4" t="n"/>
      <c r="P72" s="16" t="n"/>
      <c r="Q72" s="4" t="n"/>
      <c r="R72" s="16" t="n"/>
      <c r="S72" s="20">
        <f>IF(OR(N72="",P72="",R72=""),"",(--TRIM(LEFT(N72,2)))*(--TRIM(LEFT(P72,2)))*(--TRIM(LEFT(R72,2))))</f>
        <v/>
      </c>
      <c r="T72" s="20">
        <f>IF(OR(N72="",P72="",R72=""),"",INDEX(APGrid,COUNTIF(APS,"&gt;"&amp;(--TRIM(LEFT(N72,2))))*5+COUNTIF(APO,"&gt;"&amp;(--TRIM(LEFT(P72,2))))+1,COUNTIF(APD,"&gt;"&amp;(--TRIM(LEFT(R72,2))))+1))</f>
        <v/>
      </c>
      <c r="U72" s="20">
        <f>IF(S72="","",IF(OR((--TRIM(LEFT(N72,2)))&gt;=SThr,S72&gt;=RPNThr,T72="H"),"Yes","No"))</f>
        <v/>
      </c>
      <c r="V72" s="4" t="n"/>
      <c r="W72" s="4" t="n"/>
      <c r="X72" s="4" t="n"/>
      <c r="Y72" s="29" t="n"/>
      <c r="Z72" s="16" t="n"/>
      <c r="AA72" s="16" t="n"/>
      <c r="AB72" s="16" t="n"/>
      <c r="AC72" s="20">
        <f>IF(OR(Z72="",AA72="",AB72=""),"",(--TRIM(LEFT(Z72,2)))*(--TRIM(LEFT(AA72,2)))*(--TRIM(LEFT(AB72,2))))</f>
        <v/>
      </c>
      <c r="AD72" s="20">
        <f>IF(OR(Z72="",AA72="",AB72=""),"",INDEX(APGrid,COUNTIF(APS,"&gt;"&amp;(--TRIM(LEFT(Z72,2))))*5+COUNTIF(APO,"&gt;"&amp;(--TRIM(LEFT(AA72,2))))+1,COUNTIF(APD,"&gt;"&amp;(--TRIM(LEFT(AB72,2))))+1))</f>
        <v/>
      </c>
      <c r="AE72" s="4" t="n"/>
      <c r="AF72" s="4" t="n"/>
      <c r="AH72">
        <f>IFERROR(INDEX(EqTag,_xlfn.AGGREGATE(15,6,(ROW(EqTag)-4)/((EqSys=$D$3)*(EqTag&lt;&gt;"")),ROWS($AH$14:AH72))),"")</f>
        <v/>
      </c>
    </row>
    <row r="73">
      <c r="A73" s="20">
        <f>IF(F73="","",LEFT($D$3,3)&amp;"-"&amp;TEXT(COUNTIF(F$14:F73,"?*"),"00"))</f>
        <v/>
      </c>
      <c r="B73" s="4" t="n"/>
      <c r="C73" s="5">
        <f>IF(B73="","",IFERROR(INDEX(EqTypeCol,MATCH(B73,EqTag,0)),"Tag not in register"))</f>
        <v/>
      </c>
      <c r="D73" s="4" t="n"/>
      <c r="E73" s="4" t="n"/>
      <c r="F73" s="4" t="n"/>
      <c r="G73" s="4" t="n"/>
      <c r="H73" s="4" t="n"/>
      <c r="I73" s="4" t="n"/>
      <c r="J73" s="5">
        <f>_xlfn.TEXTJOIN(CHAR(10),TRUE,IF(G73="","","• "&amp;G73),IF(H73="","","• "&amp;H73),IF(I73="","","• "&amp;I73))</f>
        <v/>
      </c>
      <c r="K73" s="4" t="n"/>
      <c r="L73" s="4" t="n"/>
      <c r="M73" s="4" t="n"/>
      <c r="N73" s="16" t="n"/>
      <c r="O73" s="4" t="n"/>
      <c r="P73" s="16" t="n"/>
      <c r="Q73" s="4" t="n"/>
      <c r="R73" s="16" t="n"/>
      <c r="S73" s="20">
        <f>IF(OR(N73="",P73="",R73=""),"",(--TRIM(LEFT(N73,2)))*(--TRIM(LEFT(P73,2)))*(--TRIM(LEFT(R73,2))))</f>
        <v/>
      </c>
      <c r="T73" s="20">
        <f>IF(OR(N73="",P73="",R73=""),"",INDEX(APGrid,COUNTIF(APS,"&gt;"&amp;(--TRIM(LEFT(N73,2))))*5+COUNTIF(APO,"&gt;"&amp;(--TRIM(LEFT(P73,2))))+1,COUNTIF(APD,"&gt;"&amp;(--TRIM(LEFT(R73,2))))+1))</f>
        <v/>
      </c>
      <c r="U73" s="20">
        <f>IF(S73="","",IF(OR((--TRIM(LEFT(N73,2)))&gt;=SThr,S73&gt;=RPNThr,T73="H"),"Yes","No"))</f>
        <v/>
      </c>
      <c r="V73" s="4" t="n"/>
      <c r="W73" s="4" t="n"/>
      <c r="X73" s="4" t="n"/>
      <c r="Y73" s="29" t="n"/>
      <c r="Z73" s="16" t="n"/>
      <c r="AA73" s="16" t="n"/>
      <c r="AB73" s="16" t="n"/>
      <c r="AC73" s="20">
        <f>IF(OR(Z73="",AA73="",AB73=""),"",(--TRIM(LEFT(Z73,2)))*(--TRIM(LEFT(AA73,2)))*(--TRIM(LEFT(AB73,2))))</f>
        <v/>
      </c>
      <c r="AD73" s="20">
        <f>IF(OR(Z73="",AA73="",AB73=""),"",INDEX(APGrid,COUNTIF(APS,"&gt;"&amp;(--TRIM(LEFT(Z73,2))))*5+COUNTIF(APO,"&gt;"&amp;(--TRIM(LEFT(AA73,2))))+1,COUNTIF(APD,"&gt;"&amp;(--TRIM(LEFT(AB73,2))))+1))</f>
        <v/>
      </c>
      <c r="AE73" s="4" t="n"/>
      <c r="AF73" s="4" t="n"/>
      <c r="AH73">
        <f>IFERROR(INDEX(EqTag,_xlfn.AGGREGATE(15,6,(ROW(EqTag)-4)/((EqSys=$D$3)*(EqTag&lt;&gt;"")),ROWS($AH$14:AH73))),"")</f>
        <v/>
      </c>
    </row>
    <row r="74">
      <c r="A74" s="20">
        <f>IF(F74="","",LEFT($D$3,3)&amp;"-"&amp;TEXT(COUNTIF(F$14:F74,"?*"),"00"))</f>
        <v/>
      </c>
      <c r="B74" s="4" t="n"/>
      <c r="C74" s="5">
        <f>IF(B74="","",IFERROR(INDEX(EqTypeCol,MATCH(B74,EqTag,0)),"Tag not in register"))</f>
        <v/>
      </c>
      <c r="D74" s="4" t="n"/>
      <c r="E74" s="4" t="n"/>
      <c r="F74" s="4" t="n"/>
      <c r="G74" s="4" t="n"/>
      <c r="H74" s="4" t="n"/>
      <c r="I74" s="4" t="n"/>
      <c r="J74" s="5">
        <f>_xlfn.TEXTJOIN(CHAR(10),TRUE,IF(G74="","","• "&amp;G74),IF(H74="","","• "&amp;H74),IF(I74="","","• "&amp;I74))</f>
        <v/>
      </c>
      <c r="K74" s="4" t="n"/>
      <c r="L74" s="4" t="n"/>
      <c r="M74" s="4" t="n"/>
      <c r="N74" s="16" t="n"/>
      <c r="O74" s="4" t="n"/>
      <c r="P74" s="16" t="n"/>
      <c r="Q74" s="4" t="n"/>
      <c r="R74" s="16" t="n"/>
      <c r="S74" s="20">
        <f>IF(OR(N74="",P74="",R74=""),"",(--TRIM(LEFT(N74,2)))*(--TRIM(LEFT(P74,2)))*(--TRIM(LEFT(R74,2))))</f>
        <v/>
      </c>
      <c r="T74" s="20">
        <f>IF(OR(N74="",P74="",R74=""),"",INDEX(APGrid,COUNTIF(APS,"&gt;"&amp;(--TRIM(LEFT(N74,2))))*5+COUNTIF(APO,"&gt;"&amp;(--TRIM(LEFT(P74,2))))+1,COUNTIF(APD,"&gt;"&amp;(--TRIM(LEFT(R74,2))))+1))</f>
        <v/>
      </c>
      <c r="U74" s="20">
        <f>IF(S74="","",IF(OR((--TRIM(LEFT(N74,2)))&gt;=SThr,S74&gt;=RPNThr,T74="H"),"Yes","No"))</f>
        <v/>
      </c>
      <c r="V74" s="4" t="n"/>
      <c r="W74" s="4" t="n"/>
      <c r="X74" s="4" t="n"/>
      <c r="Y74" s="29" t="n"/>
      <c r="Z74" s="16" t="n"/>
      <c r="AA74" s="16" t="n"/>
      <c r="AB74" s="16" t="n"/>
      <c r="AC74" s="20">
        <f>IF(OR(Z74="",AA74="",AB74=""),"",(--TRIM(LEFT(Z74,2)))*(--TRIM(LEFT(AA74,2)))*(--TRIM(LEFT(AB74,2))))</f>
        <v/>
      </c>
      <c r="AD74" s="20">
        <f>IF(OR(Z74="",AA74="",AB74=""),"",INDEX(APGrid,COUNTIF(APS,"&gt;"&amp;(--TRIM(LEFT(Z74,2))))*5+COUNTIF(APO,"&gt;"&amp;(--TRIM(LEFT(AA74,2))))+1,COUNTIF(APD,"&gt;"&amp;(--TRIM(LEFT(AB74,2))))+1))</f>
        <v/>
      </c>
      <c r="AE74" s="4" t="n"/>
      <c r="AF74" s="4" t="n"/>
      <c r="AH74">
        <f>IFERROR(INDEX(EqTag,_xlfn.AGGREGATE(15,6,(ROW(EqTag)-4)/((EqSys=$D$3)*(EqTag&lt;&gt;"")),ROWS($AH$14:AH74))),"")</f>
        <v/>
      </c>
    </row>
    <row r="75">
      <c r="A75" s="20">
        <f>IF(F75="","",LEFT($D$3,3)&amp;"-"&amp;TEXT(COUNTIF(F$14:F75,"?*"),"00"))</f>
        <v/>
      </c>
      <c r="B75" s="4" t="n"/>
      <c r="C75" s="5">
        <f>IF(B75="","",IFERROR(INDEX(EqTypeCol,MATCH(B75,EqTag,0)),"Tag not in register"))</f>
        <v/>
      </c>
      <c r="D75" s="4" t="n"/>
      <c r="E75" s="4" t="n"/>
      <c r="F75" s="4" t="n"/>
      <c r="G75" s="4" t="n"/>
      <c r="H75" s="4" t="n"/>
      <c r="I75" s="4" t="n"/>
      <c r="J75" s="5">
        <f>_xlfn.TEXTJOIN(CHAR(10),TRUE,IF(G75="","","• "&amp;G75),IF(H75="","","• "&amp;H75),IF(I75="","","• "&amp;I75))</f>
        <v/>
      </c>
      <c r="K75" s="4" t="n"/>
      <c r="L75" s="4" t="n"/>
      <c r="M75" s="4" t="n"/>
      <c r="N75" s="16" t="n"/>
      <c r="O75" s="4" t="n"/>
      <c r="P75" s="16" t="n"/>
      <c r="Q75" s="4" t="n"/>
      <c r="R75" s="16" t="n"/>
      <c r="S75" s="20">
        <f>IF(OR(N75="",P75="",R75=""),"",(--TRIM(LEFT(N75,2)))*(--TRIM(LEFT(P75,2)))*(--TRIM(LEFT(R75,2))))</f>
        <v/>
      </c>
      <c r="T75" s="20">
        <f>IF(OR(N75="",P75="",R75=""),"",INDEX(APGrid,COUNTIF(APS,"&gt;"&amp;(--TRIM(LEFT(N75,2))))*5+COUNTIF(APO,"&gt;"&amp;(--TRIM(LEFT(P75,2))))+1,COUNTIF(APD,"&gt;"&amp;(--TRIM(LEFT(R75,2))))+1))</f>
        <v/>
      </c>
      <c r="U75" s="20">
        <f>IF(S75="","",IF(OR((--TRIM(LEFT(N75,2)))&gt;=SThr,S75&gt;=RPNThr,T75="H"),"Yes","No"))</f>
        <v/>
      </c>
      <c r="V75" s="4" t="n"/>
      <c r="W75" s="4" t="n"/>
      <c r="X75" s="4" t="n"/>
      <c r="Y75" s="29" t="n"/>
      <c r="Z75" s="16" t="n"/>
      <c r="AA75" s="16" t="n"/>
      <c r="AB75" s="16" t="n"/>
      <c r="AC75" s="20">
        <f>IF(OR(Z75="",AA75="",AB75=""),"",(--TRIM(LEFT(Z75,2)))*(--TRIM(LEFT(AA75,2)))*(--TRIM(LEFT(AB75,2))))</f>
        <v/>
      </c>
      <c r="AD75" s="20">
        <f>IF(OR(Z75="",AA75="",AB75=""),"",INDEX(APGrid,COUNTIF(APS,"&gt;"&amp;(--TRIM(LEFT(Z75,2))))*5+COUNTIF(APO,"&gt;"&amp;(--TRIM(LEFT(AA75,2))))+1,COUNTIF(APD,"&gt;"&amp;(--TRIM(LEFT(AB75,2))))+1))</f>
        <v/>
      </c>
      <c r="AE75" s="4" t="n"/>
      <c r="AF75" s="4" t="n"/>
      <c r="AH75">
        <f>IFERROR(INDEX(EqTag,_xlfn.AGGREGATE(15,6,(ROW(EqTag)-4)/((EqSys=$D$3)*(EqTag&lt;&gt;"")),ROWS($AH$14:AH75))),"")</f>
        <v/>
      </c>
    </row>
    <row r="76">
      <c r="A76" s="20">
        <f>IF(F76="","",LEFT($D$3,3)&amp;"-"&amp;TEXT(COUNTIF(F$14:F76,"?*"),"00"))</f>
        <v/>
      </c>
      <c r="B76" s="4" t="n"/>
      <c r="C76" s="5">
        <f>IF(B76="","",IFERROR(INDEX(EqTypeCol,MATCH(B76,EqTag,0)),"Tag not in register"))</f>
        <v/>
      </c>
      <c r="D76" s="4" t="n"/>
      <c r="E76" s="4" t="n"/>
      <c r="F76" s="4" t="n"/>
      <c r="G76" s="4" t="n"/>
      <c r="H76" s="4" t="n"/>
      <c r="I76" s="4" t="n"/>
      <c r="J76" s="5">
        <f>_xlfn.TEXTJOIN(CHAR(10),TRUE,IF(G76="","","• "&amp;G76),IF(H76="","","• "&amp;H76),IF(I76="","","• "&amp;I76))</f>
        <v/>
      </c>
      <c r="K76" s="4" t="n"/>
      <c r="L76" s="4" t="n"/>
      <c r="M76" s="4" t="n"/>
      <c r="N76" s="16" t="n"/>
      <c r="O76" s="4" t="n"/>
      <c r="P76" s="16" t="n"/>
      <c r="Q76" s="4" t="n"/>
      <c r="R76" s="16" t="n"/>
      <c r="S76" s="20">
        <f>IF(OR(N76="",P76="",R76=""),"",(--TRIM(LEFT(N76,2)))*(--TRIM(LEFT(P76,2)))*(--TRIM(LEFT(R76,2))))</f>
        <v/>
      </c>
      <c r="T76" s="20">
        <f>IF(OR(N76="",P76="",R76=""),"",INDEX(APGrid,COUNTIF(APS,"&gt;"&amp;(--TRIM(LEFT(N76,2))))*5+COUNTIF(APO,"&gt;"&amp;(--TRIM(LEFT(P76,2))))+1,COUNTIF(APD,"&gt;"&amp;(--TRIM(LEFT(R76,2))))+1))</f>
        <v/>
      </c>
      <c r="U76" s="20">
        <f>IF(S76="","",IF(OR((--TRIM(LEFT(N76,2)))&gt;=SThr,S76&gt;=RPNThr,T76="H"),"Yes","No"))</f>
        <v/>
      </c>
      <c r="V76" s="4" t="n"/>
      <c r="W76" s="4" t="n"/>
      <c r="X76" s="4" t="n"/>
      <c r="Y76" s="29" t="n"/>
      <c r="Z76" s="16" t="n"/>
      <c r="AA76" s="16" t="n"/>
      <c r="AB76" s="16" t="n"/>
      <c r="AC76" s="20">
        <f>IF(OR(Z76="",AA76="",AB76=""),"",(--TRIM(LEFT(Z76,2)))*(--TRIM(LEFT(AA76,2)))*(--TRIM(LEFT(AB76,2))))</f>
        <v/>
      </c>
      <c r="AD76" s="20">
        <f>IF(OR(Z76="",AA76="",AB76=""),"",INDEX(APGrid,COUNTIF(APS,"&gt;"&amp;(--TRIM(LEFT(Z76,2))))*5+COUNTIF(APO,"&gt;"&amp;(--TRIM(LEFT(AA76,2))))+1,COUNTIF(APD,"&gt;"&amp;(--TRIM(LEFT(AB76,2))))+1))</f>
        <v/>
      </c>
      <c r="AE76" s="4" t="n"/>
      <c r="AF76" s="4" t="n"/>
      <c r="AH76">
        <f>IFERROR(INDEX(EqTag,_xlfn.AGGREGATE(15,6,(ROW(EqTag)-4)/((EqSys=$D$3)*(EqTag&lt;&gt;"")),ROWS($AH$14:AH76))),"")</f>
        <v/>
      </c>
    </row>
    <row r="77">
      <c r="A77" s="20">
        <f>IF(F77="","",LEFT($D$3,3)&amp;"-"&amp;TEXT(COUNTIF(F$14:F77,"?*"),"00"))</f>
        <v/>
      </c>
      <c r="B77" s="4" t="n"/>
      <c r="C77" s="5">
        <f>IF(B77="","",IFERROR(INDEX(EqTypeCol,MATCH(B77,EqTag,0)),"Tag not in register"))</f>
        <v/>
      </c>
      <c r="D77" s="4" t="n"/>
      <c r="E77" s="4" t="n"/>
      <c r="F77" s="4" t="n"/>
      <c r="G77" s="4" t="n"/>
      <c r="H77" s="4" t="n"/>
      <c r="I77" s="4" t="n"/>
      <c r="J77" s="5">
        <f>_xlfn.TEXTJOIN(CHAR(10),TRUE,IF(G77="","","• "&amp;G77),IF(H77="","","• "&amp;H77),IF(I77="","","• "&amp;I77))</f>
        <v/>
      </c>
      <c r="K77" s="4" t="n"/>
      <c r="L77" s="4" t="n"/>
      <c r="M77" s="4" t="n"/>
      <c r="N77" s="16" t="n"/>
      <c r="O77" s="4" t="n"/>
      <c r="P77" s="16" t="n"/>
      <c r="Q77" s="4" t="n"/>
      <c r="R77" s="16" t="n"/>
      <c r="S77" s="20">
        <f>IF(OR(N77="",P77="",R77=""),"",(--TRIM(LEFT(N77,2)))*(--TRIM(LEFT(P77,2)))*(--TRIM(LEFT(R77,2))))</f>
        <v/>
      </c>
      <c r="T77" s="20">
        <f>IF(OR(N77="",P77="",R77=""),"",INDEX(APGrid,COUNTIF(APS,"&gt;"&amp;(--TRIM(LEFT(N77,2))))*5+COUNTIF(APO,"&gt;"&amp;(--TRIM(LEFT(P77,2))))+1,COUNTIF(APD,"&gt;"&amp;(--TRIM(LEFT(R77,2))))+1))</f>
        <v/>
      </c>
      <c r="U77" s="20">
        <f>IF(S77="","",IF(OR((--TRIM(LEFT(N77,2)))&gt;=SThr,S77&gt;=RPNThr,T77="H"),"Yes","No"))</f>
        <v/>
      </c>
      <c r="V77" s="4" t="n"/>
      <c r="W77" s="4" t="n"/>
      <c r="X77" s="4" t="n"/>
      <c r="Y77" s="29" t="n"/>
      <c r="Z77" s="16" t="n"/>
      <c r="AA77" s="16" t="n"/>
      <c r="AB77" s="16" t="n"/>
      <c r="AC77" s="20">
        <f>IF(OR(Z77="",AA77="",AB77=""),"",(--TRIM(LEFT(Z77,2)))*(--TRIM(LEFT(AA77,2)))*(--TRIM(LEFT(AB77,2))))</f>
        <v/>
      </c>
      <c r="AD77" s="20">
        <f>IF(OR(Z77="",AA77="",AB77=""),"",INDEX(APGrid,COUNTIF(APS,"&gt;"&amp;(--TRIM(LEFT(Z77,2))))*5+COUNTIF(APO,"&gt;"&amp;(--TRIM(LEFT(AA77,2))))+1,COUNTIF(APD,"&gt;"&amp;(--TRIM(LEFT(AB77,2))))+1))</f>
        <v/>
      </c>
      <c r="AE77" s="4" t="n"/>
      <c r="AF77" s="4" t="n"/>
      <c r="AH77">
        <f>IFERROR(INDEX(EqTag,_xlfn.AGGREGATE(15,6,(ROW(EqTag)-4)/((EqSys=$D$3)*(EqTag&lt;&gt;"")),ROWS($AH$14:AH77))),"")</f>
        <v/>
      </c>
    </row>
    <row r="78">
      <c r="A78" s="20">
        <f>IF(F78="","",LEFT($D$3,3)&amp;"-"&amp;TEXT(COUNTIF(F$14:F78,"?*"),"00"))</f>
        <v/>
      </c>
      <c r="B78" s="4" t="n"/>
      <c r="C78" s="5">
        <f>IF(B78="","",IFERROR(INDEX(EqTypeCol,MATCH(B78,EqTag,0)),"Tag not in register"))</f>
        <v/>
      </c>
      <c r="D78" s="4" t="n"/>
      <c r="E78" s="4" t="n"/>
      <c r="F78" s="4" t="n"/>
      <c r="G78" s="4" t="n"/>
      <c r="H78" s="4" t="n"/>
      <c r="I78" s="4" t="n"/>
      <c r="J78" s="5">
        <f>_xlfn.TEXTJOIN(CHAR(10),TRUE,IF(G78="","","• "&amp;G78),IF(H78="","","• "&amp;H78),IF(I78="","","• "&amp;I78))</f>
        <v/>
      </c>
      <c r="K78" s="4" t="n"/>
      <c r="L78" s="4" t="n"/>
      <c r="M78" s="4" t="n"/>
      <c r="N78" s="16" t="n"/>
      <c r="O78" s="4" t="n"/>
      <c r="P78" s="16" t="n"/>
      <c r="Q78" s="4" t="n"/>
      <c r="R78" s="16" t="n"/>
      <c r="S78" s="20">
        <f>IF(OR(N78="",P78="",R78=""),"",(--TRIM(LEFT(N78,2)))*(--TRIM(LEFT(P78,2)))*(--TRIM(LEFT(R78,2))))</f>
        <v/>
      </c>
      <c r="T78" s="20">
        <f>IF(OR(N78="",P78="",R78=""),"",INDEX(APGrid,COUNTIF(APS,"&gt;"&amp;(--TRIM(LEFT(N78,2))))*5+COUNTIF(APO,"&gt;"&amp;(--TRIM(LEFT(P78,2))))+1,COUNTIF(APD,"&gt;"&amp;(--TRIM(LEFT(R78,2))))+1))</f>
        <v/>
      </c>
      <c r="U78" s="20">
        <f>IF(S78="","",IF(OR((--TRIM(LEFT(N78,2)))&gt;=SThr,S78&gt;=RPNThr,T78="H"),"Yes","No"))</f>
        <v/>
      </c>
      <c r="V78" s="4" t="n"/>
      <c r="W78" s="4" t="n"/>
      <c r="X78" s="4" t="n"/>
      <c r="Y78" s="29" t="n"/>
      <c r="Z78" s="16" t="n"/>
      <c r="AA78" s="16" t="n"/>
      <c r="AB78" s="16" t="n"/>
      <c r="AC78" s="20">
        <f>IF(OR(Z78="",AA78="",AB78=""),"",(--TRIM(LEFT(Z78,2)))*(--TRIM(LEFT(AA78,2)))*(--TRIM(LEFT(AB78,2))))</f>
        <v/>
      </c>
      <c r="AD78" s="20">
        <f>IF(OR(Z78="",AA78="",AB78=""),"",INDEX(APGrid,COUNTIF(APS,"&gt;"&amp;(--TRIM(LEFT(Z78,2))))*5+COUNTIF(APO,"&gt;"&amp;(--TRIM(LEFT(AA78,2))))+1,COUNTIF(APD,"&gt;"&amp;(--TRIM(LEFT(AB78,2))))+1))</f>
        <v/>
      </c>
      <c r="AE78" s="4" t="n"/>
      <c r="AF78" s="4" t="n"/>
      <c r="AH78">
        <f>IFERROR(INDEX(EqTag,_xlfn.AGGREGATE(15,6,(ROW(EqTag)-4)/((EqSys=$D$3)*(EqTag&lt;&gt;"")),ROWS($AH$14:AH78))),"")</f>
        <v/>
      </c>
    </row>
    <row r="79">
      <c r="A79" s="20">
        <f>IF(F79="","",LEFT($D$3,3)&amp;"-"&amp;TEXT(COUNTIF(F$14:F79,"?*"),"00"))</f>
        <v/>
      </c>
      <c r="B79" s="4" t="n"/>
      <c r="C79" s="5">
        <f>IF(B79="","",IFERROR(INDEX(EqTypeCol,MATCH(B79,EqTag,0)),"Tag not in register"))</f>
        <v/>
      </c>
      <c r="D79" s="4" t="n"/>
      <c r="E79" s="4" t="n"/>
      <c r="F79" s="4" t="n"/>
      <c r="G79" s="4" t="n"/>
      <c r="H79" s="4" t="n"/>
      <c r="I79" s="4" t="n"/>
      <c r="J79" s="5">
        <f>_xlfn.TEXTJOIN(CHAR(10),TRUE,IF(G79="","","• "&amp;G79),IF(H79="","","• "&amp;H79),IF(I79="","","• "&amp;I79))</f>
        <v/>
      </c>
      <c r="K79" s="4" t="n"/>
      <c r="L79" s="4" t="n"/>
      <c r="M79" s="4" t="n"/>
      <c r="N79" s="16" t="n"/>
      <c r="O79" s="4" t="n"/>
      <c r="P79" s="16" t="n"/>
      <c r="Q79" s="4" t="n"/>
      <c r="R79" s="16" t="n"/>
      <c r="S79" s="20">
        <f>IF(OR(N79="",P79="",R79=""),"",(--TRIM(LEFT(N79,2)))*(--TRIM(LEFT(P79,2)))*(--TRIM(LEFT(R79,2))))</f>
        <v/>
      </c>
      <c r="T79" s="20">
        <f>IF(OR(N79="",P79="",R79=""),"",INDEX(APGrid,COUNTIF(APS,"&gt;"&amp;(--TRIM(LEFT(N79,2))))*5+COUNTIF(APO,"&gt;"&amp;(--TRIM(LEFT(P79,2))))+1,COUNTIF(APD,"&gt;"&amp;(--TRIM(LEFT(R79,2))))+1))</f>
        <v/>
      </c>
      <c r="U79" s="20">
        <f>IF(S79="","",IF(OR((--TRIM(LEFT(N79,2)))&gt;=SThr,S79&gt;=RPNThr,T79="H"),"Yes","No"))</f>
        <v/>
      </c>
      <c r="V79" s="4" t="n"/>
      <c r="W79" s="4" t="n"/>
      <c r="X79" s="4" t="n"/>
      <c r="Y79" s="29" t="n"/>
      <c r="Z79" s="16" t="n"/>
      <c r="AA79" s="16" t="n"/>
      <c r="AB79" s="16" t="n"/>
      <c r="AC79" s="20">
        <f>IF(OR(Z79="",AA79="",AB79=""),"",(--TRIM(LEFT(Z79,2)))*(--TRIM(LEFT(AA79,2)))*(--TRIM(LEFT(AB79,2))))</f>
        <v/>
      </c>
      <c r="AD79" s="20">
        <f>IF(OR(Z79="",AA79="",AB79=""),"",INDEX(APGrid,COUNTIF(APS,"&gt;"&amp;(--TRIM(LEFT(Z79,2))))*5+COUNTIF(APO,"&gt;"&amp;(--TRIM(LEFT(AA79,2))))+1,COUNTIF(APD,"&gt;"&amp;(--TRIM(LEFT(AB79,2))))+1))</f>
        <v/>
      </c>
      <c r="AE79" s="4" t="n"/>
      <c r="AF79" s="4" t="n"/>
      <c r="AH79">
        <f>IFERROR(INDEX(EqTag,_xlfn.AGGREGATE(15,6,(ROW(EqTag)-4)/((EqSys=$D$3)*(EqTag&lt;&gt;"")),ROWS($AH$14:AH79))),"")</f>
        <v/>
      </c>
    </row>
    <row r="80">
      <c r="A80" s="20">
        <f>IF(F80="","",LEFT($D$3,3)&amp;"-"&amp;TEXT(COUNTIF(F$14:F80,"?*"),"00"))</f>
        <v/>
      </c>
      <c r="B80" s="4" t="n"/>
      <c r="C80" s="5">
        <f>IF(B80="","",IFERROR(INDEX(EqTypeCol,MATCH(B80,EqTag,0)),"Tag not in register"))</f>
        <v/>
      </c>
      <c r="D80" s="4" t="n"/>
      <c r="E80" s="4" t="n"/>
      <c r="F80" s="4" t="n"/>
      <c r="G80" s="4" t="n"/>
      <c r="H80" s="4" t="n"/>
      <c r="I80" s="4" t="n"/>
      <c r="J80" s="5">
        <f>_xlfn.TEXTJOIN(CHAR(10),TRUE,IF(G80="","","• "&amp;G80),IF(H80="","","• "&amp;H80),IF(I80="","","• "&amp;I80))</f>
        <v/>
      </c>
      <c r="K80" s="4" t="n"/>
      <c r="L80" s="4" t="n"/>
      <c r="M80" s="4" t="n"/>
      <c r="N80" s="16" t="n"/>
      <c r="O80" s="4" t="n"/>
      <c r="P80" s="16" t="n"/>
      <c r="Q80" s="4" t="n"/>
      <c r="R80" s="16" t="n"/>
      <c r="S80" s="20">
        <f>IF(OR(N80="",P80="",R80=""),"",(--TRIM(LEFT(N80,2)))*(--TRIM(LEFT(P80,2)))*(--TRIM(LEFT(R80,2))))</f>
        <v/>
      </c>
      <c r="T80" s="20">
        <f>IF(OR(N80="",P80="",R80=""),"",INDEX(APGrid,COUNTIF(APS,"&gt;"&amp;(--TRIM(LEFT(N80,2))))*5+COUNTIF(APO,"&gt;"&amp;(--TRIM(LEFT(P80,2))))+1,COUNTIF(APD,"&gt;"&amp;(--TRIM(LEFT(R80,2))))+1))</f>
        <v/>
      </c>
      <c r="U80" s="20">
        <f>IF(S80="","",IF(OR((--TRIM(LEFT(N80,2)))&gt;=SThr,S80&gt;=RPNThr,T80="H"),"Yes","No"))</f>
        <v/>
      </c>
      <c r="V80" s="4" t="n"/>
      <c r="W80" s="4" t="n"/>
      <c r="X80" s="4" t="n"/>
      <c r="Y80" s="29" t="n"/>
      <c r="Z80" s="16" t="n"/>
      <c r="AA80" s="16" t="n"/>
      <c r="AB80" s="16" t="n"/>
      <c r="AC80" s="20">
        <f>IF(OR(Z80="",AA80="",AB80=""),"",(--TRIM(LEFT(Z80,2)))*(--TRIM(LEFT(AA80,2)))*(--TRIM(LEFT(AB80,2))))</f>
        <v/>
      </c>
      <c r="AD80" s="20">
        <f>IF(OR(Z80="",AA80="",AB80=""),"",INDEX(APGrid,COUNTIF(APS,"&gt;"&amp;(--TRIM(LEFT(Z80,2))))*5+COUNTIF(APO,"&gt;"&amp;(--TRIM(LEFT(AA80,2))))+1,COUNTIF(APD,"&gt;"&amp;(--TRIM(LEFT(AB80,2))))+1))</f>
        <v/>
      </c>
      <c r="AE80" s="4" t="n"/>
      <c r="AF80" s="4" t="n"/>
      <c r="AH80">
        <f>IFERROR(INDEX(EqTag,_xlfn.AGGREGATE(15,6,(ROW(EqTag)-4)/((EqSys=$D$3)*(EqTag&lt;&gt;"")),ROWS($AH$14:AH80))),"")</f>
        <v/>
      </c>
    </row>
    <row r="81">
      <c r="A81" s="20">
        <f>IF(F81="","",LEFT($D$3,3)&amp;"-"&amp;TEXT(COUNTIF(F$14:F81,"?*"),"00"))</f>
        <v/>
      </c>
      <c r="B81" s="4" t="n"/>
      <c r="C81" s="5">
        <f>IF(B81="","",IFERROR(INDEX(EqTypeCol,MATCH(B81,EqTag,0)),"Tag not in register"))</f>
        <v/>
      </c>
      <c r="D81" s="4" t="n"/>
      <c r="E81" s="4" t="n"/>
      <c r="F81" s="4" t="n"/>
      <c r="G81" s="4" t="n"/>
      <c r="H81" s="4" t="n"/>
      <c r="I81" s="4" t="n"/>
      <c r="J81" s="5">
        <f>_xlfn.TEXTJOIN(CHAR(10),TRUE,IF(G81="","","• "&amp;G81),IF(H81="","","• "&amp;H81),IF(I81="","","• "&amp;I81))</f>
        <v/>
      </c>
      <c r="K81" s="4" t="n"/>
      <c r="L81" s="4" t="n"/>
      <c r="M81" s="4" t="n"/>
      <c r="N81" s="16" t="n"/>
      <c r="O81" s="4" t="n"/>
      <c r="P81" s="16" t="n"/>
      <c r="Q81" s="4" t="n"/>
      <c r="R81" s="16" t="n"/>
      <c r="S81" s="20">
        <f>IF(OR(N81="",P81="",R81=""),"",(--TRIM(LEFT(N81,2)))*(--TRIM(LEFT(P81,2)))*(--TRIM(LEFT(R81,2))))</f>
        <v/>
      </c>
      <c r="T81" s="20">
        <f>IF(OR(N81="",P81="",R81=""),"",INDEX(APGrid,COUNTIF(APS,"&gt;"&amp;(--TRIM(LEFT(N81,2))))*5+COUNTIF(APO,"&gt;"&amp;(--TRIM(LEFT(P81,2))))+1,COUNTIF(APD,"&gt;"&amp;(--TRIM(LEFT(R81,2))))+1))</f>
        <v/>
      </c>
      <c r="U81" s="20">
        <f>IF(S81="","",IF(OR((--TRIM(LEFT(N81,2)))&gt;=SThr,S81&gt;=RPNThr,T81="H"),"Yes","No"))</f>
        <v/>
      </c>
      <c r="V81" s="4" t="n"/>
      <c r="W81" s="4" t="n"/>
      <c r="X81" s="4" t="n"/>
      <c r="Y81" s="29" t="n"/>
      <c r="Z81" s="16" t="n"/>
      <c r="AA81" s="16" t="n"/>
      <c r="AB81" s="16" t="n"/>
      <c r="AC81" s="20">
        <f>IF(OR(Z81="",AA81="",AB81=""),"",(--TRIM(LEFT(Z81,2)))*(--TRIM(LEFT(AA81,2)))*(--TRIM(LEFT(AB81,2))))</f>
        <v/>
      </c>
      <c r="AD81" s="20">
        <f>IF(OR(Z81="",AA81="",AB81=""),"",INDEX(APGrid,COUNTIF(APS,"&gt;"&amp;(--TRIM(LEFT(Z81,2))))*5+COUNTIF(APO,"&gt;"&amp;(--TRIM(LEFT(AA81,2))))+1,COUNTIF(APD,"&gt;"&amp;(--TRIM(LEFT(AB81,2))))+1))</f>
        <v/>
      </c>
      <c r="AE81" s="4" t="n"/>
      <c r="AF81" s="4" t="n"/>
      <c r="AH81">
        <f>IFERROR(INDEX(EqTag,_xlfn.AGGREGATE(15,6,(ROW(EqTag)-4)/((EqSys=$D$3)*(EqTag&lt;&gt;"")),ROWS($AH$14:AH81))),"")</f>
        <v/>
      </c>
    </row>
    <row r="82">
      <c r="A82" s="20">
        <f>IF(F82="","",LEFT($D$3,3)&amp;"-"&amp;TEXT(COUNTIF(F$14:F82,"?*"),"00"))</f>
        <v/>
      </c>
      <c r="B82" s="4" t="n"/>
      <c r="C82" s="5">
        <f>IF(B82="","",IFERROR(INDEX(EqTypeCol,MATCH(B82,EqTag,0)),"Tag not in register"))</f>
        <v/>
      </c>
      <c r="D82" s="4" t="n"/>
      <c r="E82" s="4" t="n"/>
      <c r="F82" s="4" t="n"/>
      <c r="G82" s="4" t="n"/>
      <c r="H82" s="4" t="n"/>
      <c r="I82" s="4" t="n"/>
      <c r="J82" s="5">
        <f>_xlfn.TEXTJOIN(CHAR(10),TRUE,IF(G82="","","• "&amp;G82),IF(H82="","","• "&amp;H82),IF(I82="","","• "&amp;I82))</f>
        <v/>
      </c>
      <c r="K82" s="4" t="n"/>
      <c r="L82" s="4" t="n"/>
      <c r="M82" s="4" t="n"/>
      <c r="N82" s="16" t="n"/>
      <c r="O82" s="4" t="n"/>
      <c r="P82" s="16" t="n"/>
      <c r="Q82" s="4" t="n"/>
      <c r="R82" s="16" t="n"/>
      <c r="S82" s="20">
        <f>IF(OR(N82="",P82="",R82=""),"",(--TRIM(LEFT(N82,2)))*(--TRIM(LEFT(P82,2)))*(--TRIM(LEFT(R82,2))))</f>
        <v/>
      </c>
      <c r="T82" s="20">
        <f>IF(OR(N82="",P82="",R82=""),"",INDEX(APGrid,COUNTIF(APS,"&gt;"&amp;(--TRIM(LEFT(N82,2))))*5+COUNTIF(APO,"&gt;"&amp;(--TRIM(LEFT(P82,2))))+1,COUNTIF(APD,"&gt;"&amp;(--TRIM(LEFT(R82,2))))+1))</f>
        <v/>
      </c>
      <c r="U82" s="20">
        <f>IF(S82="","",IF(OR((--TRIM(LEFT(N82,2)))&gt;=SThr,S82&gt;=RPNThr,T82="H"),"Yes","No"))</f>
        <v/>
      </c>
      <c r="V82" s="4" t="n"/>
      <c r="W82" s="4" t="n"/>
      <c r="X82" s="4" t="n"/>
      <c r="Y82" s="29" t="n"/>
      <c r="Z82" s="16" t="n"/>
      <c r="AA82" s="16" t="n"/>
      <c r="AB82" s="16" t="n"/>
      <c r="AC82" s="20">
        <f>IF(OR(Z82="",AA82="",AB82=""),"",(--TRIM(LEFT(Z82,2)))*(--TRIM(LEFT(AA82,2)))*(--TRIM(LEFT(AB82,2))))</f>
        <v/>
      </c>
      <c r="AD82" s="20">
        <f>IF(OR(Z82="",AA82="",AB82=""),"",INDEX(APGrid,COUNTIF(APS,"&gt;"&amp;(--TRIM(LEFT(Z82,2))))*5+COUNTIF(APO,"&gt;"&amp;(--TRIM(LEFT(AA82,2))))+1,COUNTIF(APD,"&gt;"&amp;(--TRIM(LEFT(AB82,2))))+1))</f>
        <v/>
      </c>
      <c r="AE82" s="4" t="n"/>
      <c r="AF82" s="4" t="n"/>
      <c r="AH82">
        <f>IFERROR(INDEX(EqTag,_xlfn.AGGREGATE(15,6,(ROW(EqTag)-4)/((EqSys=$D$3)*(EqTag&lt;&gt;"")),ROWS($AH$14:AH82))),"")</f>
        <v/>
      </c>
    </row>
    <row r="83">
      <c r="A83" s="20">
        <f>IF(F83="","",LEFT($D$3,3)&amp;"-"&amp;TEXT(COUNTIF(F$14:F83,"?*"),"00"))</f>
        <v/>
      </c>
      <c r="B83" s="4" t="n"/>
      <c r="C83" s="5">
        <f>IF(B83="","",IFERROR(INDEX(EqTypeCol,MATCH(B83,EqTag,0)),"Tag not in register"))</f>
        <v/>
      </c>
      <c r="D83" s="4" t="n"/>
      <c r="E83" s="4" t="n"/>
      <c r="F83" s="4" t="n"/>
      <c r="G83" s="4" t="n"/>
      <c r="H83" s="4" t="n"/>
      <c r="I83" s="4" t="n"/>
      <c r="J83" s="5">
        <f>_xlfn.TEXTJOIN(CHAR(10),TRUE,IF(G83="","","• "&amp;G83),IF(H83="","","• "&amp;H83),IF(I83="","","• "&amp;I83))</f>
        <v/>
      </c>
      <c r="K83" s="4" t="n"/>
      <c r="L83" s="4" t="n"/>
      <c r="M83" s="4" t="n"/>
      <c r="N83" s="16" t="n"/>
      <c r="O83" s="4" t="n"/>
      <c r="P83" s="16" t="n"/>
      <c r="Q83" s="4" t="n"/>
      <c r="R83" s="16" t="n"/>
      <c r="S83" s="20">
        <f>IF(OR(N83="",P83="",R83=""),"",(--TRIM(LEFT(N83,2)))*(--TRIM(LEFT(P83,2)))*(--TRIM(LEFT(R83,2))))</f>
        <v/>
      </c>
      <c r="T83" s="20">
        <f>IF(OR(N83="",P83="",R83=""),"",INDEX(APGrid,COUNTIF(APS,"&gt;"&amp;(--TRIM(LEFT(N83,2))))*5+COUNTIF(APO,"&gt;"&amp;(--TRIM(LEFT(P83,2))))+1,COUNTIF(APD,"&gt;"&amp;(--TRIM(LEFT(R83,2))))+1))</f>
        <v/>
      </c>
      <c r="U83" s="20">
        <f>IF(S83="","",IF(OR((--TRIM(LEFT(N83,2)))&gt;=SThr,S83&gt;=RPNThr,T83="H"),"Yes","No"))</f>
        <v/>
      </c>
      <c r="V83" s="4" t="n"/>
      <c r="W83" s="4" t="n"/>
      <c r="X83" s="4" t="n"/>
      <c r="Y83" s="29" t="n"/>
      <c r="Z83" s="16" t="n"/>
      <c r="AA83" s="16" t="n"/>
      <c r="AB83" s="16" t="n"/>
      <c r="AC83" s="20">
        <f>IF(OR(Z83="",AA83="",AB83=""),"",(--TRIM(LEFT(Z83,2)))*(--TRIM(LEFT(AA83,2)))*(--TRIM(LEFT(AB83,2))))</f>
        <v/>
      </c>
      <c r="AD83" s="20">
        <f>IF(OR(Z83="",AA83="",AB83=""),"",INDEX(APGrid,COUNTIF(APS,"&gt;"&amp;(--TRIM(LEFT(Z83,2))))*5+COUNTIF(APO,"&gt;"&amp;(--TRIM(LEFT(AA83,2))))+1,COUNTIF(APD,"&gt;"&amp;(--TRIM(LEFT(AB83,2))))+1))</f>
        <v/>
      </c>
      <c r="AE83" s="4" t="n"/>
      <c r="AF83" s="4" t="n"/>
      <c r="AH83">
        <f>IFERROR(INDEX(EqTag,_xlfn.AGGREGATE(15,6,(ROW(EqTag)-4)/((EqSys=$D$3)*(EqTag&lt;&gt;"")),ROWS($AH$14:AH83))),"")</f>
        <v/>
      </c>
    </row>
    <row r="84">
      <c r="A84" s="20">
        <f>IF(F84="","",LEFT($D$3,3)&amp;"-"&amp;TEXT(COUNTIF(F$14:F84,"?*"),"00"))</f>
        <v/>
      </c>
      <c r="B84" s="4" t="n"/>
      <c r="C84" s="5">
        <f>IF(B84="","",IFERROR(INDEX(EqTypeCol,MATCH(B84,EqTag,0)),"Tag not in register"))</f>
        <v/>
      </c>
      <c r="D84" s="4" t="n"/>
      <c r="E84" s="4" t="n"/>
      <c r="F84" s="4" t="n"/>
      <c r="G84" s="4" t="n"/>
      <c r="H84" s="4" t="n"/>
      <c r="I84" s="4" t="n"/>
      <c r="J84" s="5">
        <f>_xlfn.TEXTJOIN(CHAR(10),TRUE,IF(G84="","","• "&amp;G84),IF(H84="","","• "&amp;H84),IF(I84="","","• "&amp;I84))</f>
        <v/>
      </c>
      <c r="K84" s="4" t="n"/>
      <c r="L84" s="4" t="n"/>
      <c r="M84" s="4" t="n"/>
      <c r="N84" s="16" t="n"/>
      <c r="O84" s="4" t="n"/>
      <c r="P84" s="16" t="n"/>
      <c r="Q84" s="4" t="n"/>
      <c r="R84" s="16" t="n"/>
      <c r="S84" s="20">
        <f>IF(OR(N84="",P84="",R84=""),"",(--TRIM(LEFT(N84,2)))*(--TRIM(LEFT(P84,2)))*(--TRIM(LEFT(R84,2))))</f>
        <v/>
      </c>
      <c r="T84" s="20">
        <f>IF(OR(N84="",P84="",R84=""),"",INDEX(APGrid,COUNTIF(APS,"&gt;"&amp;(--TRIM(LEFT(N84,2))))*5+COUNTIF(APO,"&gt;"&amp;(--TRIM(LEFT(P84,2))))+1,COUNTIF(APD,"&gt;"&amp;(--TRIM(LEFT(R84,2))))+1))</f>
        <v/>
      </c>
      <c r="U84" s="20">
        <f>IF(S84="","",IF(OR((--TRIM(LEFT(N84,2)))&gt;=SThr,S84&gt;=RPNThr,T84="H"),"Yes","No"))</f>
        <v/>
      </c>
      <c r="V84" s="4" t="n"/>
      <c r="W84" s="4" t="n"/>
      <c r="X84" s="4" t="n"/>
      <c r="Y84" s="29" t="n"/>
      <c r="Z84" s="16" t="n"/>
      <c r="AA84" s="16" t="n"/>
      <c r="AB84" s="16" t="n"/>
      <c r="AC84" s="20">
        <f>IF(OR(Z84="",AA84="",AB84=""),"",(--TRIM(LEFT(Z84,2)))*(--TRIM(LEFT(AA84,2)))*(--TRIM(LEFT(AB84,2))))</f>
        <v/>
      </c>
      <c r="AD84" s="20">
        <f>IF(OR(Z84="",AA84="",AB84=""),"",INDEX(APGrid,COUNTIF(APS,"&gt;"&amp;(--TRIM(LEFT(Z84,2))))*5+COUNTIF(APO,"&gt;"&amp;(--TRIM(LEFT(AA84,2))))+1,COUNTIF(APD,"&gt;"&amp;(--TRIM(LEFT(AB84,2))))+1))</f>
        <v/>
      </c>
      <c r="AE84" s="4" t="n"/>
      <c r="AF84" s="4" t="n"/>
      <c r="AH84">
        <f>IFERROR(INDEX(EqTag,_xlfn.AGGREGATE(15,6,(ROW(EqTag)-4)/((EqSys=$D$3)*(EqTag&lt;&gt;"")),ROWS($AH$14:AH84))),"")</f>
        <v/>
      </c>
    </row>
    <row r="85">
      <c r="A85" s="20">
        <f>IF(F85="","",LEFT($D$3,3)&amp;"-"&amp;TEXT(COUNTIF(F$14:F85,"?*"),"00"))</f>
        <v/>
      </c>
      <c r="B85" s="4" t="n"/>
      <c r="C85" s="5">
        <f>IF(B85="","",IFERROR(INDEX(EqTypeCol,MATCH(B85,EqTag,0)),"Tag not in register"))</f>
        <v/>
      </c>
      <c r="D85" s="4" t="n"/>
      <c r="E85" s="4" t="n"/>
      <c r="F85" s="4" t="n"/>
      <c r="G85" s="4" t="n"/>
      <c r="H85" s="4" t="n"/>
      <c r="I85" s="4" t="n"/>
      <c r="J85" s="5">
        <f>_xlfn.TEXTJOIN(CHAR(10),TRUE,IF(G85="","","• "&amp;G85),IF(H85="","","• "&amp;H85),IF(I85="","","• "&amp;I85))</f>
        <v/>
      </c>
      <c r="K85" s="4" t="n"/>
      <c r="L85" s="4" t="n"/>
      <c r="M85" s="4" t="n"/>
      <c r="N85" s="16" t="n"/>
      <c r="O85" s="4" t="n"/>
      <c r="P85" s="16" t="n"/>
      <c r="Q85" s="4" t="n"/>
      <c r="R85" s="16" t="n"/>
      <c r="S85" s="20">
        <f>IF(OR(N85="",P85="",R85=""),"",(--TRIM(LEFT(N85,2)))*(--TRIM(LEFT(P85,2)))*(--TRIM(LEFT(R85,2))))</f>
        <v/>
      </c>
      <c r="T85" s="20">
        <f>IF(OR(N85="",P85="",R85=""),"",INDEX(APGrid,COUNTIF(APS,"&gt;"&amp;(--TRIM(LEFT(N85,2))))*5+COUNTIF(APO,"&gt;"&amp;(--TRIM(LEFT(P85,2))))+1,COUNTIF(APD,"&gt;"&amp;(--TRIM(LEFT(R85,2))))+1))</f>
        <v/>
      </c>
      <c r="U85" s="20">
        <f>IF(S85="","",IF(OR((--TRIM(LEFT(N85,2)))&gt;=SThr,S85&gt;=RPNThr,T85="H"),"Yes","No"))</f>
        <v/>
      </c>
      <c r="V85" s="4" t="n"/>
      <c r="W85" s="4" t="n"/>
      <c r="X85" s="4" t="n"/>
      <c r="Y85" s="29" t="n"/>
      <c r="Z85" s="16" t="n"/>
      <c r="AA85" s="16" t="n"/>
      <c r="AB85" s="16" t="n"/>
      <c r="AC85" s="20">
        <f>IF(OR(Z85="",AA85="",AB85=""),"",(--TRIM(LEFT(Z85,2)))*(--TRIM(LEFT(AA85,2)))*(--TRIM(LEFT(AB85,2))))</f>
        <v/>
      </c>
      <c r="AD85" s="20">
        <f>IF(OR(Z85="",AA85="",AB85=""),"",INDEX(APGrid,COUNTIF(APS,"&gt;"&amp;(--TRIM(LEFT(Z85,2))))*5+COUNTIF(APO,"&gt;"&amp;(--TRIM(LEFT(AA85,2))))+1,COUNTIF(APD,"&gt;"&amp;(--TRIM(LEFT(AB85,2))))+1))</f>
        <v/>
      </c>
      <c r="AE85" s="4" t="n"/>
      <c r="AF85" s="4" t="n"/>
      <c r="AH85">
        <f>IFERROR(INDEX(EqTag,_xlfn.AGGREGATE(15,6,(ROW(EqTag)-4)/((EqSys=$D$3)*(EqTag&lt;&gt;"")),ROWS($AH$14:AH85))),"")</f>
        <v/>
      </c>
    </row>
    <row r="86">
      <c r="A86" s="20">
        <f>IF(F86="","",LEFT($D$3,3)&amp;"-"&amp;TEXT(COUNTIF(F$14:F86,"?*"),"00"))</f>
        <v/>
      </c>
      <c r="B86" s="4" t="n"/>
      <c r="C86" s="5">
        <f>IF(B86="","",IFERROR(INDEX(EqTypeCol,MATCH(B86,EqTag,0)),"Tag not in register"))</f>
        <v/>
      </c>
      <c r="D86" s="4" t="n"/>
      <c r="E86" s="4" t="n"/>
      <c r="F86" s="4" t="n"/>
      <c r="G86" s="4" t="n"/>
      <c r="H86" s="4" t="n"/>
      <c r="I86" s="4" t="n"/>
      <c r="J86" s="5">
        <f>_xlfn.TEXTJOIN(CHAR(10),TRUE,IF(G86="","","• "&amp;G86),IF(H86="","","• "&amp;H86),IF(I86="","","• "&amp;I86))</f>
        <v/>
      </c>
      <c r="K86" s="4" t="n"/>
      <c r="L86" s="4" t="n"/>
      <c r="M86" s="4" t="n"/>
      <c r="N86" s="16" t="n"/>
      <c r="O86" s="4" t="n"/>
      <c r="P86" s="16" t="n"/>
      <c r="Q86" s="4" t="n"/>
      <c r="R86" s="16" t="n"/>
      <c r="S86" s="20">
        <f>IF(OR(N86="",P86="",R86=""),"",(--TRIM(LEFT(N86,2)))*(--TRIM(LEFT(P86,2)))*(--TRIM(LEFT(R86,2))))</f>
        <v/>
      </c>
      <c r="T86" s="20">
        <f>IF(OR(N86="",P86="",R86=""),"",INDEX(APGrid,COUNTIF(APS,"&gt;"&amp;(--TRIM(LEFT(N86,2))))*5+COUNTIF(APO,"&gt;"&amp;(--TRIM(LEFT(P86,2))))+1,COUNTIF(APD,"&gt;"&amp;(--TRIM(LEFT(R86,2))))+1))</f>
        <v/>
      </c>
      <c r="U86" s="20">
        <f>IF(S86="","",IF(OR((--TRIM(LEFT(N86,2)))&gt;=SThr,S86&gt;=RPNThr,T86="H"),"Yes","No"))</f>
        <v/>
      </c>
      <c r="V86" s="4" t="n"/>
      <c r="W86" s="4" t="n"/>
      <c r="X86" s="4" t="n"/>
      <c r="Y86" s="29" t="n"/>
      <c r="Z86" s="16" t="n"/>
      <c r="AA86" s="16" t="n"/>
      <c r="AB86" s="16" t="n"/>
      <c r="AC86" s="20">
        <f>IF(OR(Z86="",AA86="",AB86=""),"",(--TRIM(LEFT(Z86,2)))*(--TRIM(LEFT(AA86,2)))*(--TRIM(LEFT(AB86,2))))</f>
        <v/>
      </c>
      <c r="AD86" s="20">
        <f>IF(OR(Z86="",AA86="",AB86=""),"",INDEX(APGrid,COUNTIF(APS,"&gt;"&amp;(--TRIM(LEFT(Z86,2))))*5+COUNTIF(APO,"&gt;"&amp;(--TRIM(LEFT(AA86,2))))+1,COUNTIF(APD,"&gt;"&amp;(--TRIM(LEFT(AB86,2))))+1))</f>
        <v/>
      </c>
      <c r="AE86" s="4" t="n"/>
      <c r="AF86" s="4" t="n"/>
      <c r="AH86">
        <f>IFERROR(INDEX(EqTag,_xlfn.AGGREGATE(15,6,(ROW(EqTag)-4)/((EqSys=$D$3)*(EqTag&lt;&gt;"")),ROWS($AH$14:AH86))),"")</f>
        <v/>
      </c>
    </row>
    <row r="87">
      <c r="A87" s="20">
        <f>IF(F87="","",LEFT($D$3,3)&amp;"-"&amp;TEXT(COUNTIF(F$14:F87,"?*"),"00"))</f>
        <v/>
      </c>
      <c r="B87" s="4" t="n"/>
      <c r="C87" s="5">
        <f>IF(B87="","",IFERROR(INDEX(EqTypeCol,MATCH(B87,EqTag,0)),"Tag not in register"))</f>
        <v/>
      </c>
      <c r="D87" s="4" t="n"/>
      <c r="E87" s="4" t="n"/>
      <c r="F87" s="4" t="n"/>
      <c r="G87" s="4" t="n"/>
      <c r="H87" s="4" t="n"/>
      <c r="I87" s="4" t="n"/>
      <c r="J87" s="5">
        <f>_xlfn.TEXTJOIN(CHAR(10),TRUE,IF(G87="","","• "&amp;G87),IF(H87="","","• "&amp;H87),IF(I87="","","• "&amp;I87))</f>
        <v/>
      </c>
      <c r="K87" s="4" t="n"/>
      <c r="L87" s="4" t="n"/>
      <c r="M87" s="4" t="n"/>
      <c r="N87" s="16" t="n"/>
      <c r="O87" s="4" t="n"/>
      <c r="P87" s="16" t="n"/>
      <c r="Q87" s="4" t="n"/>
      <c r="R87" s="16" t="n"/>
      <c r="S87" s="20">
        <f>IF(OR(N87="",P87="",R87=""),"",(--TRIM(LEFT(N87,2)))*(--TRIM(LEFT(P87,2)))*(--TRIM(LEFT(R87,2))))</f>
        <v/>
      </c>
      <c r="T87" s="20">
        <f>IF(OR(N87="",P87="",R87=""),"",INDEX(APGrid,COUNTIF(APS,"&gt;"&amp;(--TRIM(LEFT(N87,2))))*5+COUNTIF(APO,"&gt;"&amp;(--TRIM(LEFT(P87,2))))+1,COUNTIF(APD,"&gt;"&amp;(--TRIM(LEFT(R87,2))))+1))</f>
        <v/>
      </c>
      <c r="U87" s="20">
        <f>IF(S87="","",IF(OR((--TRIM(LEFT(N87,2)))&gt;=SThr,S87&gt;=RPNThr,T87="H"),"Yes","No"))</f>
        <v/>
      </c>
      <c r="V87" s="4" t="n"/>
      <c r="W87" s="4" t="n"/>
      <c r="X87" s="4" t="n"/>
      <c r="Y87" s="29" t="n"/>
      <c r="Z87" s="16" t="n"/>
      <c r="AA87" s="16" t="n"/>
      <c r="AB87" s="16" t="n"/>
      <c r="AC87" s="20">
        <f>IF(OR(Z87="",AA87="",AB87=""),"",(--TRIM(LEFT(Z87,2)))*(--TRIM(LEFT(AA87,2)))*(--TRIM(LEFT(AB87,2))))</f>
        <v/>
      </c>
      <c r="AD87" s="20">
        <f>IF(OR(Z87="",AA87="",AB87=""),"",INDEX(APGrid,COUNTIF(APS,"&gt;"&amp;(--TRIM(LEFT(Z87,2))))*5+COUNTIF(APO,"&gt;"&amp;(--TRIM(LEFT(AA87,2))))+1,COUNTIF(APD,"&gt;"&amp;(--TRIM(LEFT(AB87,2))))+1))</f>
        <v/>
      </c>
      <c r="AE87" s="4" t="n"/>
      <c r="AF87" s="4" t="n"/>
      <c r="AH87">
        <f>IFERROR(INDEX(EqTag,_xlfn.AGGREGATE(15,6,(ROW(EqTag)-4)/((EqSys=$D$3)*(EqTag&lt;&gt;"")),ROWS($AH$14:AH87))),"")</f>
        <v/>
      </c>
    </row>
    <row r="88">
      <c r="A88" s="20">
        <f>IF(F88="","",LEFT($D$3,3)&amp;"-"&amp;TEXT(COUNTIF(F$14:F88,"?*"),"00"))</f>
        <v/>
      </c>
      <c r="B88" s="4" t="n"/>
      <c r="C88" s="5">
        <f>IF(B88="","",IFERROR(INDEX(EqTypeCol,MATCH(B88,EqTag,0)),"Tag not in register"))</f>
        <v/>
      </c>
      <c r="D88" s="4" t="n"/>
      <c r="E88" s="4" t="n"/>
      <c r="F88" s="4" t="n"/>
      <c r="G88" s="4" t="n"/>
      <c r="H88" s="4" t="n"/>
      <c r="I88" s="4" t="n"/>
      <c r="J88" s="5">
        <f>_xlfn.TEXTJOIN(CHAR(10),TRUE,IF(G88="","","• "&amp;G88),IF(H88="","","• "&amp;H88),IF(I88="","","• "&amp;I88))</f>
        <v/>
      </c>
      <c r="K88" s="4" t="n"/>
      <c r="L88" s="4" t="n"/>
      <c r="M88" s="4" t="n"/>
      <c r="N88" s="16" t="n"/>
      <c r="O88" s="4" t="n"/>
      <c r="P88" s="16" t="n"/>
      <c r="Q88" s="4" t="n"/>
      <c r="R88" s="16" t="n"/>
      <c r="S88" s="20">
        <f>IF(OR(N88="",P88="",R88=""),"",(--TRIM(LEFT(N88,2)))*(--TRIM(LEFT(P88,2)))*(--TRIM(LEFT(R88,2))))</f>
        <v/>
      </c>
      <c r="T88" s="20">
        <f>IF(OR(N88="",P88="",R88=""),"",INDEX(APGrid,COUNTIF(APS,"&gt;"&amp;(--TRIM(LEFT(N88,2))))*5+COUNTIF(APO,"&gt;"&amp;(--TRIM(LEFT(P88,2))))+1,COUNTIF(APD,"&gt;"&amp;(--TRIM(LEFT(R88,2))))+1))</f>
        <v/>
      </c>
      <c r="U88" s="20">
        <f>IF(S88="","",IF(OR((--TRIM(LEFT(N88,2)))&gt;=SThr,S88&gt;=RPNThr,T88="H"),"Yes","No"))</f>
        <v/>
      </c>
      <c r="V88" s="4" t="n"/>
      <c r="W88" s="4" t="n"/>
      <c r="X88" s="4" t="n"/>
      <c r="Y88" s="29" t="n"/>
      <c r="Z88" s="16" t="n"/>
      <c r="AA88" s="16" t="n"/>
      <c r="AB88" s="16" t="n"/>
      <c r="AC88" s="20">
        <f>IF(OR(Z88="",AA88="",AB88=""),"",(--TRIM(LEFT(Z88,2)))*(--TRIM(LEFT(AA88,2)))*(--TRIM(LEFT(AB88,2))))</f>
        <v/>
      </c>
      <c r="AD88" s="20">
        <f>IF(OR(Z88="",AA88="",AB88=""),"",INDEX(APGrid,COUNTIF(APS,"&gt;"&amp;(--TRIM(LEFT(Z88,2))))*5+COUNTIF(APO,"&gt;"&amp;(--TRIM(LEFT(AA88,2))))+1,COUNTIF(APD,"&gt;"&amp;(--TRIM(LEFT(AB88,2))))+1))</f>
        <v/>
      </c>
      <c r="AE88" s="4" t="n"/>
      <c r="AF88" s="4" t="n"/>
      <c r="AH88">
        <f>IFERROR(INDEX(EqTag,_xlfn.AGGREGATE(15,6,(ROW(EqTag)-4)/((EqSys=$D$3)*(EqTag&lt;&gt;"")),ROWS($AH$14:AH88))),"")</f>
        <v/>
      </c>
    </row>
    <row r="89">
      <c r="A89" s="20">
        <f>IF(F89="","",LEFT($D$3,3)&amp;"-"&amp;TEXT(COUNTIF(F$14:F89,"?*"),"00"))</f>
        <v/>
      </c>
      <c r="B89" s="4" t="n"/>
      <c r="C89" s="5">
        <f>IF(B89="","",IFERROR(INDEX(EqTypeCol,MATCH(B89,EqTag,0)),"Tag not in register"))</f>
        <v/>
      </c>
      <c r="D89" s="4" t="n"/>
      <c r="E89" s="4" t="n"/>
      <c r="F89" s="4" t="n"/>
      <c r="G89" s="4" t="n"/>
      <c r="H89" s="4" t="n"/>
      <c r="I89" s="4" t="n"/>
      <c r="J89" s="5">
        <f>_xlfn.TEXTJOIN(CHAR(10),TRUE,IF(G89="","","• "&amp;G89),IF(H89="","","• "&amp;H89),IF(I89="","","• "&amp;I89))</f>
        <v/>
      </c>
      <c r="K89" s="4" t="n"/>
      <c r="L89" s="4" t="n"/>
      <c r="M89" s="4" t="n"/>
      <c r="N89" s="16" t="n"/>
      <c r="O89" s="4" t="n"/>
      <c r="P89" s="16" t="n"/>
      <c r="Q89" s="4" t="n"/>
      <c r="R89" s="16" t="n"/>
      <c r="S89" s="20">
        <f>IF(OR(N89="",P89="",R89=""),"",(--TRIM(LEFT(N89,2)))*(--TRIM(LEFT(P89,2)))*(--TRIM(LEFT(R89,2))))</f>
        <v/>
      </c>
      <c r="T89" s="20">
        <f>IF(OR(N89="",P89="",R89=""),"",INDEX(APGrid,COUNTIF(APS,"&gt;"&amp;(--TRIM(LEFT(N89,2))))*5+COUNTIF(APO,"&gt;"&amp;(--TRIM(LEFT(P89,2))))+1,COUNTIF(APD,"&gt;"&amp;(--TRIM(LEFT(R89,2))))+1))</f>
        <v/>
      </c>
      <c r="U89" s="20">
        <f>IF(S89="","",IF(OR((--TRIM(LEFT(N89,2)))&gt;=SThr,S89&gt;=RPNThr,T89="H"),"Yes","No"))</f>
        <v/>
      </c>
      <c r="V89" s="4" t="n"/>
      <c r="W89" s="4" t="n"/>
      <c r="X89" s="4" t="n"/>
      <c r="Y89" s="29" t="n"/>
      <c r="Z89" s="16" t="n"/>
      <c r="AA89" s="16" t="n"/>
      <c r="AB89" s="16" t="n"/>
      <c r="AC89" s="20">
        <f>IF(OR(Z89="",AA89="",AB89=""),"",(--TRIM(LEFT(Z89,2)))*(--TRIM(LEFT(AA89,2)))*(--TRIM(LEFT(AB89,2))))</f>
        <v/>
      </c>
      <c r="AD89" s="20">
        <f>IF(OR(Z89="",AA89="",AB89=""),"",INDEX(APGrid,COUNTIF(APS,"&gt;"&amp;(--TRIM(LEFT(Z89,2))))*5+COUNTIF(APO,"&gt;"&amp;(--TRIM(LEFT(AA89,2))))+1,COUNTIF(APD,"&gt;"&amp;(--TRIM(LEFT(AB89,2))))+1))</f>
        <v/>
      </c>
      <c r="AE89" s="4" t="n"/>
      <c r="AF89" s="4" t="n"/>
      <c r="AH89">
        <f>IFERROR(INDEX(EqTag,_xlfn.AGGREGATE(15,6,(ROW(EqTag)-4)/((EqSys=$D$3)*(EqTag&lt;&gt;"")),ROWS($AH$14:AH89))),"")</f>
        <v/>
      </c>
    </row>
    <row r="90">
      <c r="A90" s="20">
        <f>IF(F90="","",LEFT($D$3,3)&amp;"-"&amp;TEXT(COUNTIF(F$14:F90,"?*"),"00"))</f>
        <v/>
      </c>
      <c r="B90" s="4" t="n"/>
      <c r="C90" s="5">
        <f>IF(B90="","",IFERROR(INDEX(EqTypeCol,MATCH(B90,EqTag,0)),"Tag not in register"))</f>
        <v/>
      </c>
      <c r="D90" s="4" t="n"/>
      <c r="E90" s="4" t="n"/>
      <c r="F90" s="4" t="n"/>
      <c r="G90" s="4" t="n"/>
      <c r="H90" s="4" t="n"/>
      <c r="I90" s="4" t="n"/>
      <c r="J90" s="5">
        <f>_xlfn.TEXTJOIN(CHAR(10),TRUE,IF(G90="","","• "&amp;G90),IF(H90="","","• "&amp;H90),IF(I90="","","• "&amp;I90))</f>
        <v/>
      </c>
      <c r="K90" s="4" t="n"/>
      <c r="L90" s="4" t="n"/>
      <c r="M90" s="4" t="n"/>
      <c r="N90" s="16" t="n"/>
      <c r="O90" s="4" t="n"/>
      <c r="P90" s="16" t="n"/>
      <c r="Q90" s="4" t="n"/>
      <c r="R90" s="16" t="n"/>
      <c r="S90" s="20">
        <f>IF(OR(N90="",P90="",R90=""),"",(--TRIM(LEFT(N90,2)))*(--TRIM(LEFT(P90,2)))*(--TRIM(LEFT(R90,2))))</f>
        <v/>
      </c>
      <c r="T90" s="20">
        <f>IF(OR(N90="",P90="",R90=""),"",INDEX(APGrid,COUNTIF(APS,"&gt;"&amp;(--TRIM(LEFT(N90,2))))*5+COUNTIF(APO,"&gt;"&amp;(--TRIM(LEFT(P90,2))))+1,COUNTIF(APD,"&gt;"&amp;(--TRIM(LEFT(R90,2))))+1))</f>
        <v/>
      </c>
      <c r="U90" s="20">
        <f>IF(S90="","",IF(OR((--TRIM(LEFT(N90,2)))&gt;=SThr,S90&gt;=RPNThr,T90="H"),"Yes","No"))</f>
        <v/>
      </c>
      <c r="V90" s="4" t="n"/>
      <c r="W90" s="4" t="n"/>
      <c r="X90" s="4" t="n"/>
      <c r="Y90" s="29" t="n"/>
      <c r="Z90" s="16" t="n"/>
      <c r="AA90" s="16" t="n"/>
      <c r="AB90" s="16" t="n"/>
      <c r="AC90" s="20">
        <f>IF(OR(Z90="",AA90="",AB90=""),"",(--TRIM(LEFT(Z90,2)))*(--TRIM(LEFT(AA90,2)))*(--TRIM(LEFT(AB90,2))))</f>
        <v/>
      </c>
      <c r="AD90" s="20">
        <f>IF(OR(Z90="",AA90="",AB90=""),"",INDEX(APGrid,COUNTIF(APS,"&gt;"&amp;(--TRIM(LEFT(Z90,2))))*5+COUNTIF(APO,"&gt;"&amp;(--TRIM(LEFT(AA90,2))))+1,COUNTIF(APD,"&gt;"&amp;(--TRIM(LEFT(AB90,2))))+1))</f>
        <v/>
      </c>
      <c r="AE90" s="4" t="n"/>
      <c r="AF90" s="4" t="n"/>
      <c r="AH90">
        <f>IFERROR(INDEX(EqTag,_xlfn.AGGREGATE(15,6,(ROW(EqTag)-4)/((EqSys=$D$3)*(EqTag&lt;&gt;"")),ROWS($AH$14:AH90))),"")</f>
        <v/>
      </c>
    </row>
    <row r="91">
      <c r="A91" s="20">
        <f>IF(F91="","",LEFT($D$3,3)&amp;"-"&amp;TEXT(COUNTIF(F$14:F91,"?*"),"00"))</f>
        <v/>
      </c>
      <c r="B91" s="4" t="n"/>
      <c r="C91" s="5">
        <f>IF(B91="","",IFERROR(INDEX(EqTypeCol,MATCH(B91,EqTag,0)),"Tag not in register"))</f>
        <v/>
      </c>
      <c r="D91" s="4" t="n"/>
      <c r="E91" s="4" t="n"/>
      <c r="F91" s="4" t="n"/>
      <c r="G91" s="4" t="n"/>
      <c r="H91" s="4" t="n"/>
      <c r="I91" s="4" t="n"/>
      <c r="J91" s="5">
        <f>_xlfn.TEXTJOIN(CHAR(10),TRUE,IF(G91="","","• "&amp;G91),IF(H91="","","• "&amp;H91),IF(I91="","","• "&amp;I91))</f>
        <v/>
      </c>
      <c r="K91" s="4" t="n"/>
      <c r="L91" s="4" t="n"/>
      <c r="M91" s="4" t="n"/>
      <c r="N91" s="16" t="n"/>
      <c r="O91" s="4" t="n"/>
      <c r="P91" s="16" t="n"/>
      <c r="Q91" s="4" t="n"/>
      <c r="R91" s="16" t="n"/>
      <c r="S91" s="20">
        <f>IF(OR(N91="",P91="",R91=""),"",(--TRIM(LEFT(N91,2)))*(--TRIM(LEFT(P91,2)))*(--TRIM(LEFT(R91,2))))</f>
        <v/>
      </c>
      <c r="T91" s="20">
        <f>IF(OR(N91="",P91="",R91=""),"",INDEX(APGrid,COUNTIF(APS,"&gt;"&amp;(--TRIM(LEFT(N91,2))))*5+COUNTIF(APO,"&gt;"&amp;(--TRIM(LEFT(P91,2))))+1,COUNTIF(APD,"&gt;"&amp;(--TRIM(LEFT(R91,2))))+1))</f>
        <v/>
      </c>
      <c r="U91" s="20">
        <f>IF(S91="","",IF(OR((--TRIM(LEFT(N91,2)))&gt;=SThr,S91&gt;=RPNThr,T91="H"),"Yes","No"))</f>
        <v/>
      </c>
      <c r="V91" s="4" t="n"/>
      <c r="W91" s="4" t="n"/>
      <c r="X91" s="4" t="n"/>
      <c r="Y91" s="29" t="n"/>
      <c r="Z91" s="16" t="n"/>
      <c r="AA91" s="16" t="n"/>
      <c r="AB91" s="16" t="n"/>
      <c r="AC91" s="20">
        <f>IF(OR(Z91="",AA91="",AB91=""),"",(--TRIM(LEFT(Z91,2)))*(--TRIM(LEFT(AA91,2)))*(--TRIM(LEFT(AB91,2))))</f>
        <v/>
      </c>
      <c r="AD91" s="20">
        <f>IF(OR(Z91="",AA91="",AB91=""),"",INDEX(APGrid,COUNTIF(APS,"&gt;"&amp;(--TRIM(LEFT(Z91,2))))*5+COUNTIF(APO,"&gt;"&amp;(--TRIM(LEFT(AA91,2))))+1,COUNTIF(APD,"&gt;"&amp;(--TRIM(LEFT(AB91,2))))+1))</f>
        <v/>
      </c>
      <c r="AE91" s="4" t="n"/>
      <c r="AF91" s="4" t="n"/>
      <c r="AH91">
        <f>IFERROR(INDEX(EqTag,_xlfn.AGGREGATE(15,6,(ROW(EqTag)-4)/((EqSys=$D$3)*(EqTag&lt;&gt;"")),ROWS($AH$14:AH91))),"")</f>
        <v/>
      </c>
    </row>
    <row r="92">
      <c r="A92" s="20">
        <f>IF(F92="","",LEFT($D$3,3)&amp;"-"&amp;TEXT(COUNTIF(F$14:F92,"?*"),"00"))</f>
        <v/>
      </c>
      <c r="B92" s="4" t="n"/>
      <c r="C92" s="5">
        <f>IF(B92="","",IFERROR(INDEX(EqTypeCol,MATCH(B92,EqTag,0)),"Tag not in register"))</f>
        <v/>
      </c>
      <c r="D92" s="4" t="n"/>
      <c r="E92" s="4" t="n"/>
      <c r="F92" s="4" t="n"/>
      <c r="G92" s="4" t="n"/>
      <c r="H92" s="4" t="n"/>
      <c r="I92" s="4" t="n"/>
      <c r="J92" s="5">
        <f>_xlfn.TEXTJOIN(CHAR(10),TRUE,IF(G92="","","• "&amp;G92),IF(H92="","","• "&amp;H92),IF(I92="","","• "&amp;I92))</f>
        <v/>
      </c>
      <c r="K92" s="4" t="n"/>
      <c r="L92" s="4" t="n"/>
      <c r="M92" s="4" t="n"/>
      <c r="N92" s="16" t="n"/>
      <c r="O92" s="4" t="n"/>
      <c r="P92" s="16" t="n"/>
      <c r="Q92" s="4" t="n"/>
      <c r="R92" s="16" t="n"/>
      <c r="S92" s="20">
        <f>IF(OR(N92="",P92="",R92=""),"",(--TRIM(LEFT(N92,2)))*(--TRIM(LEFT(P92,2)))*(--TRIM(LEFT(R92,2))))</f>
        <v/>
      </c>
      <c r="T92" s="20">
        <f>IF(OR(N92="",P92="",R92=""),"",INDEX(APGrid,COUNTIF(APS,"&gt;"&amp;(--TRIM(LEFT(N92,2))))*5+COUNTIF(APO,"&gt;"&amp;(--TRIM(LEFT(P92,2))))+1,COUNTIF(APD,"&gt;"&amp;(--TRIM(LEFT(R92,2))))+1))</f>
        <v/>
      </c>
      <c r="U92" s="20">
        <f>IF(S92="","",IF(OR((--TRIM(LEFT(N92,2)))&gt;=SThr,S92&gt;=RPNThr,T92="H"),"Yes","No"))</f>
        <v/>
      </c>
      <c r="V92" s="4" t="n"/>
      <c r="W92" s="4" t="n"/>
      <c r="X92" s="4" t="n"/>
      <c r="Y92" s="29" t="n"/>
      <c r="Z92" s="16" t="n"/>
      <c r="AA92" s="16" t="n"/>
      <c r="AB92" s="16" t="n"/>
      <c r="AC92" s="20">
        <f>IF(OR(Z92="",AA92="",AB92=""),"",(--TRIM(LEFT(Z92,2)))*(--TRIM(LEFT(AA92,2)))*(--TRIM(LEFT(AB92,2))))</f>
        <v/>
      </c>
      <c r="AD92" s="20">
        <f>IF(OR(Z92="",AA92="",AB92=""),"",INDEX(APGrid,COUNTIF(APS,"&gt;"&amp;(--TRIM(LEFT(Z92,2))))*5+COUNTIF(APO,"&gt;"&amp;(--TRIM(LEFT(AA92,2))))+1,COUNTIF(APD,"&gt;"&amp;(--TRIM(LEFT(AB92,2))))+1))</f>
        <v/>
      </c>
      <c r="AE92" s="4" t="n"/>
      <c r="AF92" s="4" t="n"/>
      <c r="AH92">
        <f>IFERROR(INDEX(EqTag,_xlfn.AGGREGATE(15,6,(ROW(EqTag)-4)/((EqSys=$D$3)*(EqTag&lt;&gt;"")),ROWS($AH$14:AH92))),"")</f>
        <v/>
      </c>
    </row>
    <row r="93">
      <c r="A93" s="20">
        <f>IF(F93="","",LEFT($D$3,3)&amp;"-"&amp;TEXT(COUNTIF(F$14:F93,"?*"),"00"))</f>
        <v/>
      </c>
      <c r="B93" s="4" t="n"/>
      <c r="C93" s="5">
        <f>IF(B93="","",IFERROR(INDEX(EqTypeCol,MATCH(B93,EqTag,0)),"Tag not in register"))</f>
        <v/>
      </c>
      <c r="D93" s="4" t="n"/>
      <c r="E93" s="4" t="n"/>
      <c r="F93" s="4" t="n"/>
      <c r="G93" s="4" t="n"/>
      <c r="H93" s="4" t="n"/>
      <c r="I93" s="4" t="n"/>
      <c r="J93" s="5">
        <f>_xlfn.TEXTJOIN(CHAR(10),TRUE,IF(G93="","","• "&amp;G93),IF(H93="","","• "&amp;H93),IF(I93="","","• "&amp;I93))</f>
        <v/>
      </c>
      <c r="K93" s="4" t="n"/>
      <c r="L93" s="4" t="n"/>
      <c r="M93" s="4" t="n"/>
      <c r="N93" s="16" t="n"/>
      <c r="O93" s="4" t="n"/>
      <c r="P93" s="16" t="n"/>
      <c r="Q93" s="4" t="n"/>
      <c r="R93" s="16" t="n"/>
      <c r="S93" s="20">
        <f>IF(OR(N93="",P93="",R93=""),"",(--TRIM(LEFT(N93,2)))*(--TRIM(LEFT(P93,2)))*(--TRIM(LEFT(R93,2))))</f>
        <v/>
      </c>
      <c r="T93" s="20">
        <f>IF(OR(N93="",P93="",R93=""),"",INDEX(APGrid,COUNTIF(APS,"&gt;"&amp;(--TRIM(LEFT(N93,2))))*5+COUNTIF(APO,"&gt;"&amp;(--TRIM(LEFT(P93,2))))+1,COUNTIF(APD,"&gt;"&amp;(--TRIM(LEFT(R93,2))))+1))</f>
        <v/>
      </c>
      <c r="U93" s="20">
        <f>IF(S93="","",IF(OR((--TRIM(LEFT(N93,2)))&gt;=SThr,S93&gt;=RPNThr,T93="H"),"Yes","No"))</f>
        <v/>
      </c>
      <c r="V93" s="4" t="n"/>
      <c r="W93" s="4" t="n"/>
      <c r="X93" s="4" t="n"/>
      <c r="Y93" s="29" t="n"/>
      <c r="Z93" s="16" t="n"/>
      <c r="AA93" s="16" t="n"/>
      <c r="AB93" s="16" t="n"/>
      <c r="AC93" s="20">
        <f>IF(OR(Z93="",AA93="",AB93=""),"",(--TRIM(LEFT(Z93,2)))*(--TRIM(LEFT(AA93,2)))*(--TRIM(LEFT(AB93,2))))</f>
        <v/>
      </c>
      <c r="AD93" s="20">
        <f>IF(OR(Z93="",AA93="",AB93=""),"",INDEX(APGrid,COUNTIF(APS,"&gt;"&amp;(--TRIM(LEFT(Z93,2))))*5+COUNTIF(APO,"&gt;"&amp;(--TRIM(LEFT(AA93,2))))+1,COUNTIF(APD,"&gt;"&amp;(--TRIM(LEFT(AB93,2))))+1))</f>
        <v/>
      </c>
      <c r="AE93" s="4" t="n"/>
      <c r="AF93" s="4" t="n"/>
      <c r="AH93">
        <f>IFERROR(INDEX(EqTag,_xlfn.AGGREGATE(15,6,(ROW(EqTag)-4)/((EqSys=$D$3)*(EqTag&lt;&gt;"")),ROWS($AH$14:AH93))),"")</f>
        <v/>
      </c>
    </row>
    <row r="94">
      <c r="A94" s="20">
        <f>IF(F94="","",LEFT($D$3,3)&amp;"-"&amp;TEXT(COUNTIF(F$14:F94,"?*"),"00"))</f>
        <v/>
      </c>
      <c r="B94" s="4" t="n"/>
      <c r="C94" s="5">
        <f>IF(B94="","",IFERROR(INDEX(EqTypeCol,MATCH(B94,EqTag,0)),"Tag not in register"))</f>
        <v/>
      </c>
      <c r="D94" s="4" t="n"/>
      <c r="E94" s="4" t="n"/>
      <c r="F94" s="4" t="n"/>
      <c r="G94" s="4" t="n"/>
      <c r="H94" s="4" t="n"/>
      <c r="I94" s="4" t="n"/>
      <c r="J94" s="5">
        <f>_xlfn.TEXTJOIN(CHAR(10),TRUE,IF(G94="","","• "&amp;G94),IF(H94="","","• "&amp;H94),IF(I94="","","• "&amp;I94))</f>
        <v/>
      </c>
      <c r="K94" s="4" t="n"/>
      <c r="L94" s="4" t="n"/>
      <c r="M94" s="4" t="n"/>
      <c r="N94" s="16" t="n"/>
      <c r="O94" s="4" t="n"/>
      <c r="P94" s="16" t="n"/>
      <c r="Q94" s="4" t="n"/>
      <c r="R94" s="16" t="n"/>
      <c r="S94" s="20">
        <f>IF(OR(N94="",P94="",R94=""),"",(--TRIM(LEFT(N94,2)))*(--TRIM(LEFT(P94,2)))*(--TRIM(LEFT(R94,2))))</f>
        <v/>
      </c>
      <c r="T94" s="20">
        <f>IF(OR(N94="",P94="",R94=""),"",INDEX(APGrid,COUNTIF(APS,"&gt;"&amp;(--TRIM(LEFT(N94,2))))*5+COUNTIF(APO,"&gt;"&amp;(--TRIM(LEFT(P94,2))))+1,COUNTIF(APD,"&gt;"&amp;(--TRIM(LEFT(R94,2))))+1))</f>
        <v/>
      </c>
      <c r="U94" s="20">
        <f>IF(S94="","",IF(OR((--TRIM(LEFT(N94,2)))&gt;=SThr,S94&gt;=RPNThr,T94="H"),"Yes","No"))</f>
        <v/>
      </c>
      <c r="V94" s="4" t="n"/>
      <c r="W94" s="4" t="n"/>
      <c r="X94" s="4" t="n"/>
      <c r="Y94" s="29" t="n"/>
      <c r="Z94" s="16" t="n"/>
      <c r="AA94" s="16" t="n"/>
      <c r="AB94" s="16" t="n"/>
      <c r="AC94" s="20">
        <f>IF(OR(Z94="",AA94="",AB94=""),"",(--TRIM(LEFT(Z94,2)))*(--TRIM(LEFT(AA94,2)))*(--TRIM(LEFT(AB94,2))))</f>
        <v/>
      </c>
      <c r="AD94" s="20">
        <f>IF(OR(Z94="",AA94="",AB94=""),"",INDEX(APGrid,COUNTIF(APS,"&gt;"&amp;(--TRIM(LEFT(Z94,2))))*5+COUNTIF(APO,"&gt;"&amp;(--TRIM(LEFT(AA94,2))))+1,COUNTIF(APD,"&gt;"&amp;(--TRIM(LEFT(AB94,2))))+1))</f>
        <v/>
      </c>
      <c r="AE94" s="4" t="n"/>
      <c r="AF94" s="4" t="n"/>
      <c r="AH94">
        <f>IFERROR(INDEX(EqTag,_xlfn.AGGREGATE(15,6,(ROW(EqTag)-4)/((EqSys=$D$3)*(EqTag&lt;&gt;"")),ROWS($AH$14:AH94))),"")</f>
        <v/>
      </c>
    </row>
    <row r="95">
      <c r="A95" s="20">
        <f>IF(F95="","",LEFT($D$3,3)&amp;"-"&amp;TEXT(COUNTIF(F$14:F95,"?*"),"00"))</f>
        <v/>
      </c>
      <c r="B95" s="4" t="n"/>
      <c r="C95" s="5">
        <f>IF(B95="","",IFERROR(INDEX(EqTypeCol,MATCH(B95,EqTag,0)),"Tag not in register"))</f>
        <v/>
      </c>
      <c r="D95" s="4" t="n"/>
      <c r="E95" s="4" t="n"/>
      <c r="F95" s="4" t="n"/>
      <c r="G95" s="4" t="n"/>
      <c r="H95" s="4" t="n"/>
      <c r="I95" s="4" t="n"/>
      <c r="J95" s="5">
        <f>_xlfn.TEXTJOIN(CHAR(10),TRUE,IF(G95="","","• "&amp;G95),IF(H95="","","• "&amp;H95),IF(I95="","","• "&amp;I95))</f>
        <v/>
      </c>
      <c r="K95" s="4" t="n"/>
      <c r="L95" s="4" t="n"/>
      <c r="M95" s="4" t="n"/>
      <c r="N95" s="16" t="n"/>
      <c r="O95" s="4" t="n"/>
      <c r="P95" s="16" t="n"/>
      <c r="Q95" s="4" t="n"/>
      <c r="R95" s="16" t="n"/>
      <c r="S95" s="20">
        <f>IF(OR(N95="",P95="",R95=""),"",(--TRIM(LEFT(N95,2)))*(--TRIM(LEFT(P95,2)))*(--TRIM(LEFT(R95,2))))</f>
        <v/>
      </c>
      <c r="T95" s="20">
        <f>IF(OR(N95="",P95="",R95=""),"",INDEX(APGrid,COUNTIF(APS,"&gt;"&amp;(--TRIM(LEFT(N95,2))))*5+COUNTIF(APO,"&gt;"&amp;(--TRIM(LEFT(P95,2))))+1,COUNTIF(APD,"&gt;"&amp;(--TRIM(LEFT(R95,2))))+1))</f>
        <v/>
      </c>
      <c r="U95" s="20">
        <f>IF(S95="","",IF(OR((--TRIM(LEFT(N95,2)))&gt;=SThr,S95&gt;=RPNThr,T95="H"),"Yes","No"))</f>
        <v/>
      </c>
      <c r="V95" s="4" t="n"/>
      <c r="W95" s="4" t="n"/>
      <c r="X95" s="4" t="n"/>
      <c r="Y95" s="29" t="n"/>
      <c r="Z95" s="16" t="n"/>
      <c r="AA95" s="16" t="n"/>
      <c r="AB95" s="16" t="n"/>
      <c r="AC95" s="20">
        <f>IF(OR(Z95="",AA95="",AB95=""),"",(--TRIM(LEFT(Z95,2)))*(--TRIM(LEFT(AA95,2)))*(--TRIM(LEFT(AB95,2))))</f>
        <v/>
      </c>
      <c r="AD95" s="20">
        <f>IF(OR(Z95="",AA95="",AB95=""),"",INDEX(APGrid,COUNTIF(APS,"&gt;"&amp;(--TRIM(LEFT(Z95,2))))*5+COUNTIF(APO,"&gt;"&amp;(--TRIM(LEFT(AA95,2))))+1,COUNTIF(APD,"&gt;"&amp;(--TRIM(LEFT(AB95,2))))+1))</f>
        <v/>
      </c>
      <c r="AE95" s="4" t="n"/>
      <c r="AF95" s="4" t="n"/>
      <c r="AH95">
        <f>IFERROR(INDEX(EqTag,_xlfn.AGGREGATE(15,6,(ROW(EqTag)-4)/((EqSys=$D$3)*(EqTag&lt;&gt;"")),ROWS($AH$14:AH95))),"")</f>
        <v/>
      </c>
    </row>
    <row r="96">
      <c r="A96" s="20">
        <f>IF(F96="","",LEFT($D$3,3)&amp;"-"&amp;TEXT(COUNTIF(F$14:F96,"?*"),"00"))</f>
        <v/>
      </c>
      <c r="B96" s="4" t="n"/>
      <c r="C96" s="5">
        <f>IF(B96="","",IFERROR(INDEX(EqTypeCol,MATCH(B96,EqTag,0)),"Tag not in register"))</f>
        <v/>
      </c>
      <c r="D96" s="4" t="n"/>
      <c r="E96" s="4" t="n"/>
      <c r="F96" s="4" t="n"/>
      <c r="G96" s="4" t="n"/>
      <c r="H96" s="4" t="n"/>
      <c r="I96" s="4" t="n"/>
      <c r="J96" s="5">
        <f>_xlfn.TEXTJOIN(CHAR(10),TRUE,IF(G96="","","• "&amp;G96),IF(H96="","","• "&amp;H96),IF(I96="","","• "&amp;I96))</f>
        <v/>
      </c>
      <c r="K96" s="4" t="n"/>
      <c r="L96" s="4" t="n"/>
      <c r="M96" s="4" t="n"/>
      <c r="N96" s="16" t="n"/>
      <c r="O96" s="4" t="n"/>
      <c r="P96" s="16" t="n"/>
      <c r="Q96" s="4" t="n"/>
      <c r="R96" s="16" t="n"/>
      <c r="S96" s="20">
        <f>IF(OR(N96="",P96="",R96=""),"",(--TRIM(LEFT(N96,2)))*(--TRIM(LEFT(P96,2)))*(--TRIM(LEFT(R96,2))))</f>
        <v/>
      </c>
      <c r="T96" s="20">
        <f>IF(OR(N96="",P96="",R96=""),"",INDEX(APGrid,COUNTIF(APS,"&gt;"&amp;(--TRIM(LEFT(N96,2))))*5+COUNTIF(APO,"&gt;"&amp;(--TRIM(LEFT(P96,2))))+1,COUNTIF(APD,"&gt;"&amp;(--TRIM(LEFT(R96,2))))+1))</f>
        <v/>
      </c>
      <c r="U96" s="20">
        <f>IF(S96="","",IF(OR((--TRIM(LEFT(N96,2)))&gt;=SThr,S96&gt;=RPNThr,T96="H"),"Yes","No"))</f>
        <v/>
      </c>
      <c r="V96" s="4" t="n"/>
      <c r="W96" s="4" t="n"/>
      <c r="X96" s="4" t="n"/>
      <c r="Y96" s="29" t="n"/>
      <c r="Z96" s="16" t="n"/>
      <c r="AA96" s="16" t="n"/>
      <c r="AB96" s="16" t="n"/>
      <c r="AC96" s="20">
        <f>IF(OR(Z96="",AA96="",AB96=""),"",(--TRIM(LEFT(Z96,2)))*(--TRIM(LEFT(AA96,2)))*(--TRIM(LEFT(AB96,2))))</f>
        <v/>
      </c>
      <c r="AD96" s="20">
        <f>IF(OR(Z96="",AA96="",AB96=""),"",INDEX(APGrid,COUNTIF(APS,"&gt;"&amp;(--TRIM(LEFT(Z96,2))))*5+COUNTIF(APO,"&gt;"&amp;(--TRIM(LEFT(AA96,2))))+1,COUNTIF(APD,"&gt;"&amp;(--TRIM(LEFT(AB96,2))))+1))</f>
        <v/>
      </c>
      <c r="AE96" s="4" t="n"/>
      <c r="AF96" s="4" t="n"/>
      <c r="AH96">
        <f>IFERROR(INDEX(EqTag,_xlfn.AGGREGATE(15,6,(ROW(EqTag)-4)/((EqSys=$D$3)*(EqTag&lt;&gt;"")),ROWS($AH$14:AH96))),"")</f>
        <v/>
      </c>
    </row>
    <row r="97">
      <c r="A97" s="20">
        <f>IF(F97="","",LEFT($D$3,3)&amp;"-"&amp;TEXT(COUNTIF(F$14:F97,"?*"),"00"))</f>
        <v/>
      </c>
      <c r="B97" s="4" t="n"/>
      <c r="C97" s="5">
        <f>IF(B97="","",IFERROR(INDEX(EqTypeCol,MATCH(B97,EqTag,0)),"Tag not in register"))</f>
        <v/>
      </c>
      <c r="D97" s="4" t="n"/>
      <c r="E97" s="4" t="n"/>
      <c r="F97" s="4" t="n"/>
      <c r="G97" s="4" t="n"/>
      <c r="H97" s="4" t="n"/>
      <c r="I97" s="4" t="n"/>
      <c r="J97" s="5">
        <f>_xlfn.TEXTJOIN(CHAR(10),TRUE,IF(G97="","","• "&amp;G97),IF(H97="","","• "&amp;H97),IF(I97="","","• "&amp;I97))</f>
        <v/>
      </c>
      <c r="K97" s="4" t="n"/>
      <c r="L97" s="4" t="n"/>
      <c r="M97" s="4" t="n"/>
      <c r="N97" s="16" t="n"/>
      <c r="O97" s="4" t="n"/>
      <c r="P97" s="16" t="n"/>
      <c r="Q97" s="4" t="n"/>
      <c r="R97" s="16" t="n"/>
      <c r="S97" s="20">
        <f>IF(OR(N97="",P97="",R97=""),"",(--TRIM(LEFT(N97,2)))*(--TRIM(LEFT(P97,2)))*(--TRIM(LEFT(R97,2))))</f>
        <v/>
      </c>
      <c r="T97" s="20">
        <f>IF(OR(N97="",P97="",R97=""),"",INDEX(APGrid,COUNTIF(APS,"&gt;"&amp;(--TRIM(LEFT(N97,2))))*5+COUNTIF(APO,"&gt;"&amp;(--TRIM(LEFT(P97,2))))+1,COUNTIF(APD,"&gt;"&amp;(--TRIM(LEFT(R97,2))))+1))</f>
        <v/>
      </c>
      <c r="U97" s="20">
        <f>IF(S97="","",IF(OR((--TRIM(LEFT(N97,2)))&gt;=SThr,S97&gt;=RPNThr,T97="H"),"Yes","No"))</f>
        <v/>
      </c>
      <c r="V97" s="4" t="n"/>
      <c r="W97" s="4" t="n"/>
      <c r="X97" s="4" t="n"/>
      <c r="Y97" s="29" t="n"/>
      <c r="Z97" s="16" t="n"/>
      <c r="AA97" s="16" t="n"/>
      <c r="AB97" s="16" t="n"/>
      <c r="AC97" s="20">
        <f>IF(OR(Z97="",AA97="",AB97=""),"",(--TRIM(LEFT(Z97,2)))*(--TRIM(LEFT(AA97,2)))*(--TRIM(LEFT(AB97,2))))</f>
        <v/>
      </c>
      <c r="AD97" s="20">
        <f>IF(OR(Z97="",AA97="",AB97=""),"",INDEX(APGrid,COUNTIF(APS,"&gt;"&amp;(--TRIM(LEFT(Z97,2))))*5+COUNTIF(APO,"&gt;"&amp;(--TRIM(LEFT(AA97,2))))+1,COUNTIF(APD,"&gt;"&amp;(--TRIM(LEFT(AB97,2))))+1))</f>
        <v/>
      </c>
      <c r="AE97" s="4" t="n"/>
      <c r="AF97" s="4" t="n"/>
      <c r="AH97">
        <f>IFERROR(INDEX(EqTag,_xlfn.AGGREGATE(15,6,(ROW(EqTag)-4)/((EqSys=$D$3)*(EqTag&lt;&gt;"")),ROWS($AH$14:AH97))),"")</f>
        <v/>
      </c>
    </row>
    <row r="98">
      <c r="A98" s="20">
        <f>IF(F98="","",LEFT($D$3,3)&amp;"-"&amp;TEXT(COUNTIF(F$14:F98,"?*"),"00"))</f>
        <v/>
      </c>
      <c r="B98" s="4" t="n"/>
      <c r="C98" s="5">
        <f>IF(B98="","",IFERROR(INDEX(EqTypeCol,MATCH(B98,EqTag,0)),"Tag not in register"))</f>
        <v/>
      </c>
      <c r="D98" s="4" t="n"/>
      <c r="E98" s="4" t="n"/>
      <c r="F98" s="4" t="n"/>
      <c r="G98" s="4" t="n"/>
      <c r="H98" s="4" t="n"/>
      <c r="I98" s="4" t="n"/>
      <c r="J98" s="5">
        <f>_xlfn.TEXTJOIN(CHAR(10),TRUE,IF(G98="","","• "&amp;G98),IF(H98="","","• "&amp;H98),IF(I98="","","• "&amp;I98))</f>
        <v/>
      </c>
      <c r="K98" s="4" t="n"/>
      <c r="L98" s="4" t="n"/>
      <c r="M98" s="4" t="n"/>
      <c r="N98" s="16" t="n"/>
      <c r="O98" s="4" t="n"/>
      <c r="P98" s="16" t="n"/>
      <c r="Q98" s="4" t="n"/>
      <c r="R98" s="16" t="n"/>
      <c r="S98" s="20">
        <f>IF(OR(N98="",P98="",R98=""),"",(--TRIM(LEFT(N98,2)))*(--TRIM(LEFT(P98,2)))*(--TRIM(LEFT(R98,2))))</f>
        <v/>
      </c>
      <c r="T98" s="20">
        <f>IF(OR(N98="",P98="",R98=""),"",INDEX(APGrid,COUNTIF(APS,"&gt;"&amp;(--TRIM(LEFT(N98,2))))*5+COUNTIF(APO,"&gt;"&amp;(--TRIM(LEFT(P98,2))))+1,COUNTIF(APD,"&gt;"&amp;(--TRIM(LEFT(R98,2))))+1))</f>
        <v/>
      </c>
      <c r="U98" s="20">
        <f>IF(S98="","",IF(OR((--TRIM(LEFT(N98,2)))&gt;=SThr,S98&gt;=RPNThr,T98="H"),"Yes","No"))</f>
        <v/>
      </c>
      <c r="V98" s="4" t="n"/>
      <c r="W98" s="4" t="n"/>
      <c r="X98" s="4" t="n"/>
      <c r="Y98" s="29" t="n"/>
      <c r="Z98" s="16" t="n"/>
      <c r="AA98" s="16" t="n"/>
      <c r="AB98" s="16" t="n"/>
      <c r="AC98" s="20">
        <f>IF(OR(Z98="",AA98="",AB98=""),"",(--TRIM(LEFT(Z98,2)))*(--TRIM(LEFT(AA98,2)))*(--TRIM(LEFT(AB98,2))))</f>
        <v/>
      </c>
      <c r="AD98" s="20">
        <f>IF(OR(Z98="",AA98="",AB98=""),"",INDEX(APGrid,COUNTIF(APS,"&gt;"&amp;(--TRIM(LEFT(Z98,2))))*5+COUNTIF(APO,"&gt;"&amp;(--TRIM(LEFT(AA98,2))))+1,COUNTIF(APD,"&gt;"&amp;(--TRIM(LEFT(AB98,2))))+1))</f>
        <v/>
      </c>
      <c r="AE98" s="4" t="n"/>
      <c r="AF98" s="4" t="n"/>
      <c r="AH98">
        <f>IFERROR(INDEX(EqTag,_xlfn.AGGREGATE(15,6,(ROW(EqTag)-4)/((EqSys=$D$3)*(EqTag&lt;&gt;"")),ROWS($AH$14:AH98))),"")</f>
        <v/>
      </c>
    </row>
    <row r="99">
      <c r="A99" s="20">
        <f>IF(F99="","",LEFT($D$3,3)&amp;"-"&amp;TEXT(COUNTIF(F$14:F99,"?*"),"00"))</f>
        <v/>
      </c>
      <c r="B99" s="4" t="n"/>
      <c r="C99" s="5">
        <f>IF(B99="","",IFERROR(INDEX(EqTypeCol,MATCH(B99,EqTag,0)),"Tag not in register"))</f>
        <v/>
      </c>
      <c r="D99" s="4" t="n"/>
      <c r="E99" s="4" t="n"/>
      <c r="F99" s="4" t="n"/>
      <c r="G99" s="4" t="n"/>
      <c r="H99" s="4" t="n"/>
      <c r="I99" s="4" t="n"/>
      <c r="J99" s="5">
        <f>_xlfn.TEXTJOIN(CHAR(10),TRUE,IF(G99="","","• "&amp;G99),IF(H99="","","• "&amp;H99),IF(I99="","","• "&amp;I99))</f>
        <v/>
      </c>
      <c r="K99" s="4" t="n"/>
      <c r="L99" s="4" t="n"/>
      <c r="M99" s="4" t="n"/>
      <c r="N99" s="16" t="n"/>
      <c r="O99" s="4" t="n"/>
      <c r="P99" s="16" t="n"/>
      <c r="Q99" s="4" t="n"/>
      <c r="R99" s="16" t="n"/>
      <c r="S99" s="20">
        <f>IF(OR(N99="",P99="",R99=""),"",(--TRIM(LEFT(N99,2)))*(--TRIM(LEFT(P99,2)))*(--TRIM(LEFT(R99,2))))</f>
        <v/>
      </c>
      <c r="T99" s="20">
        <f>IF(OR(N99="",P99="",R99=""),"",INDEX(APGrid,COUNTIF(APS,"&gt;"&amp;(--TRIM(LEFT(N99,2))))*5+COUNTIF(APO,"&gt;"&amp;(--TRIM(LEFT(P99,2))))+1,COUNTIF(APD,"&gt;"&amp;(--TRIM(LEFT(R99,2))))+1))</f>
        <v/>
      </c>
      <c r="U99" s="20">
        <f>IF(S99="","",IF(OR((--TRIM(LEFT(N99,2)))&gt;=SThr,S99&gt;=RPNThr,T99="H"),"Yes","No"))</f>
        <v/>
      </c>
      <c r="V99" s="4" t="n"/>
      <c r="W99" s="4" t="n"/>
      <c r="X99" s="4" t="n"/>
      <c r="Y99" s="29" t="n"/>
      <c r="Z99" s="16" t="n"/>
      <c r="AA99" s="16" t="n"/>
      <c r="AB99" s="16" t="n"/>
      <c r="AC99" s="20">
        <f>IF(OR(Z99="",AA99="",AB99=""),"",(--TRIM(LEFT(Z99,2)))*(--TRIM(LEFT(AA99,2)))*(--TRIM(LEFT(AB99,2))))</f>
        <v/>
      </c>
      <c r="AD99" s="20">
        <f>IF(OR(Z99="",AA99="",AB99=""),"",INDEX(APGrid,COUNTIF(APS,"&gt;"&amp;(--TRIM(LEFT(Z99,2))))*5+COUNTIF(APO,"&gt;"&amp;(--TRIM(LEFT(AA99,2))))+1,COUNTIF(APD,"&gt;"&amp;(--TRIM(LEFT(AB99,2))))+1))</f>
        <v/>
      </c>
      <c r="AE99" s="4" t="n"/>
      <c r="AF99" s="4" t="n"/>
      <c r="AH99">
        <f>IFERROR(INDEX(EqTag,_xlfn.AGGREGATE(15,6,(ROW(EqTag)-4)/((EqSys=$D$3)*(EqTag&lt;&gt;"")),ROWS($AH$14:AH99))),"")</f>
        <v/>
      </c>
    </row>
    <row r="100">
      <c r="A100" s="20">
        <f>IF(F100="","",LEFT($D$3,3)&amp;"-"&amp;TEXT(COUNTIF(F$14:F100,"?*"),"00"))</f>
        <v/>
      </c>
      <c r="B100" s="4" t="n"/>
      <c r="C100" s="5">
        <f>IF(B100="","",IFERROR(INDEX(EqTypeCol,MATCH(B100,EqTag,0)),"Tag not in register"))</f>
        <v/>
      </c>
      <c r="D100" s="4" t="n"/>
      <c r="E100" s="4" t="n"/>
      <c r="F100" s="4" t="n"/>
      <c r="G100" s="4" t="n"/>
      <c r="H100" s="4" t="n"/>
      <c r="I100" s="4" t="n"/>
      <c r="J100" s="5">
        <f>_xlfn.TEXTJOIN(CHAR(10),TRUE,IF(G100="","","• "&amp;G100),IF(H100="","","• "&amp;H100),IF(I100="","","• "&amp;I100))</f>
        <v/>
      </c>
      <c r="K100" s="4" t="n"/>
      <c r="L100" s="4" t="n"/>
      <c r="M100" s="4" t="n"/>
      <c r="N100" s="16" t="n"/>
      <c r="O100" s="4" t="n"/>
      <c r="P100" s="16" t="n"/>
      <c r="Q100" s="4" t="n"/>
      <c r="R100" s="16" t="n"/>
      <c r="S100" s="20">
        <f>IF(OR(N100="",P100="",R100=""),"",(--TRIM(LEFT(N100,2)))*(--TRIM(LEFT(P100,2)))*(--TRIM(LEFT(R100,2))))</f>
        <v/>
      </c>
      <c r="T100" s="20">
        <f>IF(OR(N100="",P100="",R100=""),"",INDEX(APGrid,COUNTIF(APS,"&gt;"&amp;(--TRIM(LEFT(N100,2))))*5+COUNTIF(APO,"&gt;"&amp;(--TRIM(LEFT(P100,2))))+1,COUNTIF(APD,"&gt;"&amp;(--TRIM(LEFT(R100,2))))+1))</f>
        <v/>
      </c>
      <c r="U100" s="20">
        <f>IF(S100="","",IF(OR((--TRIM(LEFT(N100,2)))&gt;=SThr,S100&gt;=RPNThr,T100="H"),"Yes","No"))</f>
        <v/>
      </c>
      <c r="V100" s="4" t="n"/>
      <c r="W100" s="4" t="n"/>
      <c r="X100" s="4" t="n"/>
      <c r="Y100" s="29" t="n"/>
      <c r="Z100" s="16" t="n"/>
      <c r="AA100" s="16" t="n"/>
      <c r="AB100" s="16" t="n"/>
      <c r="AC100" s="20">
        <f>IF(OR(Z100="",AA100="",AB100=""),"",(--TRIM(LEFT(Z100,2)))*(--TRIM(LEFT(AA100,2)))*(--TRIM(LEFT(AB100,2))))</f>
        <v/>
      </c>
      <c r="AD100" s="20">
        <f>IF(OR(Z100="",AA100="",AB100=""),"",INDEX(APGrid,COUNTIF(APS,"&gt;"&amp;(--TRIM(LEFT(Z100,2))))*5+COUNTIF(APO,"&gt;"&amp;(--TRIM(LEFT(AA100,2))))+1,COUNTIF(APD,"&gt;"&amp;(--TRIM(LEFT(AB100,2))))+1))</f>
        <v/>
      </c>
      <c r="AE100" s="4" t="n"/>
      <c r="AF100" s="4" t="n"/>
      <c r="AH100">
        <f>IFERROR(INDEX(EqTag,_xlfn.AGGREGATE(15,6,(ROW(EqTag)-4)/((EqSys=$D$3)*(EqTag&lt;&gt;"")),ROWS($AH$14:AH100))),"")</f>
        <v/>
      </c>
    </row>
    <row r="101">
      <c r="A101" s="20">
        <f>IF(F101="","",LEFT($D$3,3)&amp;"-"&amp;TEXT(COUNTIF(F$14:F101,"?*"),"00"))</f>
        <v/>
      </c>
      <c r="B101" s="4" t="n"/>
      <c r="C101" s="5">
        <f>IF(B101="","",IFERROR(INDEX(EqTypeCol,MATCH(B101,EqTag,0)),"Tag not in register"))</f>
        <v/>
      </c>
      <c r="D101" s="4" t="n"/>
      <c r="E101" s="4" t="n"/>
      <c r="F101" s="4" t="n"/>
      <c r="G101" s="4" t="n"/>
      <c r="H101" s="4" t="n"/>
      <c r="I101" s="4" t="n"/>
      <c r="J101" s="5">
        <f>_xlfn.TEXTJOIN(CHAR(10),TRUE,IF(G101="","","• "&amp;G101),IF(H101="","","• "&amp;H101),IF(I101="","","• "&amp;I101))</f>
        <v/>
      </c>
      <c r="K101" s="4" t="n"/>
      <c r="L101" s="4" t="n"/>
      <c r="M101" s="4" t="n"/>
      <c r="N101" s="16" t="n"/>
      <c r="O101" s="4" t="n"/>
      <c r="P101" s="16" t="n"/>
      <c r="Q101" s="4" t="n"/>
      <c r="R101" s="16" t="n"/>
      <c r="S101" s="20">
        <f>IF(OR(N101="",P101="",R101=""),"",(--TRIM(LEFT(N101,2)))*(--TRIM(LEFT(P101,2)))*(--TRIM(LEFT(R101,2))))</f>
        <v/>
      </c>
      <c r="T101" s="20">
        <f>IF(OR(N101="",P101="",R101=""),"",INDEX(APGrid,COUNTIF(APS,"&gt;"&amp;(--TRIM(LEFT(N101,2))))*5+COUNTIF(APO,"&gt;"&amp;(--TRIM(LEFT(P101,2))))+1,COUNTIF(APD,"&gt;"&amp;(--TRIM(LEFT(R101,2))))+1))</f>
        <v/>
      </c>
      <c r="U101" s="20">
        <f>IF(S101="","",IF(OR((--TRIM(LEFT(N101,2)))&gt;=SThr,S101&gt;=RPNThr,T101="H"),"Yes","No"))</f>
        <v/>
      </c>
      <c r="V101" s="4" t="n"/>
      <c r="W101" s="4" t="n"/>
      <c r="X101" s="4" t="n"/>
      <c r="Y101" s="29" t="n"/>
      <c r="Z101" s="16" t="n"/>
      <c r="AA101" s="16" t="n"/>
      <c r="AB101" s="16" t="n"/>
      <c r="AC101" s="20">
        <f>IF(OR(Z101="",AA101="",AB101=""),"",(--TRIM(LEFT(Z101,2)))*(--TRIM(LEFT(AA101,2)))*(--TRIM(LEFT(AB101,2))))</f>
        <v/>
      </c>
      <c r="AD101" s="20">
        <f>IF(OR(Z101="",AA101="",AB101=""),"",INDEX(APGrid,COUNTIF(APS,"&gt;"&amp;(--TRIM(LEFT(Z101,2))))*5+COUNTIF(APO,"&gt;"&amp;(--TRIM(LEFT(AA101,2))))+1,COUNTIF(APD,"&gt;"&amp;(--TRIM(LEFT(AB101,2))))+1))</f>
        <v/>
      </c>
      <c r="AE101" s="4" t="n"/>
      <c r="AF101" s="4" t="n"/>
      <c r="AH101">
        <f>IFERROR(INDEX(EqTag,_xlfn.AGGREGATE(15,6,(ROW(EqTag)-4)/((EqSys=$D$3)*(EqTag&lt;&gt;"")),ROWS($AH$14:AH101))),"")</f>
        <v/>
      </c>
    </row>
    <row r="102">
      <c r="A102" s="20">
        <f>IF(F102="","",LEFT($D$3,3)&amp;"-"&amp;TEXT(COUNTIF(F$14:F102,"?*"),"00"))</f>
        <v/>
      </c>
      <c r="B102" s="4" t="n"/>
      <c r="C102" s="5">
        <f>IF(B102="","",IFERROR(INDEX(EqTypeCol,MATCH(B102,EqTag,0)),"Tag not in register"))</f>
        <v/>
      </c>
      <c r="D102" s="4" t="n"/>
      <c r="E102" s="4" t="n"/>
      <c r="F102" s="4" t="n"/>
      <c r="G102" s="4" t="n"/>
      <c r="H102" s="4" t="n"/>
      <c r="I102" s="4" t="n"/>
      <c r="J102" s="5">
        <f>_xlfn.TEXTJOIN(CHAR(10),TRUE,IF(G102="","","• "&amp;G102),IF(H102="","","• "&amp;H102),IF(I102="","","• "&amp;I102))</f>
        <v/>
      </c>
      <c r="K102" s="4" t="n"/>
      <c r="L102" s="4" t="n"/>
      <c r="M102" s="4" t="n"/>
      <c r="N102" s="16" t="n"/>
      <c r="O102" s="4" t="n"/>
      <c r="P102" s="16" t="n"/>
      <c r="Q102" s="4" t="n"/>
      <c r="R102" s="16" t="n"/>
      <c r="S102" s="20">
        <f>IF(OR(N102="",P102="",R102=""),"",(--TRIM(LEFT(N102,2)))*(--TRIM(LEFT(P102,2)))*(--TRIM(LEFT(R102,2))))</f>
        <v/>
      </c>
      <c r="T102" s="20">
        <f>IF(OR(N102="",P102="",R102=""),"",INDEX(APGrid,COUNTIF(APS,"&gt;"&amp;(--TRIM(LEFT(N102,2))))*5+COUNTIF(APO,"&gt;"&amp;(--TRIM(LEFT(P102,2))))+1,COUNTIF(APD,"&gt;"&amp;(--TRIM(LEFT(R102,2))))+1))</f>
        <v/>
      </c>
      <c r="U102" s="20">
        <f>IF(S102="","",IF(OR((--TRIM(LEFT(N102,2)))&gt;=SThr,S102&gt;=RPNThr,T102="H"),"Yes","No"))</f>
        <v/>
      </c>
      <c r="V102" s="4" t="n"/>
      <c r="W102" s="4" t="n"/>
      <c r="X102" s="4" t="n"/>
      <c r="Y102" s="29" t="n"/>
      <c r="Z102" s="16" t="n"/>
      <c r="AA102" s="16" t="n"/>
      <c r="AB102" s="16" t="n"/>
      <c r="AC102" s="20">
        <f>IF(OR(Z102="",AA102="",AB102=""),"",(--TRIM(LEFT(Z102,2)))*(--TRIM(LEFT(AA102,2)))*(--TRIM(LEFT(AB102,2))))</f>
        <v/>
      </c>
      <c r="AD102" s="20">
        <f>IF(OR(Z102="",AA102="",AB102=""),"",INDEX(APGrid,COUNTIF(APS,"&gt;"&amp;(--TRIM(LEFT(Z102,2))))*5+COUNTIF(APO,"&gt;"&amp;(--TRIM(LEFT(AA102,2))))+1,COUNTIF(APD,"&gt;"&amp;(--TRIM(LEFT(AB102,2))))+1))</f>
        <v/>
      </c>
      <c r="AE102" s="4" t="n"/>
      <c r="AF102" s="4" t="n"/>
      <c r="AH102">
        <f>IFERROR(INDEX(EqTag,_xlfn.AGGREGATE(15,6,(ROW(EqTag)-4)/((EqSys=$D$3)*(EqTag&lt;&gt;"")),ROWS($AH$14:AH102))),"")</f>
        <v/>
      </c>
    </row>
    <row r="103">
      <c r="A103" s="20">
        <f>IF(F103="","",LEFT($D$3,3)&amp;"-"&amp;TEXT(COUNTIF(F$14:F103,"?*"),"00"))</f>
        <v/>
      </c>
      <c r="B103" s="4" t="n"/>
      <c r="C103" s="5">
        <f>IF(B103="","",IFERROR(INDEX(EqTypeCol,MATCH(B103,EqTag,0)),"Tag not in register"))</f>
        <v/>
      </c>
      <c r="D103" s="4" t="n"/>
      <c r="E103" s="4" t="n"/>
      <c r="F103" s="4" t="n"/>
      <c r="G103" s="4" t="n"/>
      <c r="H103" s="4" t="n"/>
      <c r="I103" s="4" t="n"/>
      <c r="J103" s="5">
        <f>_xlfn.TEXTJOIN(CHAR(10),TRUE,IF(G103="","","• "&amp;G103),IF(H103="","","• "&amp;H103),IF(I103="","","• "&amp;I103))</f>
        <v/>
      </c>
      <c r="K103" s="4" t="n"/>
      <c r="L103" s="4" t="n"/>
      <c r="M103" s="4" t="n"/>
      <c r="N103" s="16" t="n"/>
      <c r="O103" s="4" t="n"/>
      <c r="P103" s="16" t="n"/>
      <c r="Q103" s="4" t="n"/>
      <c r="R103" s="16" t="n"/>
      <c r="S103" s="20">
        <f>IF(OR(N103="",P103="",R103=""),"",(--TRIM(LEFT(N103,2)))*(--TRIM(LEFT(P103,2)))*(--TRIM(LEFT(R103,2))))</f>
        <v/>
      </c>
      <c r="T103" s="20">
        <f>IF(OR(N103="",P103="",R103=""),"",INDEX(APGrid,COUNTIF(APS,"&gt;"&amp;(--TRIM(LEFT(N103,2))))*5+COUNTIF(APO,"&gt;"&amp;(--TRIM(LEFT(P103,2))))+1,COUNTIF(APD,"&gt;"&amp;(--TRIM(LEFT(R103,2))))+1))</f>
        <v/>
      </c>
      <c r="U103" s="20">
        <f>IF(S103="","",IF(OR((--TRIM(LEFT(N103,2)))&gt;=SThr,S103&gt;=RPNThr,T103="H"),"Yes","No"))</f>
        <v/>
      </c>
      <c r="V103" s="4" t="n"/>
      <c r="W103" s="4" t="n"/>
      <c r="X103" s="4" t="n"/>
      <c r="Y103" s="29" t="n"/>
      <c r="Z103" s="16" t="n"/>
      <c r="AA103" s="16" t="n"/>
      <c r="AB103" s="16" t="n"/>
      <c r="AC103" s="20">
        <f>IF(OR(Z103="",AA103="",AB103=""),"",(--TRIM(LEFT(Z103,2)))*(--TRIM(LEFT(AA103,2)))*(--TRIM(LEFT(AB103,2))))</f>
        <v/>
      </c>
      <c r="AD103" s="20">
        <f>IF(OR(Z103="",AA103="",AB103=""),"",INDEX(APGrid,COUNTIF(APS,"&gt;"&amp;(--TRIM(LEFT(Z103,2))))*5+COUNTIF(APO,"&gt;"&amp;(--TRIM(LEFT(AA103,2))))+1,COUNTIF(APD,"&gt;"&amp;(--TRIM(LEFT(AB103,2))))+1))</f>
        <v/>
      </c>
      <c r="AE103" s="4" t="n"/>
      <c r="AF103" s="4" t="n"/>
      <c r="AH103">
        <f>IFERROR(INDEX(EqTag,_xlfn.AGGREGATE(15,6,(ROW(EqTag)-4)/((EqSys=$D$3)*(EqTag&lt;&gt;"")),ROWS($AH$14:AH103))),"")</f>
        <v/>
      </c>
    </row>
    <row r="104">
      <c r="A104" s="20">
        <f>IF(F104="","",LEFT($D$3,3)&amp;"-"&amp;TEXT(COUNTIF(F$14:F104,"?*"),"00"))</f>
        <v/>
      </c>
      <c r="B104" s="4" t="n"/>
      <c r="C104" s="5">
        <f>IF(B104="","",IFERROR(INDEX(EqTypeCol,MATCH(B104,EqTag,0)),"Tag not in register"))</f>
        <v/>
      </c>
      <c r="D104" s="4" t="n"/>
      <c r="E104" s="4" t="n"/>
      <c r="F104" s="4" t="n"/>
      <c r="G104" s="4" t="n"/>
      <c r="H104" s="4" t="n"/>
      <c r="I104" s="4" t="n"/>
      <c r="J104" s="5">
        <f>_xlfn.TEXTJOIN(CHAR(10),TRUE,IF(G104="","","• "&amp;G104),IF(H104="","","• "&amp;H104),IF(I104="","","• "&amp;I104))</f>
        <v/>
      </c>
      <c r="K104" s="4" t="n"/>
      <c r="L104" s="4" t="n"/>
      <c r="M104" s="4" t="n"/>
      <c r="N104" s="16" t="n"/>
      <c r="O104" s="4" t="n"/>
      <c r="P104" s="16" t="n"/>
      <c r="Q104" s="4" t="n"/>
      <c r="R104" s="16" t="n"/>
      <c r="S104" s="20">
        <f>IF(OR(N104="",P104="",R104=""),"",(--TRIM(LEFT(N104,2)))*(--TRIM(LEFT(P104,2)))*(--TRIM(LEFT(R104,2))))</f>
        <v/>
      </c>
      <c r="T104" s="20">
        <f>IF(OR(N104="",P104="",R104=""),"",INDEX(APGrid,COUNTIF(APS,"&gt;"&amp;(--TRIM(LEFT(N104,2))))*5+COUNTIF(APO,"&gt;"&amp;(--TRIM(LEFT(P104,2))))+1,COUNTIF(APD,"&gt;"&amp;(--TRIM(LEFT(R104,2))))+1))</f>
        <v/>
      </c>
      <c r="U104" s="20">
        <f>IF(S104="","",IF(OR((--TRIM(LEFT(N104,2)))&gt;=SThr,S104&gt;=RPNThr,T104="H"),"Yes","No"))</f>
        <v/>
      </c>
      <c r="V104" s="4" t="n"/>
      <c r="W104" s="4" t="n"/>
      <c r="X104" s="4" t="n"/>
      <c r="Y104" s="29" t="n"/>
      <c r="Z104" s="16" t="n"/>
      <c r="AA104" s="16" t="n"/>
      <c r="AB104" s="16" t="n"/>
      <c r="AC104" s="20">
        <f>IF(OR(Z104="",AA104="",AB104=""),"",(--TRIM(LEFT(Z104,2)))*(--TRIM(LEFT(AA104,2)))*(--TRIM(LEFT(AB104,2))))</f>
        <v/>
      </c>
      <c r="AD104" s="20">
        <f>IF(OR(Z104="",AA104="",AB104=""),"",INDEX(APGrid,COUNTIF(APS,"&gt;"&amp;(--TRIM(LEFT(Z104,2))))*5+COUNTIF(APO,"&gt;"&amp;(--TRIM(LEFT(AA104,2))))+1,COUNTIF(APD,"&gt;"&amp;(--TRIM(LEFT(AB104,2))))+1))</f>
        <v/>
      </c>
      <c r="AE104" s="4" t="n"/>
      <c r="AF104" s="4" t="n"/>
      <c r="AH104">
        <f>IFERROR(INDEX(EqTag,_xlfn.AGGREGATE(15,6,(ROW(EqTag)-4)/((EqSys=$D$3)*(EqTag&lt;&gt;"")),ROWS($AH$14:AH104))),"")</f>
        <v/>
      </c>
    </row>
    <row r="105">
      <c r="A105" s="20">
        <f>IF(F105="","",LEFT($D$3,3)&amp;"-"&amp;TEXT(COUNTIF(F$14:F105,"?*"),"00"))</f>
        <v/>
      </c>
      <c r="B105" s="4" t="n"/>
      <c r="C105" s="5">
        <f>IF(B105="","",IFERROR(INDEX(EqTypeCol,MATCH(B105,EqTag,0)),"Tag not in register"))</f>
        <v/>
      </c>
      <c r="D105" s="4" t="n"/>
      <c r="E105" s="4" t="n"/>
      <c r="F105" s="4" t="n"/>
      <c r="G105" s="4" t="n"/>
      <c r="H105" s="4" t="n"/>
      <c r="I105" s="4" t="n"/>
      <c r="J105" s="5">
        <f>_xlfn.TEXTJOIN(CHAR(10),TRUE,IF(G105="","","• "&amp;G105),IF(H105="","","• "&amp;H105),IF(I105="","","• "&amp;I105))</f>
        <v/>
      </c>
      <c r="K105" s="4" t="n"/>
      <c r="L105" s="4" t="n"/>
      <c r="M105" s="4" t="n"/>
      <c r="N105" s="16" t="n"/>
      <c r="O105" s="4" t="n"/>
      <c r="P105" s="16" t="n"/>
      <c r="Q105" s="4" t="n"/>
      <c r="R105" s="16" t="n"/>
      <c r="S105" s="20">
        <f>IF(OR(N105="",P105="",R105=""),"",(--TRIM(LEFT(N105,2)))*(--TRIM(LEFT(P105,2)))*(--TRIM(LEFT(R105,2))))</f>
        <v/>
      </c>
      <c r="T105" s="20">
        <f>IF(OR(N105="",P105="",R105=""),"",INDEX(APGrid,COUNTIF(APS,"&gt;"&amp;(--TRIM(LEFT(N105,2))))*5+COUNTIF(APO,"&gt;"&amp;(--TRIM(LEFT(P105,2))))+1,COUNTIF(APD,"&gt;"&amp;(--TRIM(LEFT(R105,2))))+1))</f>
        <v/>
      </c>
      <c r="U105" s="20">
        <f>IF(S105="","",IF(OR((--TRIM(LEFT(N105,2)))&gt;=SThr,S105&gt;=RPNThr,T105="H"),"Yes","No"))</f>
        <v/>
      </c>
      <c r="V105" s="4" t="n"/>
      <c r="W105" s="4" t="n"/>
      <c r="X105" s="4" t="n"/>
      <c r="Y105" s="29" t="n"/>
      <c r="Z105" s="16" t="n"/>
      <c r="AA105" s="16" t="n"/>
      <c r="AB105" s="16" t="n"/>
      <c r="AC105" s="20">
        <f>IF(OR(Z105="",AA105="",AB105=""),"",(--TRIM(LEFT(Z105,2)))*(--TRIM(LEFT(AA105,2)))*(--TRIM(LEFT(AB105,2))))</f>
        <v/>
      </c>
      <c r="AD105" s="20">
        <f>IF(OR(Z105="",AA105="",AB105=""),"",INDEX(APGrid,COUNTIF(APS,"&gt;"&amp;(--TRIM(LEFT(Z105,2))))*5+COUNTIF(APO,"&gt;"&amp;(--TRIM(LEFT(AA105,2))))+1,COUNTIF(APD,"&gt;"&amp;(--TRIM(LEFT(AB105,2))))+1))</f>
        <v/>
      </c>
      <c r="AE105" s="4" t="n"/>
      <c r="AF105" s="4" t="n"/>
      <c r="AH105">
        <f>IFERROR(INDEX(EqTag,_xlfn.AGGREGATE(15,6,(ROW(EqTag)-4)/((EqSys=$D$3)*(EqTag&lt;&gt;"")),ROWS($AH$14:AH105))),"")</f>
        <v/>
      </c>
    </row>
    <row r="106">
      <c r="A106" s="20">
        <f>IF(F106="","",LEFT($D$3,3)&amp;"-"&amp;TEXT(COUNTIF(F$14:F106,"?*"),"00"))</f>
        <v/>
      </c>
      <c r="B106" s="4" t="n"/>
      <c r="C106" s="5">
        <f>IF(B106="","",IFERROR(INDEX(EqTypeCol,MATCH(B106,EqTag,0)),"Tag not in register"))</f>
        <v/>
      </c>
      <c r="D106" s="4" t="n"/>
      <c r="E106" s="4" t="n"/>
      <c r="F106" s="4" t="n"/>
      <c r="G106" s="4" t="n"/>
      <c r="H106" s="4" t="n"/>
      <c r="I106" s="4" t="n"/>
      <c r="J106" s="5">
        <f>_xlfn.TEXTJOIN(CHAR(10),TRUE,IF(G106="","","• "&amp;G106),IF(H106="","","• "&amp;H106),IF(I106="","","• "&amp;I106))</f>
        <v/>
      </c>
      <c r="K106" s="4" t="n"/>
      <c r="L106" s="4" t="n"/>
      <c r="M106" s="4" t="n"/>
      <c r="N106" s="16" t="n"/>
      <c r="O106" s="4" t="n"/>
      <c r="P106" s="16" t="n"/>
      <c r="Q106" s="4" t="n"/>
      <c r="R106" s="16" t="n"/>
      <c r="S106" s="20">
        <f>IF(OR(N106="",P106="",R106=""),"",(--TRIM(LEFT(N106,2)))*(--TRIM(LEFT(P106,2)))*(--TRIM(LEFT(R106,2))))</f>
        <v/>
      </c>
      <c r="T106" s="20">
        <f>IF(OR(N106="",P106="",R106=""),"",INDEX(APGrid,COUNTIF(APS,"&gt;"&amp;(--TRIM(LEFT(N106,2))))*5+COUNTIF(APO,"&gt;"&amp;(--TRIM(LEFT(P106,2))))+1,COUNTIF(APD,"&gt;"&amp;(--TRIM(LEFT(R106,2))))+1))</f>
        <v/>
      </c>
      <c r="U106" s="20">
        <f>IF(S106="","",IF(OR((--TRIM(LEFT(N106,2)))&gt;=SThr,S106&gt;=RPNThr,T106="H"),"Yes","No"))</f>
        <v/>
      </c>
      <c r="V106" s="4" t="n"/>
      <c r="W106" s="4" t="n"/>
      <c r="X106" s="4" t="n"/>
      <c r="Y106" s="29" t="n"/>
      <c r="Z106" s="16" t="n"/>
      <c r="AA106" s="16" t="n"/>
      <c r="AB106" s="16" t="n"/>
      <c r="AC106" s="20">
        <f>IF(OR(Z106="",AA106="",AB106=""),"",(--TRIM(LEFT(Z106,2)))*(--TRIM(LEFT(AA106,2)))*(--TRIM(LEFT(AB106,2))))</f>
        <v/>
      </c>
      <c r="AD106" s="20">
        <f>IF(OR(Z106="",AA106="",AB106=""),"",INDEX(APGrid,COUNTIF(APS,"&gt;"&amp;(--TRIM(LEFT(Z106,2))))*5+COUNTIF(APO,"&gt;"&amp;(--TRIM(LEFT(AA106,2))))+1,COUNTIF(APD,"&gt;"&amp;(--TRIM(LEFT(AB106,2))))+1))</f>
        <v/>
      </c>
      <c r="AE106" s="4" t="n"/>
      <c r="AF106" s="4" t="n"/>
      <c r="AH106">
        <f>IFERROR(INDEX(EqTag,_xlfn.AGGREGATE(15,6,(ROW(EqTag)-4)/((EqSys=$D$3)*(EqTag&lt;&gt;"")),ROWS($AH$14:AH106))),"")</f>
        <v/>
      </c>
    </row>
    <row r="107">
      <c r="A107" s="20">
        <f>IF(F107="","",LEFT($D$3,3)&amp;"-"&amp;TEXT(COUNTIF(F$14:F107,"?*"),"00"))</f>
        <v/>
      </c>
      <c r="B107" s="4" t="n"/>
      <c r="C107" s="5">
        <f>IF(B107="","",IFERROR(INDEX(EqTypeCol,MATCH(B107,EqTag,0)),"Tag not in register"))</f>
        <v/>
      </c>
      <c r="D107" s="4" t="n"/>
      <c r="E107" s="4" t="n"/>
      <c r="F107" s="4" t="n"/>
      <c r="G107" s="4" t="n"/>
      <c r="H107" s="4" t="n"/>
      <c r="I107" s="4" t="n"/>
      <c r="J107" s="5">
        <f>_xlfn.TEXTJOIN(CHAR(10),TRUE,IF(G107="","","• "&amp;G107),IF(H107="","","• "&amp;H107),IF(I107="","","• "&amp;I107))</f>
        <v/>
      </c>
      <c r="K107" s="4" t="n"/>
      <c r="L107" s="4" t="n"/>
      <c r="M107" s="4" t="n"/>
      <c r="N107" s="16" t="n"/>
      <c r="O107" s="4" t="n"/>
      <c r="P107" s="16" t="n"/>
      <c r="Q107" s="4" t="n"/>
      <c r="R107" s="16" t="n"/>
      <c r="S107" s="20">
        <f>IF(OR(N107="",P107="",R107=""),"",(--TRIM(LEFT(N107,2)))*(--TRIM(LEFT(P107,2)))*(--TRIM(LEFT(R107,2))))</f>
        <v/>
      </c>
      <c r="T107" s="20">
        <f>IF(OR(N107="",P107="",R107=""),"",INDEX(APGrid,COUNTIF(APS,"&gt;"&amp;(--TRIM(LEFT(N107,2))))*5+COUNTIF(APO,"&gt;"&amp;(--TRIM(LEFT(P107,2))))+1,COUNTIF(APD,"&gt;"&amp;(--TRIM(LEFT(R107,2))))+1))</f>
        <v/>
      </c>
      <c r="U107" s="20">
        <f>IF(S107="","",IF(OR((--TRIM(LEFT(N107,2)))&gt;=SThr,S107&gt;=RPNThr,T107="H"),"Yes","No"))</f>
        <v/>
      </c>
      <c r="V107" s="4" t="n"/>
      <c r="W107" s="4" t="n"/>
      <c r="X107" s="4" t="n"/>
      <c r="Y107" s="29" t="n"/>
      <c r="Z107" s="16" t="n"/>
      <c r="AA107" s="16" t="n"/>
      <c r="AB107" s="16" t="n"/>
      <c r="AC107" s="20">
        <f>IF(OR(Z107="",AA107="",AB107=""),"",(--TRIM(LEFT(Z107,2)))*(--TRIM(LEFT(AA107,2)))*(--TRIM(LEFT(AB107,2))))</f>
        <v/>
      </c>
      <c r="AD107" s="20">
        <f>IF(OR(Z107="",AA107="",AB107=""),"",INDEX(APGrid,COUNTIF(APS,"&gt;"&amp;(--TRIM(LEFT(Z107,2))))*5+COUNTIF(APO,"&gt;"&amp;(--TRIM(LEFT(AA107,2))))+1,COUNTIF(APD,"&gt;"&amp;(--TRIM(LEFT(AB107,2))))+1))</f>
        <v/>
      </c>
      <c r="AE107" s="4" t="n"/>
      <c r="AF107" s="4" t="n"/>
      <c r="AH107">
        <f>IFERROR(INDEX(EqTag,_xlfn.AGGREGATE(15,6,(ROW(EqTag)-4)/((EqSys=$D$3)*(EqTag&lt;&gt;"")),ROWS($AH$14:AH107))),"")</f>
        <v/>
      </c>
    </row>
    <row r="108">
      <c r="A108" s="20">
        <f>IF(F108="","",LEFT($D$3,3)&amp;"-"&amp;TEXT(COUNTIF(F$14:F108,"?*"),"00"))</f>
        <v/>
      </c>
      <c r="B108" s="4" t="n"/>
      <c r="C108" s="5">
        <f>IF(B108="","",IFERROR(INDEX(EqTypeCol,MATCH(B108,EqTag,0)),"Tag not in register"))</f>
        <v/>
      </c>
      <c r="D108" s="4" t="n"/>
      <c r="E108" s="4" t="n"/>
      <c r="F108" s="4" t="n"/>
      <c r="G108" s="4" t="n"/>
      <c r="H108" s="4" t="n"/>
      <c r="I108" s="4" t="n"/>
      <c r="J108" s="5">
        <f>_xlfn.TEXTJOIN(CHAR(10),TRUE,IF(G108="","","• "&amp;G108),IF(H108="","","• "&amp;H108),IF(I108="","","• "&amp;I108))</f>
        <v/>
      </c>
      <c r="K108" s="4" t="n"/>
      <c r="L108" s="4" t="n"/>
      <c r="M108" s="4" t="n"/>
      <c r="N108" s="16" t="n"/>
      <c r="O108" s="4" t="n"/>
      <c r="P108" s="16" t="n"/>
      <c r="Q108" s="4" t="n"/>
      <c r="R108" s="16" t="n"/>
      <c r="S108" s="20">
        <f>IF(OR(N108="",P108="",R108=""),"",(--TRIM(LEFT(N108,2)))*(--TRIM(LEFT(P108,2)))*(--TRIM(LEFT(R108,2))))</f>
        <v/>
      </c>
      <c r="T108" s="20">
        <f>IF(OR(N108="",P108="",R108=""),"",INDEX(APGrid,COUNTIF(APS,"&gt;"&amp;(--TRIM(LEFT(N108,2))))*5+COUNTIF(APO,"&gt;"&amp;(--TRIM(LEFT(P108,2))))+1,COUNTIF(APD,"&gt;"&amp;(--TRIM(LEFT(R108,2))))+1))</f>
        <v/>
      </c>
      <c r="U108" s="20">
        <f>IF(S108="","",IF(OR((--TRIM(LEFT(N108,2)))&gt;=SThr,S108&gt;=RPNThr,T108="H"),"Yes","No"))</f>
        <v/>
      </c>
      <c r="V108" s="4" t="n"/>
      <c r="W108" s="4" t="n"/>
      <c r="X108" s="4" t="n"/>
      <c r="Y108" s="29" t="n"/>
      <c r="Z108" s="16" t="n"/>
      <c r="AA108" s="16" t="n"/>
      <c r="AB108" s="16" t="n"/>
      <c r="AC108" s="20">
        <f>IF(OR(Z108="",AA108="",AB108=""),"",(--TRIM(LEFT(Z108,2)))*(--TRIM(LEFT(AA108,2)))*(--TRIM(LEFT(AB108,2))))</f>
        <v/>
      </c>
      <c r="AD108" s="20">
        <f>IF(OR(Z108="",AA108="",AB108=""),"",INDEX(APGrid,COUNTIF(APS,"&gt;"&amp;(--TRIM(LEFT(Z108,2))))*5+COUNTIF(APO,"&gt;"&amp;(--TRIM(LEFT(AA108,2))))+1,COUNTIF(APD,"&gt;"&amp;(--TRIM(LEFT(AB108,2))))+1))</f>
        <v/>
      </c>
      <c r="AE108" s="4" t="n"/>
      <c r="AF108" s="4" t="n"/>
      <c r="AH108">
        <f>IFERROR(INDEX(EqTag,_xlfn.AGGREGATE(15,6,(ROW(EqTag)-4)/((EqSys=$D$3)*(EqTag&lt;&gt;"")),ROWS($AH$14:AH108))),"")</f>
        <v/>
      </c>
    </row>
    <row r="109">
      <c r="A109" s="20">
        <f>IF(F109="","",LEFT($D$3,3)&amp;"-"&amp;TEXT(COUNTIF(F$14:F109,"?*"),"00"))</f>
        <v/>
      </c>
      <c r="B109" s="4" t="n"/>
      <c r="C109" s="5">
        <f>IF(B109="","",IFERROR(INDEX(EqTypeCol,MATCH(B109,EqTag,0)),"Tag not in register"))</f>
        <v/>
      </c>
      <c r="D109" s="4" t="n"/>
      <c r="E109" s="4" t="n"/>
      <c r="F109" s="4" t="n"/>
      <c r="G109" s="4" t="n"/>
      <c r="H109" s="4" t="n"/>
      <c r="I109" s="4" t="n"/>
      <c r="J109" s="5">
        <f>_xlfn.TEXTJOIN(CHAR(10),TRUE,IF(G109="","","• "&amp;G109),IF(H109="","","• "&amp;H109),IF(I109="","","• "&amp;I109))</f>
        <v/>
      </c>
      <c r="K109" s="4" t="n"/>
      <c r="L109" s="4" t="n"/>
      <c r="M109" s="4" t="n"/>
      <c r="N109" s="16" t="n"/>
      <c r="O109" s="4" t="n"/>
      <c r="P109" s="16" t="n"/>
      <c r="Q109" s="4" t="n"/>
      <c r="R109" s="16" t="n"/>
      <c r="S109" s="20">
        <f>IF(OR(N109="",P109="",R109=""),"",(--TRIM(LEFT(N109,2)))*(--TRIM(LEFT(P109,2)))*(--TRIM(LEFT(R109,2))))</f>
        <v/>
      </c>
      <c r="T109" s="20">
        <f>IF(OR(N109="",P109="",R109=""),"",INDEX(APGrid,COUNTIF(APS,"&gt;"&amp;(--TRIM(LEFT(N109,2))))*5+COUNTIF(APO,"&gt;"&amp;(--TRIM(LEFT(P109,2))))+1,COUNTIF(APD,"&gt;"&amp;(--TRIM(LEFT(R109,2))))+1))</f>
        <v/>
      </c>
      <c r="U109" s="20">
        <f>IF(S109="","",IF(OR((--TRIM(LEFT(N109,2)))&gt;=SThr,S109&gt;=RPNThr,T109="H"),"Yes","No"))</f>
        <v/>
      </c>
      <c r="V109" s="4" t="n"/>
      <c r="W109" s="4" t="n"/>
      <c r="X109" s="4" t="n"/>
      <c r="Y109" s="29" t="n"/>
      <c r="Z109" s="16" t="n"/>
      <c r="AA109" s="16" t="n"/>
      <c r="AB109" s="16" t="n"/>
      <c r="AC109" s="20">
        <f>IF(OR(Z109="",AA109="",AB109=""),"",(--TRIM(LEFT(Z109,2)))*(--TRIM(LEFT(AA109,2)))*(--TRIM(LEFT(AB109,2))))</f>
        <v/>
      </c>
      <c r="AD109" s="20">
        <f>IF(OR(Z109="",AA109="",AB109=""),"",INDEX(APGrid,COUNTIF(APS,"&gt;"&amp;(--TRIM(LEFT(Z109,2))))*5+COUNTIF(APO,"&gt;"&amp;(--TRIM(LEFT(AA109,2))))+1,COUNTIF(APD,"&gt;"&amp;(--TRIM(LEFT(AB109,2))))+1))</f>
        <v/>
      </c>
      <c r="AE109" s="4" t="n"/>
      <c r="AF109" s="4" t="n"/>
      <c r="AH109">
        <f>IFERROR(INDEX(EqTag,_xlfn.AGGREGATE(15,6,(ROW(EqTag)-4)/((EqSys=$D$3)*(EqTag&lt;&gt;"")),ROWS($AH$14:AH109))),"")</f>
        <v/>
      </c>
    </row>
    <row r="110">
      <c r="A110" s="20">
        <f>IF(F110="","",LEFT($D$3,3)&amp;"-"&amp;TEXT(COUNTIF(F$14:F110,"?*"),"00"))</f>
        <v/>
      </c>
      <c r="B110" s="4" t="n"/>
      <c r="C110" s="5">
        <f>IF(B110="","",IFERROR(INDEX(EqTypeCol,MATCH(B110,EqTag,0)),"Tag not in register"))</f>
        <v/>
      </c>
      <c r="D110" s="4" t="n"/>
      <c r="E110" s="4" t="n"/>
      <c r="F110" s="4" t="n"/>
      <c r="G110" s="4" t="n"/>
      <c r="H110" s="4" t="n"/>
      <c r="I110" s="4" t="n"/>
      <c r="J110" s="5">
        <f>_xlfn.TEXTJOIN(CHAR(10),TRUE,IF(G110="","","• "&amp;G110),IF(H110="","","• "&amp;H110),IF(I110="","","• "&amp;I110))</f>
        <v/>
      </c>
      <c r="K110" s="4" t="n"/>
      <c r="L110" s="4" t="n"/>
      <c r="M110" s="4" t="n"/>
      <c r="N110" s="16" t="n"/>
      <c r="O110" s="4" t="n"/>
      <c r="P110" s="16" t="n"/>
      <c r="Q110" s="4" t="n"/>
      <c r="R110" s="16" t="n"/>
      <c r="S110" s="20">
        <f>IF(OR(N110="",P110="",R110=""),"",(--TRIM(LEFT(N110,2)))*(--TRIM(LEFT(P110,2)))*(--TRIM(LEFT(R110,2))))</f>
        <v/>
      </c>
      <c r="T110" s="20">
        <f>IF(OR(N110="",P110="",R110=""),"",INDEX(APGrid,COUNTIF(APS,"&gt;"&amp;(--TRIM(LEFT(N110,2))))*5+COUNTIF(APO,"&gt;"&amp;(--TRIM(LEFT(P110,2))))+1,COUNTIF(APD,"&gt;"&amp;(--TRIM(LEFT(R110,2))))+1))</f>
        <v/>
      </c>
      <c r="U110" s="20">
        <f>IF(S110="","",IF(OR((--TRIM(LEFT(N110,2)))&gt;=SThr,S110&gt;=RPNThr,T110="H"),"Yes","No"))</f>
        <v/>
      </c>
      <c r="V110" s="4" t="n"/>
      <c r="W110" s="4" t="n"/>
      <c r="X110" s="4" t="n"/>
      <c r="Y110" s="29" t="n"/>
      <c r="Z110" s="16" t="n"/>
      <c r="AA110" s="16" t="n"/>
      <c r="AB110" s="16" t="n"/>
      <c r="AC110" s="20">
        <f>IF(OR(Z110="",AA110="",AB110=""),"",(--TRIM(LEFT(Z110,2)))*(--TRIM(LEFT(AA110,2)))*(--TRIM(LEFT(AB110,2))))</f>
        <v/>
      </c>
      <c r="AD110" s="20">
        <f>IF(OR(Z110="",AA110="",AB110=""),"",INDEX(APGrid,COUNTIF(APS,"&gt;"&amp;(--TRIM(LEFT(Z110,2))))*5+COUNTIF(APO,"&gt;"&amp;(--TRIM(LEFT(AA110,2))))+1,COUNTIF(APD,"&gt;"&amp;(--TRIM(LEFT(AB110,2))))+1))</f>
        <v/>
      </c>
      <c r="AE110" s="4" t="n"/>
      <c r="AF110" s="4" t="n"/>
      <c r="AH110">
        <f>IFERROR(INDEX(EqTag,_xlfn.AGGREGATE(15,6,(ROW(EqTag)-4)/((EqSys=$D$3)*(EqTag&lt;&gt;"")),ROWS($AH$14:AH110))),"")</f>
        <v/>
      </c>
    </row>
    <row r="111">
      <c r="A111" s="20">
        <f>IF(F111="","",LEFT($D$3,3)&amp;"-"&amp;TEXT(COUNTIF(F$14:F111,"?*"),"00"))</f>
        <v/>
      </c>
      <c r="B111" s="4" t="n"/>
      <c r="C111" s="5">
        <f>IF(B111="","",IFERROR(INDEX(EqTypeCol,MATCH(B111,EqTag,0)),"Tag not in register"))</f>
        <v/>
      </c>
      <c r="D111" s="4" t="n"/>
      <c r="E111" s="4" t="n"/>
      <c r="F111" s="4" t="n"/>
      <c r="G111" s="4" t="n"/>
      <c r="H111" s="4" t="n"/>
      <c r="I111" s="4" t="n"/>
      <c r="J111" s="5">
        <f>_xlfn.TEXTJOIN(CHAR(10),TRUE,IF(G111="","","• "&amp;G111),IF(H111="","","• "&amp;H111),IF(I111="","","• "&amp;I111))</f>
        <v/>
      </c>
      <c r="K111" s="4" t="n"/>
      <c r="L111" s="4" t="n"/>
      <c r="M111" s="4" t="n"/>
      <c r="N111" s="16" t="n"/>
      <c r="O111" s="4" t="n"/>
      <c r="P111" s="16" t="n"/>
      <c r="Q111" s="4" t="n"/>
      <c r="R111" s="16" t="n"/>
      <c r="S111" s="20">
        <f>IF(OR(N111="",P111="",R111=""),"",(--TRIM(LEFT(N111,2)))*(--TRIM(LEFT(P111,2)))*(--TRIM(LEFT(R111,2))))</f>
        <v/>
      </c>
      <c r="T111" s="20">
        <f>IF(OR(N111="",P111="",R111=""),"",INDEX(APGrid,COUNTIF(APS,"&gt;"&amp;(--TRIM(LEFT(N111,2))))*5+COUNTIF(APO,"&gt;"&amp;(--TRIM(LEFT(P111,2))))+1,COUNTIF(APD,"&gt;"&amp;(--TRIM(LEFT(R111,2))))+1))</f>
        <v/>
      </c>
      <c r="U111" s="20">
        <f>IF(S111="","",IF(OR((--TRIM(LEFT(N111,2)))&gt;=SThr,S111&gt;=RPNThr,T111="H"),"Yes","No"))</f>
        <v/>
      </c>
      <c r="V111" s="4" t="n"/>
      <c r="W111" s="4" t="n"/>
      <c r="X111" s="4" t="n"/>
      <c r="Y111" s="29" t="n"/>
      <c r="Z111" s="16" t="n"/>
      <c r="AA111" s="16" t="n"/>
      <c r="AB111" s="16" t="n"/>
      <c r="AC111" s="20">
        <f>IF(OR(Z111="",AA111="",AB111=""),"",(--TRIM(LEFT(Z111,2)))*(--TRIM(LEFT(AA111,2)))*(--TRIM(LEFT(AB111,2))))</f>
        <v/>
      </c>
      <c r="AD111" s="20">
        <f>IF(OR(Z111="",AA111="",AB111=""),"",INDEX(APGrid,COUNTIF(APS,"&gt;"&amp;(--TRIM(LEFT(Z111,2))))*5+COUNTIF(APO,"&gt;"&amp;(--TRIM(LEFT(AA111,2))))+1,COUNTIF(APD,"&gt;"&amp;(--TRIM(LEFT(AB111,2))))+1))</f>
        <v/>
      </c>
      <c r="AE111" s="4" t="n"/>
      <c r="AF111" s="4" t="n"/>
      <c r="AH111">
        <f>IFERROR(INDEX(EqTag,_xlfn.AGGREGATE(15,6,(ROW(EqTag)-4)/((EqSys=$D$3)*(EqTag&lt;&gt;"")),ROWS($AH$14:AH111))),"")</f>
        <v/>
      </c>
    </row>
    <row r="112">
      <c r="A112" s="20">
        <f>IF(F112="","",LEFT($D$3,3)&amp;"-"&amp;TEXT(COUNTIF(F$14:F112,"?*"),"00"))</f>
        <v/>
      </c>
      <c r="B112" s="4" t="n"/>
      <c r="C112" s="5">
        <f>IF(B112="","",IFERROR(INDEX(EqTypeCol,MATCH(B112,EqTag,0)),"Tag not in register"))</f>
        <v/>
      </c>
      <c r="D112" s="4" t="n"/>
      <c r="E112" s="4" t="n"/>
      <c r="F112" s="4" t="n"/>
      <c r="G112" s="4" t="n"/>
      <c r="H112" s="4" t="n"/>
      <c r="I112" s="4" t="n"/>
      <c r="J112" s="5">
        <f>_xlfn.TEXTJOIN(CHAR(10),TRUE,IF(G112="","","• "&amp;G112),IF(H112="","","• "&amp;H112),IF(I112="","","• "&amp;I112))</f>
        <v/>
      </c>
      <c r="K112" s="4" t="n"/>
      <c r="L112" s="4" t="n"/>
      <c r="M112" s="4" t="n"/>
      <c r="N112" s="16" t="n"/>
      <c r="O112" s="4" t="n"/>
      <c r="P112" s="16" t="n"/>
      <c r="Q112" s="4" t="n"/>
      <c r="R112" s="16" t="n"/>
      <c r="S112" s="20">
        <f>IF(OR(N112="",P112="",R112=""),"",(--TRIM(LEFT(N112,2)))*(--TRIM(LEFT(P112,2)))*(--TRIM(LEFT(R112,2))))</f>
        <v/>
      </c>
      <c r="T112" s="20">
        <f>IF(OR(N112="",P112="",R112=""),"",INDEX(APGrid,COUNTIF(APS,"&gt;"&amp;(--TRIM(LEFT(N112,2))))*5+COUNTIF(APO,"&gt;"&amp;(--TRIM(LEFT(P112,2))))+1,COUNTIF(APD,"&gt;"&amp;(--TRIM(LEFT(R112,2))))+1))</f>
        <v/>
      </c>
      <c r="U112" s="20">
        <f>IF(S112="","",IF(OR((--TRIM(LEFT(N112,2)))&gt;=SThr,S112&gt;=RPNThr,T112="H"),"Yes","No"))</f>
        <v/>
      </c>
      <c r="V112" s="4" t="n"/>
      <c r="W112" s="4" t="n"/>
      <c r="X112" s="4" t="n"/>
      <c r="Y112" s="29" t="n"/>
      <c r="Z112" s="16" t="n"/>
      <c r="AA112" s="16" t="n"/>
      <c r="AB112" s="16" t="n"/>
      <c r="AC112" s="20">
        <f>IF(OR(Z112="",AA112="",AB112=""),"",(--TRIM(LEFT(Z112,2)))*(--TRIM(LEFT(AA112,2)))*(--TRIM(LEFT(AB112,2))))</f>
        <v/>
      </c>
      <c r="AD112" s="20">
        <f>IF(OR(Z112="",AA112="",AB112=""),"",INDEX(APGrid,COUNTIF(APS,"&gt;"&amp;(--TRIM(LEFT(Z112,2))))*5+COUNTIF(APO,"&gt;"&amp;(--TRIM(LEFT(AA112,2))))+1,COUNTIF(APD,"&gt;"&amp;(--TRIM(LEFT(AB112,2))))+1))</f>
        <v/>
      </c>
      <c r="AE112" s="4" t="n"/>
      <c r="AF112" s="4" t="n"/>
      <c r="AH112">
        <f>IFERROR(INDEX(EqTag,_xlfn.AGGREGATE(15,6,(ROW(EqTag)-4)/((EqSys=$D$3)*(EqTag&lt;&gt;"")),ROWS($AH$14:AH112))),"")</f>
        <v/>
      </c>
    </row>
    <row r="113">
      <c r="A113" s="20">
        <f>IF(F113="","",LEFT($D$3,3)&amp;"-"&amp;TEXT(COUNTIF(F$14:F113,"?*"),"00"))</f>
        <v/>
      </c>
      <c r="B113" s="4" t="n"/>
      <c r="C113" s="5">
        <f>IF(B113="","",IFERROR(INDEX(EqTypeCol,MATCH(B113,EqTag,0)),"Tag not in register"))</f>
        <v/>
      </c>
      <c r="D113" s="4" t="n"/>
      <c r="E113" s="4" t="n"/>
      <c r="F113" s="4" t="n"/>
      <c r="G113" s="4" t="n"/>
      <c r="H113" s="4" t="n"/>
      <c r="I113" s="4" t="n"/>
      <c r="J113" s="5">
        <f>_xlfn.TEXTJOIN(CHAR(10),TRUE,IF(G113="","","• "&amp;G113),IF(H113="","","• "&amp;H113),IF(I113="","","• "&amp;I113))</f>
        <v/>
      </c>
      <c r="K113" s="4" t="n"/>
      <c r="L113" s="4" t="n"/>
      <c r="M113" s="4" t="n"/>
      <c r="N113" s="16" t="n"/>
      <c r="O113" s="4" t="n"/>
      <c r="P113" s="16" t="n"/>
      <c r="Q113" s="4" t="n"/>
      <c r="R113" s="16" t="n"/>
      <c r="S113" s="20">
        <f>IF(OR(N113="",P113="",R113=""),"",(--TRIM(LEFT(N113,2)))*(--TRIM(LEFT(P113,2)))*(--TRIM(LEFT(R113,2))))</f>
        <v/>
      </c>
      <c r="T113" s="20">
        <f>IF(OR(N113="",P113="",R113=""),"",INDEX(APGrid,COUNTIF(APS,"&gt;"&amp;(--TRIM(LEFT(N113,2))))*5+COUNTIF(APO,"&gt;"&amp;(--TRIM(LEFT(P113,2))))+1,COUNTIF(APD,"&gt;"&amp;(--TRIM(LEFT(R113,2))))+1))</f>
        <v/>
      </c>
      <c r="U113" s="20">
        <f>IF(S113="","",IF(OR((--TRIM(LEFT(N113,2)))&gt;=SThr,S113&gt;=RPNThr,T113="H"),"Yes","No"))</f>
        <v/>
      </c>
      <c r="V113" s="4" t="n"/>
      <c r="W113" s="4" t="n"/>
      <c r="X113" s="4" t="n"/>
      <c r="Y113" s="29" t="n"/>
      <c r="Z113" s="16" t="n"/>
      <c r="AA113" s="16" t="n"/>
      <c r="AB113" s="16" t="n"/>
      <c r="AC113" s="20">
        <f>IF(OR(Z113="",AA113="",AB113=""),"",(--TRIM(LEFT(Z113,2)))*(--TRIM(LEFT(AA113,2)))*(--TRIM(LEFT(AB113,2))))</f>
        <v/>
      </c>
      <c r="AD113" s="20">
        <f>IF(OR(Z113="",AA113="",AB113=""),"",INDEX(APGrid,COUNTIF(APS,"&gt;"&amp;(--TRIM(LEFT(Z113,2))))*5+COUNTIF(APO,"&gt;"&amp;(--TRIM(LEFT(AA113,2))))+1,COUNTIF(APD,"&gt;"&amp;(--TRIM(LEFT(AB113,2))))+1))</f>
        <v/>
      </c>
      <c r="AE113" s="4" t="n"/>
      <c r="AF113" s="4" t="n"/>
      <c r="AH113">
        <f>IFERROR(INDEX(EqTag,_xlfn.AGGREGATE(15,6,(ROW(EqTag)-4)/((EqSys=$D$3)*(EqTag&lt;&gt;"")),ROWS($AH$14:AH113))),"")</f>
        <v/>
      </c>
    </row>
  </sheetData>
  <mergeCells count="23">
    <mergeCell ref="D3:J3"/>
    <mergeCell ref="J12:M12"/>
    <mergeCell ref="A3:C3"/>
    <mergeCell ref="A11:N11"/>
    <mergeCell ref="A12:F12"/>
    <mergeCell ref="L3:M3"/>
    <mergeCell ref="AE12:AF12"/>
    <mergeCell ref="D6:N6"/>
    <mergeCell ref="A5:C5"/>
    <mergeCell ref="N12:U12"/>
    <mergeCell ref="A8:C8"/>
    <mergeCell ref="V12:Y12"/>
    <mergeCell ref="A4:C4"/>
    <mergeCell ref="Z12:AD12"/>
    <mergeCell ref="D7:N7"/>
    <mergeCell ref="A9:C9"/>
    <mergeCell ref="G12:I12"/>
    <mergeCell ref="D4:N4"/>
    <mergeCell ref="D9:N9"/>
    <mergeCell ref="D8:N8"/>
    <mergeCell ref="A6:C6"/>
    <mergeCell ref="D5:N5"/>
    <mergeCell ref="A7:C7"/>
  </mergeCells>
  <conditionalFormatting sqref="T14:T113">
    <cfRule type="expression" priority="1" dxfId="0">
      <formula>T14="H"</formula>
    </cfRule>
    <cfRule type="expression" priority="3" dxfId="1">
      <formula>T14="M"</formula>
    </cfRule>
    <cfRule type="expression" priority="5" dxfId="2">
      <formula>T14="L"</formula>
    </cfRule>
  </conditionalFormatting>
  <conditionalFormatting sqref="AD14:AD113">
    <cfRule type="expression" priority="2" dxfId="0">
      <formula>AD14="H"</formula>
    </cfRule>
    <cfRule type="expression" priority="4" dxfId="1">
      <formula>AD14="M"</formula>
    </cfRule>
    <cfRule type="expression" priority="6" dxfId="2">
      <formula>AD14="L"</formula>
    </cfRule>
  </conditionalFormatting>
  <conditionalFormatting sqref="U14:U113">
    <cfRule type="expression" priority="7" dxfId="3">
      <formula>U14="Yes"</formula>
    </cfRule>
  </conditionalFormatting>
  <conditionalFormatting sqref="S14:S113">
    <cfRule type="expression" priority="8" dxfId="4">
      <formula>AND(ISNUMBER(S14),S14&gt;=RPNThr)</formula>
    </cfRule>
  </conditionalFormatting>
  <conditionalFormatting sqref="AC14:AC113">
    <cfRule type="expression" priority="9" dxfId="4">
      <formula>AND(ISNUMBER(AC14),AC14&gt;=RPNThr)</formula>
    </cfRule>
  </conditionalFormatting>
  <dataValidations count="13">
    <dataValidation sqref="D3" showDropDown="0" showInputMessage="1" showErrorMessage="1" allowBlank="1" promptTitle="Select" prompt="Choose the system analysed on this sheet" type="list">
      <formula1>=SystemList</formula1>
    </dataValidation>
    <dataValidation sqref="B14:B113" showDropDown="0" showInputMessage="1" showErrorMessage="1" allowBlank="1" errorTitle="Not in list" error="Entry is not in the list – it will be accepted as free text." promptTitle="Select" prompt="Equipment tags of the selected system (from the Equipment Register)" type="list" errorStyle="information">
      <formula1>=OFFSET($AH$14,0,0,MAX(1,COUNTIFS(EqSys,$D$3,EqTag,"?*")),1)</formula1>
    </dataValidation>
    <dataValidation sqref="D14:D113" showDropDown="0" showInputMessage="1" showErrorMessage="1" allowBlank="1" errorTitle="Not in list" error="Entry is not in the list – it will be accepted as free text." promptTitle="Select" prompt="Components for this equipment type – or type your own" type="list" errorStyle="information">
      <formula1>=OFFSET(CompStart,MATCH($C14,CompType,0)-1,0,MAX(1,COUNTIF(CompType,$C14)),1)</formula1>
    </dataValidation>
    <dataValidation sqref="F14:F113" showDropDown="0" showInputMessage="1" showErrorMessage="1" allowBlank="1" errorTitle="Not in list" error="Entry is not in the list – it will be accepted as free text." promptTitle="Select" prompt="Failure modes for this equipment type – or type your own" type="list" errorStyle="information">
      <formula1>=OFFSET(FMStart,MATCH($C14,FMType,0)-1,0,MAX(1,COUNTIF(FMType,$C14)),1)</formula1>
    </dataValidation>
    <dataValidation sqref="G14:I113" showDropDown="0" showInputMessage="1" showErrorMessage="1" allowBlank="1" errorTitle="Not in list" error="Entry is not in the list – it will be accepted as free text." promptTitle="Select" prompt="Failure cause / mechanism – or type your own" type="list" errorStyle="information">
      <formula1>=MechList</formula1>
    </dataValidation>
    <dataValidation sqref="Q14:Q113" showDropDown="0" showInputMessage="1" showErrorMessage="1" allowBlank="1" errorTitle="Not in list" error="Entry is not in the list – it will be accepted as free text." promptTitle="Select" prompt="Detection method – or type your own" type="list" errorStyle="information">
      <formula1>=DetList</formula1>
    </dataValidation>
    <dataValidation sqref="W14:W113" showDropDown="0" showInputMessage="0" showErrorMessage="1" allowBlank="1" errorTitle="Not in list" error="Entry is not in the list – it will be accepted as free text." type="list" errorStyle="information">
      <formula1>=TaskList</formula1>
    </dataValidation>
    <dataValidation sqref="N14:N113" showDropDown="0" showInputMessage="0" showErrorMessage="1" allowBlank="1" type="list">
      <formula1>=SevList</formula1>
    </dataValidation>
    <dataValidation sqref="P14:P113" showDropDown="0" showInputMessage="0" showErrorMessage="1" allowBlank="1" type="list">
      <formula1>=OccList</formula1>
    </dataValidation>
    <dataValidation sqref="R14:R113" showDropDown="0" showInputMessage="0" showErrorMessage="1" allowBlank="1" type="list">
      <formula1>=DetScaleList</formula1>
    </dataValidation>
    <dataValidation sqref="Z14:Z113" showDropDown="0" showInputMessage="0" showErrorMessage="1" allowBlank="1" type="list">
      <formula1>=SevList</formula1>
    </dataValidation>
    <dataValidation sqref="AA14:AA113" showDropDown="0" showInputMessage="0" showErrorMessage="1" allowBlank="1" type="list">
      <formula1>=OccList</formula1>
    </dataValidation>
    <dataValidation sqref="AB14:AB113" showDropDown="0" showInputMessage="0" showErrorMessage="1" allowBlank="1" type="list">
      <formula1>=DetScaleList</formula1>
    </dataValidation>
  </dataValidations>
  <pageMargins left="0.75" right="0.75" top="1" bottom="1" header="0.5" footer="0.5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H113"/>
  <sheetViews>
    <sheetView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22" customWidth="1" min="4" max="4"/>
    <col width="26" customWidth="1" min="5" max="5"/>
    <col width="26" customWidth="1" min="6" max="6"/>
    <col outlineLevel="1" width="26" customWidth="1" min="7" max="9"/>
    <col width="38" customWidth="1" min="10" max="10"/>
    <col width="28" customWidth="1" min="11" max="11"/>
    <col width="28" customWidth="1" min="12" max="12"/>
    <col width="32" customWidth="1" min="13" max="13"/>
    <col width="18" customWidth="1" min="14" max="14"/>
    <col width="30" customWidth="1" min="15" max="15"/>
    <col width="18" customWidth="1" min="16" max="16"/>
    <col width="28" customWidth="1" min="17" max="17"/>
    <col width="18" customWidth="1" min="18" max="18"/>
    <col width="7" customWidth="1" min="19" max="19"/>
    <col width="6" customWidth="1" min="20" max="20"/>
    <col width="9" customWidth="1" min="21" max="21"/>
    <col width="34" customWidth="1" min="22" max="22"/>
    <col width="22" customWidth="1" min="23" max="23"/>
    <col width="14" customWidth="1" min="24" max="24"/>
    <col width="12" customWidth="1" min="25" max="25"/>
    <col width="18" customWidth="1" min="26" max="26"/>
    <col width="18" customWidth="1" min="27" max="27"/>
    <col width="18" customWidth="1" min="28" max="28"/>
    <col width="7" customWidth="1" min="29" max="29"/>
    <col width="6" customWidth="1" min="30" max="30"/>
    <col width="12" customWidth="1" min="31" max="31"/>
    <col width="24" customWidth="1" min="32" max="32"/>
    <col hidden="1" width="13" customWidth="1" min="34" max="34"/>
  </cols>
  <sheetData>
    <row r="1">
      <c r="A1" s="22" t="inlineStr">
        <is>
          <t>FMECA WORKSHEET</t>
        </is>
      </c>
      <c r="F1" s="23">
        <f>Cover!B7</f>
        <v/>
      </c>
    </row>
    <row r="3">
      <c r="A3" s="24" t="inlineStr">
        <is>
          <t>Select system ▸</t>
        </is>
      </c>
      <c r="B3" s="8" t="n"/>
      <c r="C3" s="9" t="n"/>
      <c r="D3" s="25" t="n"/>
      <c r="K3" s="24" t="inlineStr">
        <is>
          <t>Session date</t>
        </is>
      </c>
      <c r="L3" s="13" t="n"/>
      <c r="N3" s="24" t="inlineStr">
        <is>
          <t>Equipment items</t>
        </is>
      </c>
      <c r="O3" s="20">
        <f>IF($D$3="","",COUNTIFS(EqSys,$D$3,EqTag,"?*"))</f>
        <v/>
      </c>
    </row>
    <row r="4" ht="16" customHeight="1">
      <c r="A4" s="10" t="inlineStr">
        <is>
          <t>System title</t>
        </is>
      </c>
      <c r="D4" s="6">
        <f>IF($D$3="","",IFERROR(INDEX(Systems!$B$5:$B$34,MATCH($D$3,Systems!$C$5:$C$34,0))&amp;"",""))</f>
        <v/>
      </c>
    </row>
    <row r="5" ht="30" customHeight="1">
      <c r="A5" s="10" t="inlineStr">
        <is>
          <t>Function / performance standard</t>
        </is>
      </c>
      <c r="D5" s="6">
        <f>IF($D$3="","",IFERROR(INDEX(Systems!$D$5:$D$34,MATCH($D$3,Systems!$C$5:$C$34,0))&amp;"",""))</f>
        <v/>
      </c>
    </row>
    <row r="6" ht="30" customHeight="1">
      <c r="A6" s="10" t="inlineStr">
        <is>
          <t>Operating context</t>
        </is>
      </c>
      <c r="D6" s="6">
        <f>IF($D$3="","",IFERROR(INDEX(Systems!$E$5:$E$34,MATCH($D$3,Systems!$C$5:$C$34,0))&amp;"",""))</f>
        <v/>
      </c>
    </row>
    <row r="7" ht="30" customHeight="1">
      <c r="A7" s="10" t="inlineStr">
        <is>
          <t>System boundaries</t>
        </is>
      </c>
      <c r="D7" s="6">
        <f>IF($D$3="","",IFERROR(INDEX(Systems!$F$5:$F$34,MATCH($D$3,Systems!$C$5:$C$34,0))&amp;"",""))</f>
        <v/>
      </c>
    </row>
    <row r="8" ht="16" customHeight="1">
      <c r="A8" s="10" t="inlineStr">
        <is>
          <t>P&amp;IDs / drawings</t>
        </is>
      </c>
      <c r="D8" s="6">
        <f>IF($D$3="","",IFERROR(INDEX(Systems!$G$5:$G$34,MATCH($D$3,Systems!$C$5:$C$34,0))&amp;"",""))</f>
        <v/>
      </c>
    </row>
    <row r="9" ht="16" customHeight="1">
      <c r="A9" s="10" t="inlineStr">
        <is>
          <t>Related HAZOP node(s)</t>
        </is>
      </c>
      <c r="D9" s="6">
        <f>IF($D$3="","",IFERROR(INDEX(Systems!$H$5:$H$34,MATCH($D$3,Systems!$C$5:$C$34,0))&amp;"",""))</f>
        <v/>
      </c>
    </row>
    <row r="11" ht="26" customHeight="1">
      <c r="A11" s="26" t="inlineStr">
        <is>
          <t>ONE ROW PER FAILURE MODE. Pick the equipment tag (tags of the selected system), component and failure mode; pick up to 3 causes (listed line by line in 'Failure causes / mechanisms'). Rate S, O, D – RPN, Action Priority and 'Action required?' are calculated. Rate again after the recommended action. Use the [–] button above the Cause columns to collapse them.</t>
        </is>
      </c>
    </row>
    <row r="12">
      <c r="A12" s="7" t="inlineStr">
        <is>
          <t>ITEM / FAILURE MODE</t>
        </is>
      </c>
      <c r="B12" s="27" t="n"/>
      <c r="C12" s="27" t="n"/>
      <c r="D12" s="27" t="n"/>
      <c r="E12" s="27" t="n"/>
      <c r="F12" s="27" t="n"/>
      <c r="G12" s="7" t="inlineStr">
        <is>
          <t>CAUSE PICK-LIST</t>
        </is>
      </c>
      <c r="H12" s="27" t="n"/>
      <c r="I12" s="27" t="n"/>
      <c r="J12" s="7" t="inlineStr">
        <is>
          <t>CAUSES &amp; EFFECTS</t>
        </is>
      </c>
      <c r="K12" s="27" t="n"/>
      <c r="L12" s="27" t="n"/>
      <c r="M12" s="27" t="n"/>
      <c r="N12" s="7" t="inlineStr">
        <is>
          <t>CRITICALITY – CURRENT</t>
        </is>
      </c>
      <c r="O12" s="27" t="n"/>
      <c r="P12" s="27" t="n"/>
      <c r="Q12" s="27" t="n"/>
      <c r="R12" s="27" t="n"/>
      <c r="S12" s="27" t="n"/>
      <c r="T12" s="27" t="n"/>
      <c r="U12" s="27" t="n"/>
      <c r="V12" s="7" t="inlineStr">
        <is>
          <t>RECOMMENDED ACTIONS</t>
        </is>
      </c>
      <c r="W12" s="27" t="n"/>
      <c r="X12" s="27" t="n"/>
      <c r="Y12" s="27" t="n"/>
      <c r="Z12" s="7" t="inlineStr">
        <is>
          <t>CRITICALITY – AFTER ACTION</t>
        </is>
      </c>
      <c r="AA12" s="27" t="n"/>
      <c r="AB12" s="27" t="n"/>
      <c r="AC12" s="27" t="n"/>
      <c r="AD12" s="27" t="n"/>
      <c r="AE12" s="7" t="inlineStr">
        <is>
          <t>LINKS</t>
        </is>
      </c>
      <c r="AF12" s="27" t="n"/>
    </row>
    <row r="13" ht="42" customHeight="1">
      <c r="A13" s="7" t="inlineStr">
        <is>
          <t>Ref</t>
        </is>
      </c>
      <c r="B13" s="7" t="inlineStr">
        <is>
          <t>Equipment tag</t>
        </is>
      </c>
      <c r="C13" s="7" t="inlineStr">
        <is>
          <t>Equipment type (auto)</t>
        </is>
      </c>
      <c r="D13" s="7" t="inlineStr">
        <is>
          <t>Component / maintainable item</t>
        </is>
      </c>
      <c r="E13" s="7" t="inlineStr">
        <is>
          <t>Function of item</t>
        </is>
      </c>
      <c r="F13" s="7" t="inlineStr">
        <is>
          <t>Failure mode</t>
        </is>
      </c>
      <c r="G13" s="28" t="inlineStr">
        <is>
          <t>Cause 1</t>
        </is>
      </c>
      <c r="H13" s="28" t="inlineStr">
        <is>
          <t>Cause 2</t>
        </is>
      </c>
      <c r="I13" s="28" t="inlineStr">
        <is>
          <t>Cause 3</t>
        </is>
      </c>
      <c r="J13" s="7" t="inlineStr">
        <is>
          <t>Failure causes / mechanisms</t>
        </is>
      </c>
      <c r="K13" s="7" t="inlineStr">
        <is>
          <t>Local effect</t>
        </is>
      </c>
      <c r="L13" s="7" t="inlineStr">
        <is>
          <t>System effect</t>
        </is>
      </c>
      <c r="M13" s="7" t="inlineStr">
        <is>
          <t>End effect (safety / environment / production)</t>
        </is>
      </c>
      <c r="N13" s="7" t="inlineStr">
        <is>
          <t>Severity (S)</t>
        </is>
      </c>
      <c r="O13" s="7" t="inlineStr">
        <is>
          <t>Current prevention controls</t>
        </is>
      </c>
      <c r="P13" s="7" t="inlineStr">
        <is>
          <t>Occurrence (O)</t>
        </is>
      </c>
      <c r="Q13" s="7" t="inlineStr">
        <is>
          <t>Current detection method</t>
        </is>
      </c>
      <c r="R13" s="7" t="inlineStr">
        <is>
          <t>Detection (D)</t>
        </is>
      </c>
      <c r="S13" s="7" t="inlineStr">
        <is>
          <t>RPN</t>
        </is>
      </c>
      <c r="T13" s="7" t="inlineStr">
        <is>
          <t>AP</t>
        </is>
      </c>
      <c r="U13" s="7" t="inlineStr">
        <is>
          <t>Action required?</t>
        </is>
      </c>
      <c r="V13" s="7" t="inlineStr">
        <is>
          <t>Recommended action</t>
        </is>
      </c>
      <c r="W13" s="7" t="inlineStr">
        <is>
          <t>Action / task type</t>
        </is>
      </c>
      <c r="X13" s="7" t="inlineStr">
        <is>
          <t>Action by</t>
        </is>
      </c>
      <c r="Y13" s="7" t="inlineStr">
        <is>
          <t>Due date</t>
        </is>
      </c>
      <c r="Z13" s="7" t="inlineStr">
        <is>
          <t>Severity (S)</t>
        </is>
      </c>
      <c r="AA13" s="7" t="inlineStr">
        <is>
          <t>Occurrence (O)</t>
        </is>
      </c>
      <c r="AB13" s="7" t="inlineStr">
        <is>
          <t>Detection (D)</t>
        </is>
      </c>
      <c r="AC13" s="7" t="inlineStr">
        <is>
          <t>RPN after</t>
        </is>
      </c>
      <c r="AD13" s="7" t="inlineStr">
        <is>
          <t>AP after</t>
        </is>
      </c>
      <c r="AE13" s="7" t="inlineStr">
        <is>
          <t>HAZOP ref.</t>
        </is>
      </c>
      <c r="AF13" s="7" t="inlineStr">
        <is>
          <t>Comments</t>
        </is>
      </c>
    </row>
    <row r="14">
      <c r="A14" s="20">
        <f>IF(F14="","",LEFT($D$3,3)&amp;"-"&amp;TEXT(COUNTIF(F$14:F14,"?*"),"00"))</f>
        <v/>
      </c>
      <c r="B14" s="4" t="n"/>
      <c r="C14" s="5">
        <f>IF(B14="","",IFERROR(INDEX(EqTypeCol,MATCH(B14,EqTag,0)),"Tag not in register"))</f>
        <v/>
      </c>
      <c r="D14" s="4" t="n"/>
      <c r="E14" s="4" t="n"/>
      <c r="F14" s="4" t="n"/>
      <c r="G14" s="4" t="n"/>
      <c r="H14" s="4" t="n"/>
      <c r="I14" s="4" t="n"/>
      <c r="J14" s="5">
        <f>_xlfn.TEXTJOIN(CHAR(10),TRUE,IF(G14="","","• "&amp;G14),IF(H14="","","• "&amp;H14),IF(I14="","","• "&amp;I14))</f>
        <v/>
      </c>
      <c r="K14" s="4" t="n"/>
      <c r="L14" s="4" t="n"/>
      <c r="M14" s="4" t="n"/>
      <c r="N14" s="16" t="n"/>
      <c r="O14" s="4" t="n"/>
      <c r="P14" s="16" t="n"/>
      <c r="Q14" s="4" t="n"/>
      <c r="R14" s="16" t="n"/>
      <c r="S14" s="20">
        <f>IF(OR(N14="",P14="",R14=""),"",(--TRIM(LEFT(N14,2)))*(--TRIM(LEFT(P14,2)))*(--TRIM(LEFT(R14,2))))</f>
        <v/>
      </c>
      <c r="T14" s="20">
        <f>IF(OR(N14="",P14="",R14=""),"",INDEX(APGrid,COUNTIF(APS,"&gt;"&amp;(--TRIM(LEFT(N14,2))))*5+COUNTIF(APO,"&gt;"&amp;(--TRIM(LEFT(P14,2))))+1,COUNTIF(APD,"&gt;"&amp;(--TRIM(LEFT(R14,2))))+1))</f>
        <v/>
      </c>
      <c r="U14" s="20">
        <f>IF(S14="","",IF(OR((--TRIM(LEFT(N14,2)))&gt;=SThr,S14&gt;=RPNThr,T14="H"),"Yes","No"))</f>
        <v/>
      </c>
      <c r="V14" s="4" t="n"/>
      <c r="W14" s="4" t="n"/>
      <c r="X14" s="4" t="n"/>
      <c r="Y14" s="29" t="n"/>
      <c r="Z14" s="16" t="n"/>
      <c r="AA14" s="16" t="n"/>
      <c r="AB14" s="16" t="n"/>
      <c r="AC14" s="20">
        <f>IF(OR(Z14="",AA14="",AB14=""),"",(--TRIM(LEFT(Z14,2)))*(--TRIM(LEFT(AA14,2)))*(--TRIM(LEFT(AB14,2))))</f>
        <v/>
      </c>
      <c r="AD14" s="20">
        <f>IF(OR(Z14="",AA14="",AB14=""),"",INDEX(APGrid,COUNTIF(APS,"&gt;"&amp;(--TRIM(LEFT(Z14,2))))*5+COUNTIF(APO,"&gt;"&amp;(--TRIM(LEFT(AA14,2))))+1,COUNTIF(APD,"&gt;"&amp;(--TRIM(LEFT(AB14,2))))+1))</f>
        <v/>
      </c>
      <c r="AE14" s="4" t="n"/>
      <c r="AF14" s="4" t="n"/>
      <c r="AH14">
        <f>IFERROR(INDEX(EqTag,_xlfn.AGGREGATE(15,6,(ROW(EqTag)-4)/((EqSys=$D$3)*(EqTag&lt;&gt;"")),ROWS($AH$14:AH14))),"")</f>
        <v/>
      </c>
    </row>
    <row r="15">
      <c r="A15" s="20">
        <f>IF(F15="","",LEFT($D$3,3)&amp;"-"&amp;TEXT(COUNTIF(F$14:F15,"?*"),"00"))</f>
        <v/>
      </c>
      <c r="B15" s="4" t="n"/>
      <c r="C15" s="5">
        <f>IF(B15="","",IFERROR(INDEX(EqTypeCol,MATCH(B15,EqTag,0)),"Tag not in register"))</f>
        <v/>
      </c>
      <c r="D15" s="4" t="n"/>
      <c r="E15" s="4" t="n"/>
      <c r="F15" s="4" t="n"/>
      <c r="G15" s="4" t="n"/>
      <c r="H15" s="4" t="n"/>
      <c r="I15" s="4" t="n"/>
      <c r="J15" s="5">
        <f>_xlfn.TEXTJOIN(CHAR(10),TRUE,IF(G15="","","• "&amp;G15),IF(H15="","","• "&amp;H15),IF(I15="","","• "&amp;I15))</f>
        <v/>
      </c>
      <c r="K15" s="4" t="n"/>
      <c r="L15" s="4" t="n"/>
      <c r="M15" s="4" t="n"/>
      <c r="N15" s="16" t="n"/>
      <c r="O15" s="4" t="n"/>
      <c r="P15" s="16" t="n"/>
      <c r="Q15" s="4" t="n"/>
      <c r="R15" s="16" t="n"/>
      <c r="S15" s="20">
        <f>IF(OR(N15="",P15="",R15=""),"",(--TRIM(LEFT(N15,2)))*(--TRIM(LEFT(P15,2)))*(--TRIM(LEFT(R15,2))))</f>
        <v/>
      </c>
      <c r="T15" s="20">
        <f>IF(OR(N15="",P15="",R15=""),"",INDEX(APGrid,COUNTIF(APS,"&gt;"&amp;(--TRIM(LEFT(N15,2))))*5+COUNTIF(APO,"&gt;"&amp;(--TRIM(LEFT(P15,2))))+1,COUNTIF(APD,"&gt;"&amp;(--TRIM(LEFT(R15,2))))+1))</f>
        <v/>
      </c>
      <c r="U15" s="20">
        <f>IF(S15="","",IF(OR((--TRIM(LEFT(N15,2)))&gt;=SThr,S15&gt;=RPNThr,T15="H"),"Yes","No"))</f>
        <v/>
      </c>
      <c r="V15" s="4" t="n"/>
      <c r="W15" s="4" t="n"/>
      <c r="X15" s="4" t="n"/>
      <c r="Y15" s="29" t="n"/>
      <c r="Z15" s="16" t="n"/>
      <c r="AA15" s="16" t="n"/>
      <c r="AB15" s="16" t="n"/>
      <c r="AC15" s="20">
        <f>IF(OR(Z15="",AA15="",AB15=""),"",(--TRIM(LEFT(Z15,2)))*(--TRIM(LEFT(AA15,2)))*(--TRIM(LEFT(AB15,2))))</f>
        <v/>
      </c>
      <c r="AD15" s="20">
        <f>IF(OR(Z15="",AA15="",AB15=""),"",INDEX(APGrid,COUNTIF(APS,"&gt;"&amp;(--TRIM(LEFT(Z15,2))))*5+COUNTIF(APO,"&gt;"&amp;(--TRIM(LEFT(AA15,2))))+1,COUNTIF(APD,"&gt;"&amp;(--TRIM(LEFT(AB15,2))))+1))</f>
        <v/>
      </c>
      <c r="AE15" s="4" t="n"/>
      <c r="AF15" s="4" t="n"/>
      <c r="AH15">
        <f>IFERROR(INDEX(EqTag,_xlfn.AGGREGATE(15,6,(ROW(EqTag)-4)/((EqSys=$D$3)*(EqTag&lt;&gt;"")),ROWS($AH$14:AH15))),"")</f>
        <v/>
      </c>
    </row>
    <row r="16">
      <c r="A16" s="20">
        <f>IF(F16="","",LEFT($D$3,3)&amp;"-"&amp;TEXT(COUNTIF(F$14:F16,"?*"),"00"))</f>
        <v/>
      </c>
      <c r="B16" s="4" t="n"/>
      <c r="C16" s="5">
        <f>IF(B16="","",IFERROR(INDEX(EqTypeCol,MATCH(B16,EqTag,0)),"Tag not in register"))</f>
        <v/>
      </c>
      <c r="D16" s="4" t="n"/>
      <c r="E16" s="4" t="n"/>
      <c r="F16" s="4" t="n"/>
      <c r="G16" s="4" t="n"/>
      <c r="H16" s="4" t="n"/>
      <c r="I16" s="4" t="n"/>
      <c r="J16" s="5">
        <f>_xlfn.TEXTJOIN(CHAR(10),TRUE,IF(G16="","","• "&amp;G16),IF(H16="","","• "&amp;H16),IF(I16="","","• "&amp;I16))</f>
        <v/>
      </c>
      <c r="K16" s="4" t="n"/>
      <c r="L16" s="4" t="n"/>
      <c r="M16" s="4" t="n"/>
      <c r="N16" s="16" t="n"/>
      <c r="O16" s="4" t="n"/>
      <c r="P16" s="16" t="n"/>
      <c r="Q16" s="4" t="n"/>
      <c r="R16" s="16" t="n"/>
      <c r="S16" s="20">
        <f>IF(OR(N16="",P16="",R16=""),"",(--TRIM(LEFT(N16,2)))*(--TRIM(LEFT(P16,2)))*(--TRIM(LEFT(R16,2))))</f>
        <v/>
      </c>
      <c r="T16" s="20">
        <f>IF(OR(N16="",P16="",R16=""),"",INDEX(APGrid,COUNTIF(APS,"&gt;"&amp;(--TRIM(LEFT(N16,2))))*5+COUNTIF(APO,"&gt;"&amp;(--TRIM(LEFT(P16,2))))+1,COUNTIF(APD,"&gt;"&amp;(--TRIM(LEFT(R16,2))))+1))</f>
        <v/>
      </c>
      <c r="U16" s="20">
        <f>IF(S16="","",IF(OR((--TRIM(LEFT(N16,2)))&gt;=SThr,S16&gt;=RPNThr,T16="H"),"Yes","No"))</f>
        <v/>
      </c>
      <c r="V16" s="4" t="n"/>
      <c r="W16" s="4" t="n"/>
      <c r="X16" s="4" t="n"/>
      <c r="Y16" s="29" t="n"/>
      <c r="Z16" s="16" t="n"/>
      <c r="AA16" s="16" t="n"/>
      <c r="AB16" s="16" t="n"/>
      <c r="AC16" s="20">
        <f>IF(OR(Z16="",AA16="",AB16=""),"",(--TRIM(LEFT(Z16,2)))*(--TRIM(LEFT(AA16,2)))*(--TRIM(LEFT(AB16,2))))</f>
        <v/>
      </c>
      <c r="AD16" s="20">
        <f>IF(OR(Z16="",AA16="",AB16=""),"",INDEX(APGrid,COUNTIF(APS,"&gt;"&amp;(--TRIM(LEFT(Z16,2))))*5+COUNTIF(APO,"&gt;"&amp;(--TRIM(LEFT(AA16,2))))+1,COUNTIF(APD,"&gt;"&amp;(--TRIM(LEFT(AB16,2))))+1))</f>
        <v/>
      </c>
      <c r="AE16" s="4" t="n"/>
      <c r="AF16" s="4" t="n"/>
      <c r="AH16">
        <f>IFERROR(INDEX(EqTag,_xlfn.AGGREGATE(15,6,(ROW(EqTag)-4)/((EqSys=$D$3)*(EqTag&lt;&gt;"")),ROWS($AH$14:AH16))),"")</f>
        <v/>
      </c>
    </row>
    <row r="17">
      <c r="A17" s="20">
        <f>IF(F17="","",LEFT($D$3,3)&amp;"-"&amp;TEXT(COUNTIF(F$14:F17,"?*"),"00"))</f>
        <v/>
      </c>
      <c r="B17" s="4" t="n"/>
      <c r="C17" s="5">
        <f>IF(B17="","",IFERROR(INDEX(EqTypeCol,MATCH(B17,EqTag,0)),"Tag not in register"))</f>
        <v/>
      </c>
      <c r="D17" s="4" t="n"/>
      <c r="E17" s="4" t="n"/>
      <c r="F17" s="4" t="n"/>
      <c r="G17" s="4" t="n"/>
      <c r="H17" s="4" t="n"/>
      <c r="I17" s="4" t="n"/>
      <c r="J17" s="5">
        <f>_xlfn.TEXTJOIN(CHAR(10),TRUE,IF(G17="","","• "&amp;G17),IF(H17="","","• "&amp;H17),IF(I17="","","• "&amp;I17))</f>
        <v/>
      </c>
      <c r="K17" s="4" t="n"/>
      <c r="L17" s="4" t="n"/>
      <c r="M17" s="4" t="n"/>
      <c r="N17" s="16" t="n"/>
      <c r="O17" s="4" t="n"/>
      <c r="P17" s="16" t="n"/>
      <c r="Q17" s="4" t="n"/>
      <c r="R17" s="16" t="n"/>
      <c r="S17" s="20">
        <f>IF(OR(N17="",P17="",R17=""),"",(--TRIM(LEFT(N17,2)))*(--TRIM(LEFT(P17,2)))*(--TRIM(LEFT(R17,2))))</f>
        <v/>
      </c>
      <c r="T17" s="20">
        <f>IF(OR(N17="",P17="",R17=""),"",INDEX(APGrid,COUNTIF(APS,"&gt;"&amp;(--TRIM(LEFT(N17,2))))*5+COUNTIF(APO,"&gt;"&amp;(--TRIM(LEFT(P17,2))))+1,COUNTIF(APD,"&gt;"&amp;(--TRIM(LEFT(R17,2))))+1))</f>
        <v/>
      </c>
      <c r="U17" s="20">
        <f>IF(S17="","",IF(OR((--TRIM(LEFT(N17,2)))&gt;=SThr,S17&gt;=RPNThr,T17="H"),"Yes","No"))</f>
        <v/>
      </c>
      <c r="V17" s="4" t="n"/>
      <c r="W17" s="4" t="n"/>
      <c r="X17" s="4" t="n"/>
      <c r="Y17" s="29" t="n"/>
      <c r="Z17" s="16" t="n"/>
      <c r="AA17" s="16" t="n"/>
      <c r="AB17" s="16" t="n"/>
      <c r="AC17" s="20">
        <f>IF(OR(Z17="",AA17="",AB17=""),"",(--TRIM(LEFT(Z17,2)))*(--TRIM(LEFT(AA17,2)))*(--TRIM(LEFT(AB17,2))))</f>
        <v/>
      </c>
      <c r="AD17" s="20">
        <f>IF(OR(Z17="",AA17="",AB17=""),"",INDEX(APGrid,COUNTIF(APS,"&gt;"&amp;(--TRIM(LEFT(Z17,2))))*5+COUNTIF(APO,"&gt;"&amp;(--TRIM(LEFT(AA17,2))))+1,COUNTIF(APD,"&gt;"&amp;(--TRIM(LEFT(AB17,2))))+1))</f>
        <v/>
      </c>
      <c r="AE17" s="4" t="n"/>
      <c r="AF17" s="4" t="n"/>
      <c r="AH17">
        <f>IFERROR(INDEX(EqTag,_xlfn.AGGREGATE(15,6,(ROW(EqTag)-4)/((EqSys=$D$3)*(EqTag&lt;&gt;"")),ROWS($AH$14:AH17))),"")</f>
        <v/>
      </c>
    </row>
    <row r="18">
      <c r="A18" s="20">
        <f>IF(F18="","",LEFT($D$3,3)&amp;"-"&amp;TEXT(COUNTIF(F$14:F18,"?*"),"00"))</f>
        <v/>
      </c>
      <c r="B18" s="4" t="n"/>
      <c r="C18" s="5">
        <f>IF(B18="","",IFERROR(INDEX(EqTypeCol,MATCH(B18,EqTag,0)),"Tag not in register"))</f>
        <v/>
      </c>
      <c r="D18" s="4" t="n"/>
      <c r="E18" s="4" t="n"/>
      <c r="F18" s="4" t="n"/>
      <c r="G18" s="4" t="n"/>
      <c r="H18" s="4" t="n"/>
      <c r="I18" s="4" t="n"/>
      <c r="J18" s="5">
        <f>_xlfn.TEXTJOIN(CHAR(10),TRUE,IF(G18="","","• "&amp;G18),IF(H18="","","• "&amp;H18),IF(I18="","","• "&amp;I18))</f>
        <v/>
      </c>
      <c r="K18" s="4" t="n"/>
      <c r="L18" s="4" t="n"/>
      <c r="M18" s="4" t="n"/>
      <c r="N18" s="16" t="n"/>
      <c r="O18" s="4" t="n"/>
      <c r="P18" s="16" t="n"/>
      <c r="Q18" s="4" t="n"/>
      <c r="R18" s="16" t="n"/>
      <c r="S18" s="20">
        <f>IF(OR(N18="",P18="",R18=""),"",(--TRIM(LEFT(N18,2)))*(--TRIM(LEFT(P18,2)))*(--TRIM(LEFT(R18,2))))</f>
        <v/>
      </c>
      <c r="T18" s="20">
        <f>IF(OR(N18="",P18="",R18=""),"",INDEX(APGrid,COUNTIF(APS,"&gt;"&amp;(--TRIM(LEFT(N18,2))))*5+COUNTIF(APO,"&gt;"&amp;(--TRIM(LEFT(P18,2))))+1,COUNTIF(APD,"&gt;"&amp;(--TRIM(LEFT(R18,2))))+1))</f>
        <v/>
      </c>
      <c r="U18" s="20">
        <f>IF(S18="","",IF(OR((--TRIM(LEFT(N18,2)))&gt;=SThr,S18&gt;=RPNThr,T18="H"),"Yes","No"))</f>
        <v/>
      </c>
      <c r="V18" s="4" t="n"/>
      <c r="W18" s="4" t="n"/>
      <c r="X18" s="4" t="n"/>
      <c r="Y18" s="29" t="n"/>
      <c r="Z18" s="16" t="n"/>
      <c r="AA18" s="16" t="n"/>
      <c r="AB18" s="16" t="n"/>
      <c r="AC18" s="20">
        <f>IF(OR(Z18="",AA18="",AB18=""),"",(--TRIM(LEFT(Z18,2)))*(--TRIM(LEFT(AA18,2)))*(--TRIM(LEFT(AB18,2))))</f>
        <v/>
      </c>
      <c r="AD18" s="20">
        <f>IF(OR(Z18="",AA18="",AB18=""),"",INDEX(APGrid,COUNTIF(APS,"&gt;"&amp;(--TRIM(LEFT(Z18,2))))*5+COUNTIF(APO,"&gt;"&amp;(--TRIM(LEFT(AA18,2))))+1,COUNTIF(APD,"&gt;"&amp;(--TRIM(LEFT(AB18,2))))+1))</f>
        <v/>
      </c>
      <c r="AE18" s="4" t="n"/>
      <c r="AF18" s="4" t="n"/>
      <c r="AH18">
        <f>IFERROR(INDEX(EqTag,_xlfn.AGGREGATE(15,6,(ROW(EqTag)-4)/((EqSys=$D$3)*(EqTag&lt;&gt;"")),ROWS($AH$14:AH18))),"")</f>
        <v/>
      </c>
    </row>
    <row r="19">
      <c r="A19" s="20">
        <f>IF(F19="","",LEFT($D$3,3)&amp;"-"&amp;TEXT(COUNTIF(F$14:F19,"?*"),"00"))</f>
        <v/>
      </c>
      <c r="B19" s="4" t="n"/>
      <c r="C19" s="5">
        <f>IF(B19="","",IFERROR(INDEX(EqTypeCol,MATCH(B19,EqTag,0)),"Tag not in register"))</f>
        <v/>
      </c>
      <c r="D19" s="4" t="n"/>
      <c r="E19" s="4" t="n"/>
      <c r="F19" s="4" t="n"/>
      <c r="G19" s="4" t="n"/>
      <c r="H19" s="4" t="n"/>
      <c r="I19" s="4" t="n"/>
      <c r="J19" s="5">
        <f>_xlfn.TEXTJOIN(CHAR(10),TRUE,IF(G19="","","• "&amp;G19),IF(H19="","","• "&amp;H19),IF(I19="","","• "&amp;I19))</f>
        <v/>
      </c>
      <c r="K19" s="4" t="n"/>
      <c r="L19" s="4" t="n"/>
      <c r="M19" s="4" t="n"/>
      <c r="N19" s="16" t="n"/>
      <c r="O19" s="4" t="n"/>
      <c r="P19" s="16" t="n"/>
      <c r="Q19" s="4" t="n"/>
      <c r="R19" s="16" t="n"/>
      <c r="S19" s="20">
        <f>IF(OR(N19="",P19="",R19=""),"",(--TRIM(LEFT(N19,2)))*(--TRIM(LEFT(P19,2)))*(--TRIM(LEFT(R19,2))))</f>
        <v/>
      </c>
      <c r="T19" s="20">
        <f>IF(OR(N19="",P19="",R19=""),"",INDEX(APGrid,COUNTIF(APS,"&gt;"&amp;(--TRIM(LEFT(N19,2))))*5+COUNTIF(APO,"&gt;"&amp;(--TRIM(LEFT(P19,2))))+1,COUNTIF(APD,"&gt;"&amp;(--TRIM(LEFT(R19,2))))+1))</f>
        <v/>
      </c>
      <c r="U19" s="20">
        <f>IF(S19="","",IF(OR((--TRIM(LEFT(N19,2)))&gt;=SThr,S19&gt;=RPNThr,T19="H"),"Yes","No"))</f>
        <v/>
      </c>
      <c r="V19" s="4" t="n"/>
      <c r="W19" s="4" t="n"/>
      <c r="X19" s="4" t="n"/>
      <c r="Y19" s="29" t="n"/>
      <c r="Z19" s="16" t="n"/>
      <c r="AA19" s="16" t="n"/>
      <c r="AB19" s="16" t="n"/>
      <c r="AC19" s="20">
        <f>IF(OR(Z19="",AA19="",AB19=""),"",(--TRIM(LEFT(Z19,2)))*(--TRIM(LEFT(AA19,2)))*(--TRIM(LEFT(AB19,2))))</f>
        <v/>
      </c>
      <c r="AD19" s="20">
        <f>IF(OR(Z19="",AA19="",AB19=""),"",INDEX(APGrid,COUNTIF(APS,"&gt;"&amp;(--TRIM(LEFT(Z19,2))))*5+COUNTIF(APO,"&gt;"&amp;(--TRIM(LEFT(AA19,2))))+1,COUNTIF(APD,"&gt;"&amp;(--TRIM(LEFT(AB19,2))))+1))</f>
        <v/>
      </c>
      <c r="AE19" s="4" t="n"/>
      <c r="AF19" s="4" t="n"/>
      <c r="AH19">
        <f>IFERROR(INDEX(EqTag,_xlfn.AGGREGATE(15,6,(ROW(EqTag)-4)/((EqSys=$D$3)*(EqTag&lt;&gt;"")),ROWS($AH$14:AH19))),"")</f>
        <v/>
      </c>
    </row>
    <row r="20">
      <c r="A20" s="20">
        <f>IF(F20="","",LEFT($D$3,3)&amp;"-"&amp;TEXT(COUNTIF(F$14:F20,"?*"),"00"))</f>
        <v/>
      </c>
      <c r="B20" s="4" t="n"/>
      <c r="C20" s="5">
        <f>IF(B20="","",IFERROR(INDEX(EqTypeCol,MATCH(B20,EqTag,0)),"Tag not in register"))</f>
        <v/>
      </c>
      <c r="D20" s="4" t="n"/>
      <c r="E20" s="4" t="n"/>
      <c r="F20" s="4" t="n"/>
      <c r="G20" s="4" t="n"/>
      <c r="H20" s="4" t="n"/>
      <c r="I20" s="4" t="n"/>
      <c r="J20" s="5">
        <f>_xlfn.TEXTJOIN(CHAR(10),TRUE,IF(G20="","","• "&amp;G20),IF(H20="","","• "&amp;H20),IF(I20="","","• "&amp;I20))</f>
        <v/>
      </c>
      <c r="K20" s="4" t="n"/>
      <c r="L20" s="4" t="n"/>
      <c r="M20" s="4" t="n"/>
      <c r="N20" s="16" t="n"/>
      <c r="O20" s="4" t="n"/>
      <c r="P20" s="16" t="n"/>
      <c r="Q20" s="4" t="n"/>
      <c r="R20" s="16" t="n"/>
      <c r="S20" s="20">
        <f>IF(OR(N20="",P20="",R20=""),"",(--TRIM(LEFT(N20,2)))*(--TRIM(LEFT(P20,2)))*(--TRIM(LEFT(R20,2))))</f>
        <v/>
      </c>
      <c r="T20" s="20">
        <f>IF(OR(N20="",P20="",R20=""),"",INDEX(APGrid,COUNTIF(APS,"&gt;"&amp;(--TRIM(LEFT(N20,2))))*5+COUNTIF(APO,"&gt;"&amp;(--TRIM(LEFT(P20,2))))+1,COUNTIF(APD,"&gt;"&amp;(--TRIM(LEFT(R20,2))))+1))</f>
        <v/>
      </c>
      <c r="U20" s="20">
        <f>IF(S20="","",IF(OR((--TRIM(LEFT(N20,2)))&gt;=SThr,S20&gt;=RPNThr,T20="H"),"Yes","No"))</f>
        <v/>
      </c>
      <c r="V20" s="4" t="n"/>
      <c r="W20" s="4" t="n"/>
      <c r="X20" s="4" t="n"/>
      <c r="Y20" s="29" t="n"/>
      <c r="Z20" s="16" t="n"/>
      <c r="AA20" s="16" t="n"/>
      <c r="AB20" s="16" t="n"/>
      <c r="AC20" s="20">
        <f>IF(OR(Z20="",AA20="",AB20=""),"",(--TRIM(LEFT(Z20,2)))*(--TRIM(LEFT(AA20,2)))*(--TRIM(LEFT(AB20,2))))</f>
        <v/>
      </c>
      <c r="AD20" s="20">
        <f>IF(OR(Z20="",AA20="",AB20=""),"",INDEX(APGrid,COUNTIF(APS,"&gt;"&amp;(--TRIM(LEFT(Z20,2))))*5+COUNTIF(APO,"&gt;"&amp;(--TRIM(LEFT(AA20,2))))+1,COUNTIF(APD,"&gt;"&amp;(--TRIM(LEFT(AB20,2))))+1))</f>
        <v/>
      </c>
      <c r="AE20" s="4" t="n"/>
      <c r="AF20" s="4" t="n"/>
      <c r="AH20">
        <f>IFERROR(INDEX(EqTag,_xlfn.AGGREGATE(15,6,(ROW(EqTag)-4)/((EqSys=$D$3)*(EqTag&lt;&gt;"")),ROWS($AH$14:AH20))),"")</f>
        <v/>
      </c>
    </row>
    <row r="21">
      <c r="A21" s="20">
        <f>IF(F21="","",LEFT($D$3,3)&amp;"-"&amp;TEXT(COUNTIF(F$14:F21,"?*"),"00"))</f>
        <v/>
      </c>
      <c r="B21" s="4" t="n"/>
      <c r="C21" s="5">
        <f>IF(B21="","",IFERROR(INDEX(EqTypeCol,MATCH(B21,EqTag,0)),"Tag not in register"))</f>
        <v/>
      </c>
      <c r="D21" s="4" t="n"/>
      <c r="E21" s="4" t="n"/>
      <c r="F21" s="4" t="n"/>
      <c r="G21" s="4" t="n"/>
      <c r="H21" s="4" t="n"/>
      <c r="I21" s="4" t="n"/>
      <c r="J21" s="5">
        <f>_xlfn.TEXTJOIN(CHAR(10),TRUE,IF(G21="","","• "&amp;G21),IF(H21="","","• "&amp;H21),IF(I21="","","• "&amp;I21))</f>
        <v/>
      </c>
      <c r="K21" s="4" t="n"/>
      <c r="L21" s="4" t="n"/>
      <c r="M21" s="4" t="n"/>
      <c r="N21" s="16" t="n"/>
      <c r="O21" s="4" t="n"/>
      <c r="P21" s="16" t="n"/>
      <c r="Q21" s="4" t="n"/>
      <c r="R21" s="16" t="n"/>
      <c r="S21" s="20">
        <f>IF(OR(N21="",P21="",R21=""),"",(--TRIM(LEFT(N21,2)))*(--TRIM(LEFT(P21,2)))*(--TRIM(LEFT(R21,2))))</f>
        <v/>
      </c>
      <c r="T21" s="20">
        <f>IF(OR(N21="",P21="",R21=""),"",INDEX(APGrid,COUNTIF(APS,"&gt;"&amp;(--TRIM(LEFT(N21,2))))*5+COUNTIF(APO,"&gt;"&amp;(--TRIM(LEFT(P21,2))))+1,COUNTIF(APD,"&gt;"&amp;(--TRIM(LEFT(R21,2))))+1))</f>
        <v/>
      </c>
      <c r="U21" s="20">
        <f>IF(S21="","",IF(OR((--TRIM(LEFT(N21,2)))&gt;=SThr,S21&gt;=RPNThr,T21="H"),"Yes","No"))</f>
        <v/>
      </c>
      <c r="V21" s="4" t="n"/>
      <c r="W21" s="4" t="n"/>
      <c r="X21" s="4" t="n"/>
      <c r="Y21" s="29" t="n"/>
      <c r="Z21" s="16" t="n"/>
      <c r="AA21" s="16" t="n"/>
      <c r="AB21" s="16" t="n"/>
      <c r="AC21" s="20">
        <f>IF(OR(Z21="",AA21="",AB21=""),"",(--TRIM(LEFT(Z21,2)))*(--TRIM(LEFT(AA21,2)))*(--TRIM(LEFT(AB21,2))))</f>
        <v/>
      </c>
      <c r="AD21" s="20">
        <f>IF(OR(Z21="",AA21="",AB21=""),"",INDEX(APGrid,COUNTIF(APS,"&gt;"&amp;(--TRIM(LEFT(Z21,2))))*5+COUNTIF(APO,"&gt;"&amp;(--TRIM(LEFT(AA21,2))))+1,COUNTIF(APD,"&gt;"&amp;(--TRIM(LEFT(AB21,2))))+1))</f>
        <v/>
      </c>
      <c r="AE21" s="4" t="n"/>
      <c r="AF21" s="4" t="n"/>
      <c r="AH21">
        <f>IFERROR(INDEX(EqTag,_xlfn.AGGREGATE(15,6,(ROW(EqTag)-4)/((EqSys=$D$3)*(EqTag&lt;&gt;"")),ROWS($AH$14:AH21))),"")</f>
        <v/>
      </c>
    </row>
    <row r="22">
      <c r="A22" s="20">
        <f>IF(F22="","",LEFT($D$3,3)&amp;"-"&amp;TEXT(COUNTIF(F$14:F22,"?*"),"00"))</f>
        <v/>
      </c>
      <c r="B22" s="4" t="n"/>
      <c r="C22" s="5">
        <f>IF(B22="","",IFERROR(INDEX(EqTypeCol,MATCH(B22,EqTag,0)),"Tag not in register"))</f>
        <v/>
      </c>
      <c r="D22" s="4" t="n"/>
      <c r="E22" s="4" t="n"/>
      <c r="F22" s="4" t="n"/>
      <c r="G22" s="4" t="n"/>
      <c r="H22" s="4" t="n"/>
      <c r="I22" s="4" t="n"/>
      <c r="J22" s="5">
        <f>_xlfn.TEXTJOIN(CHAR(10),TRUE,IF(G22="","","• "&amp;G22),IF(H22="","","• "&amp;H22),IF(I22="","","• "&amp;I22))</f>
        <v/>
      </c>
      <c r="K22" s="4" t="n"/>
      <c r="L22" s="4" t="n"/>
      <c r="M22" s="4" t="n"/>
      <c r="N22" s="16" t="n"/>
      <c r="O22" s="4" t="n"/>
      <c r="P22" s="16" t="n"/>
      <c r="Q22" s="4" t="n"/>
      <c r="R22" s="16" t="n"/>
      <c r="S22" s="20">
        <f>IF(OR(N22="",P22="",R22=""),"",(--TRIM(LEFT(N22,2)))*(--TRIM(LEFT(P22,2)))*(--TRIM(LEFT(R22,2))))</f>
        <v/>
      </c>
      <c r="T22" s="20">
        <f>IF(OR(N22="",P22="",R22=""),"",INDEX(APGrid,COUNTIF(APS,"&gt;"&amp;(--TRIM(LEFT(N22,2))))*5+COUNTIF(APO,"&gt;"&amp;(--TRIM(LEFT(P22,2))))+1,COUNTIF(APD,"&gt;"&amp;(--TRIM(LEFT(R22,2))))+1))</f>
        <v/>
      </c>
      <c r="U22" s="20">
        <f>IF(S22="","",IF(OR((--TRIM(LEFT(N22,2)))&gt;=SThr,S22&gt;=RPNThr,T22="H"),"Yes","No"))</f>
        <v/>
      </c>
      <c r="V22" s="4" t="n"/>
      <c r="W22" s="4" t="n"/>
      <c r="X22" s="4" t="n"/>
      <c r="Y22" s="29" t="n"/>
      <c r="Z22" s="16" t="n"/>
      <c r="AA22" s="16" t="n"/>
      <c r="AB22" s="16" t="n"/>
      <c r="AC22" s="20">
        <f>IF(OR(Z22="",AA22="",AB22=""),"",(--TRIM(LEFT(Z22,2)))*(--TRIM(LEFT(AA22,2)))*(--TRIM(LEFT(AB22,2))))</f>
        <v/>
      </c>
      <c r="AD22" s="20">
        <f>IF(OR(Z22="",AA22="",AB22=""),"",INDEX(APGrid,COUNTIF(APS,"&gt;"&amp;(--TRIM(LEFT(Z22,2))))*5+COUNTIF(APO,"&gt;"&amp;(--TRIM(LEFT(AA22,2))))+1,COUNTIF(APD,"&gt;"&amp;(--TRIM(LEFT(AB22,2))))+1))</f>
        <v/>
      </c>
      <c r="AE22" s="4" t="n"/>
      <c r="AF22" s="4" t="n"/>
      <c r="AH22">
        <f>IFERROR(INDEX(EqTag,_xlfn.AGGREGATE(15,6,(ROW(EqTag)-4)/((EqSys=$D$3)*(EqTag&lt;&gt;"")),ROWS($AH$14:AH22))),"")</f>
        <v/>
      </c>
    </row>
    <row r="23">
      <c r="A23" s="20">
        <f>IF(F23="","",LEFT($D$3,3)&amp;"-"&amp;TEXT(COUNTIF(F$14:F23,"?*"),"00"))</f>
        <v/>
      </c>
      <c r="B23" s="4" t="n"/>
      <c r="C23" s="5">
        <f>IF(B23="","",IFERROR(INDEX(EqTypeCol,MATCH(B23,EqTag,0)),"Tag not in register"))</f>
        <v/>
      </c>
      <c r="D23" s="4" t="n"/>
      <c r="E23" s="4" t="n"/>
      <c r="F23" s="4" t="n"/>
      <c r="G23" s="4" t="n"/>
      <c r="H23" s="4" t="n"/>
      <c r="I23" s="4" t="n"/>
      <c r="J23" s="5">
        <f>_xlfn.TEXTJOIN(CHAR(10),TRUE,IF(G23="","","• "&amp;G23),IF(H23="","","• "&amp;H23),IF(I23="","","• "&amp;I23))</f>
        <v/>
      </c>
      <c r="K23" s="4" t="n"/>
      <c r="L23" s="4" t="n"/>
      <c r="M23" s="4" t="n"/>
      <c r="N23" s="16" t="n"/>
      <c r="O23" s="4" t="n"/>
      <c r="P23" s="16" t="n"/>
      <c r="Q23" s="4" t="n"/>
      <c r="R23" s="16" t="n"/>
      <c r="S23" s="20">
        <f>IF(OR(N23="",P23="",R23=""),"",(--TRIM(LEFT(N23,2)))*(--TRIM(LEFT(P23,2)))*(--TRIM(LEFT(R23,2))))</f>
        <v/>
      </c>
      <c r="T23" s="20">
        <f>IF(OR(N23="",P23="",R23=""),"",INDEX(APGrid,COUNTIF(APS,"&gt;"&amp;(--TRIM(LEFT(N23,2))))*5+COUNTIF(APO,"&gt;"&amp;(--TRIM(LEFT(P23,2))))+1,COUNTIF(APD,"&gt;"&amp;(--TRIM(LEFT(R23,2))))+1))</f>
        <v/>
      </c>
      <c r="U23" s="20">
        <f>IF(S23="","",IF(OR((--TRIM(LEFT(N23,2)))&gt;=SThr,S23&gt;=RPNThr,T23="H"),"Yes","No"))</f>
        <v/>
      </c>
      <c r="V23" s="4" t="n"/>
      <c r="W23" s="4" t="n"/>
      <c r="X23" s="4" t="n"/>
      <c r="Y23" s="29" t="n"/>
      <c r="Z23" s="16" t="n"/>
      <c r="AA23" s="16" t="n"/>
      <c r="AB23" s="16" t="n"/>
      <c r="AC23" s="20">
        <f>IF(OR(Z23="",AA23="",AB23=""),"",(--TRIM(LEFT(Z23,2)))*(--TRIM(LEFT(AA23,2)))*(--TRIM(LEFT(AB23,2))))</f>
        <v/>
      </c>
      <c r="AD23" s="20">
        <f>IF(OR(Z23="",AA23="",AB23=""),"",INDEX(APGrid,COUNTIF(APS,"&gt;"&amp;(--TRIM(LEFT(Z23,2))))*5+COUNTIF(APO,"&gt;"&amp;(--TRIM(LEFT(AA23,2))))+1,COUNTIF(APD,"&gt;"&amp;(--TRIM(LEFT(AB23,2))))+1))</f>
        <v/>
      </c>
      <c r="AE23" s="4" t="n"/>
      <c r="AF23" s="4" t="n"/>
      <c r="AH23">
        <f>IFERROR(INDEX(EqTag,_xlfn.AGGREGATE(15,6,(ROW(EqTag)-4)/((EqSys=$D$3)*(EqTag&lt;&gt;"")),ROWS($AH$14:AH23))),"")</f>
        <v/>
      </c>
    </row>
    <row r="24">
      <c r="A24" s="20">
        <f>IF(F24="","",LEFT($D$3,3)&amp;"-"&amp;TEXT(COUNTIF(F$14:F24,"?*"),"00"))</f>
        <v/>
      </c>
      <c r="B24" s="4" t="n"/>
      <c r="C24" s="5">
        <f>IF(B24="","",IFERROR(INDEX(EqTypeCol,MATCH(B24,EqTag,0)),"Tag not in register"))</f>
        <v/>
      </c>
      <c r="D24" s="4" t="n"/>
      <c r="E24" s="4" t="n"/>
      <c r="F24" s="4" t="n"/>
      <c r="G24" s="4" t="n"/>
      <c r="H24" s="4" t="n"/>
      <c r="I24" s="4" t="n"/>
      <c r="J24" s="5">
        <f>_xlfn.TEXTJOIN(CHAR(10),TRUE,IF(G24="","","• "&amp;G24),IF(H24="","","• "&amp;H24),IF(I24="","","• "&amp;I24))</f>
        <v/>
      </c>
      <c r="K24" s="4" t="n"/>
      <c r="L24" s="4" t="n"/>
      <c r="M24" s="4" t="n"/>
      <c r="N24" s="16" t="n"/>
      <c r="O24" s="4" t="n"/>
      <c r="P24" s="16" t="n"/>
      <c r="Q24" s="4" t="n"/>
      <c r="R24" s="16" t="n"/>
      <c r="S24" s="20">
        <f>IF(OR(N24="",P24="",R24=""),"",(--TRIM(LEFT(N24,2)))*(--TRIM(LEFT(P24,2)))*(--TRIM(LEFT(R24,2))))</f>
        <v/>
      </c>
      <c r="T24" s="20">
        <f>IF(OR(N24="",P24="",R24=""),"",INDEX(APGrid,COUNTIF(APS,"&gt;"&amp;(--TRIM(LEFT(N24,2))))*5+COUNTIF(APO,"&gt;"&amp;(--TRIM(LEFT(P24,2))))+1,COUNTIF(APD,"&gt;"&amp;(--TRIM(LEFT(R24,2))))+1))</f>
        <v/>
      </c>
      <c r="U24" s="20">
        <f>IF(S24="","",IF(OR((--TRIM(LEFT(N24,2)))&gt;=SThr,S24&gt;=RPNThr,T24="H"),"Yes","No"))</f>
        <v/>
      </c>
      <c r="V24" s="4" t="n"/>
      <c r="W24" s="4" t="n"/>
      <c r="X24" s="4" t="n"/>
      <c r="Y24" s="29" t="n"/>
      <c r="Z24" s="16" t="n"/>
      <c r="AA24" s="16" t="n"/>
      <c r="AB24" s="16" t="n"/>
      <c r="AC24" s="20">
        <f>IF(OR(Z24="",AA24="",AB24=""),"",(--TRIM(LEFT(Z24,2)))*(--TRIM(LEFT(AA24,2)))*(--TRIM(LEFT(AB24,2))))</f>
        <v/>
      </c>
      <c r="AD24" s="20">
        <f>IF(OR(Z24="",AA24="",AB24=""),"",INDEX(APGrid,COUNTIF(APS,"&gt;"&amp;(--TRIM(LEFT(Z24,2))))*5+COUNTIF(APO,"&gt;"&amp;(--TRIM(LEFT(AA24,2))))+1,COUNTIF(APD,"&gt;"&amp;(--TRIM(LEFT(AB24,2))))+1))</f>
        <v/>
      </c>
      <c r="AE24" s="4" t="n"/>
      <c r="AF24" s="4" t="n"/>
      <c r="AH24">
        <f>IFERROR(INDEX(EqTag,_xlfn.AGGREGATE(15,6,(ROW(EqTag)-4)/((EqSys=$D$3)*(EqTag&lt;&gt;"")),ROWS($AH$14:AH24))),"")</f>
        <v/>
      </c>
    </row>
    <row r="25">
      <c r="A25" s="20">
        <f>IF(F25="","",LEFT($D$3,3)&amp;"-"&amp;TEXT(COUNTIF(F$14:F25,"?*"),"00"))</f>
        <v/>
      </c>
      <c r="B25" s="4" t="n"/>
      <c r="C25" s="5">
        <f>IF(B25="","",IFERROR(INDEX(EqTypeCol,MATCH(B25,EqTag,0)),"Tag not in register"))</f>
        <v/>
      </c>
      <c r="D25" s="4" t="n"/>
      <c r="E25" s="4" t="n"/>
      <c r="F25" s="4" t="n"/>
      <c r="G25" s="4" t="n"/>
      <c r="H25" s="4" t="n"/>
      <c r="I25" s="4" t="n"/>
      <c r="J25" s="5">
        <f>_xlfn.TEXTJOIN(CHAR(10),TRUE,IF(G25="","","• "&amp;G25),IF(H25="","","• "&amp;H25),IF(I25="","","• "&amp;I25))</f>
        <v/>
      </c>
      <c r="K25" s="4" t="n"/>
      <c r="L25" s="4" t="n"/>
      <c r="M25" s="4" t="n"/>
      <c r="N25" s="16" t="n"/>
      <c r="O25" s="4" t="n"/>
      <c r="P25" s="16" t="n"/>
      <c r="Q25" s="4" t="n"/>
      <c r="R25" s="16" t="n"/>
      <c r="S25" s="20">
        <f>IF(OR(N25="",P25="",R25=""),"",(--TRIM(LEFT(N25,2)))*(--TRIM(LEFT(P25,2)))*(--TRIM(LEFT(R25,2))))</f>
        <v/>
      </c>
      <c r="T25" s="20">
        <f>IF(OR(N25="",P25="",R25=""),"",INDEX(APGrid,COUNTIF(APS,"&gt;"&amp;(--TRIM(LEFT(N25,2))))*5+COUNTIF(APO,"&gt;"&amp;(--TRIM(LEFT(P25,2))))+1,COUNTIF(APD,"&gt;"&amp;(--TRIM(LEFT(R25,2))))+1))</f>
        <v/>
      </c>
      <c r="U25" s="20">
        <f>IF(S25="","",IF(OR((--TRIM(LEFT(N25,2)))&gt;=SThr,S25&gt;=RPNThr,T25="H"),"Yes","No"))</f>
        <v/>
      </c>
      <c r="V25" s="4" t="n"/>
      <c r="W25" s="4" t="n"/>
      <c r="X25" s="4" t="n"/>
      <c r="Y25" s="29" t="n"/>
      <c r="Z25" s="16" t="n"/>
      <c r="AA25" s="16" t="n"/>
      <c r="AB25" s="16" t="n"/>
      <c r="AC25" s="20">
        <f>IF(OR(Z25="",AA25="",AB25=""),"",(--TRIM(LEFT(Z25,2)))*(--TRIM(LEFT(AA25,2)))*(--TRIM(LEFT(AB25,2))))</f>
        <v/>
      </c>
      <c r="AD25" s="20">
        <f>IF(OR(Z25="",AA25="",AB25=""),"",INDEX(APGrid,COUNTIF(APS,"&gt;"&amp;(--TRIM(LEFT(Z25,2))))*5+COUNTIF(APO,"&gt;"&amp;(--TRIM(LEFT(AA25,2))))+1,COUNTIF(APD,"&gt;"&amp;(--TRIM(LEFT(AB25,2))))+1))</f>
        <v/>
      </c>
      <c r="AE25" s="4" t="n"/>
      <c r="AF25" s="4" t="n"/>
      <c r="AH25">
        <f>IFERROR(INDEX(EqTag,_xlfn.AGGREGATE(15,6,(ROW(EqTag)-4)/((EqSys=$D$3)*(EqTag&lt;&gt;"")),ROWS($AH$14:AH25))),"")</f>
        <v/>
      </c>
    </row>
    <row r="26">
      <c r="A26" s="20">
        <f>IF(F26="","",LEFT($D$3,3)&amp;"-"&amp;TEXT(COUNTIF(F$14:F26,"?*"),"00"))</f>
        <v/>
      </c>
      <c r="B26" s="4" t="n"/>
      <c r="C26" s="5">
        <f>IF(B26="","",IFERROR(INDEX(EqTypeCol,MATCH(B26,EqTag,0)),"Tag not in register"))</f>
        <v/>
      </c>
      <c r="D26" s="4" t="n"/>
      <c r="E26" s="4" t="n"/>
      <c r="F26" s="4" t="n"/>
      <c r="G26" s="4" t="n"/>
      <c r="H26" s="4" t="n"/>
      <c r="I26" s="4" t="n"/>
      <c r="J26" s="5">
        <f>_xlfn.TEXTJOIN(CHAR(10),TRUE,IF(G26="","","• "&amp;G26),IF(H26="","","• "&amp;H26),IF(I26="","","• "&amp;I26))</f>
        <v/>
      </c>
      <c r="K26" s="4" t="n"/>
      <c r="L26" s="4" t="n"/>
      <c r="M26" s="4" t="n"/>
      <c r="N26" s="16" t="n"/>
      <c r="O26" s="4" t="n"/>
      <c r="P26" s="16" t="n"/>
      <c r="Q26" s="4" t="n"/>
      <c r="R26" s="16" t="n"/>
      <c r="S26" s="20">
        <f>IF(OR(N26="",P26="",R26=""),"",(--TRIM(LEFT(N26,2)))*(--TRIM(LEFT(P26,2)))*(--TRIM(LEFT(R26,2))))</f>
        <v/>
      </c>
      <c r="T26" s="20">
        <f>IF(OR(N26="",P26="",R26=""),"",INDEX(APGrid,COUNTIF(APS,"&gt;"&amp;(--TRIM(LEFT(N26,2))))*5+COUNTIF(APO,"&gt;"&amp;(--TRIM(LEFT(P26,2))))+1,COUNTIF(APD,"&gt;"&amp;(--TRIM(LEFT(R26,2))))+1))</f>
        <v/>
      </c>
      <c r="U26" s="20">
        <f>IF(S26="","",IF(OR((--TRIM(LEFT(N26,2)))&gt;=SThr,S26&gt;=RPNThr,T26="H"),"Yes","No"))</f>
        <v/>
      </c>
      <c r="V26" s="4" t="n"/>
      <c r="W26" s="4" t="n"/>
      <c r="X26" s="4" t="n"/>
      <c r="Y26" s="29" t="n"/>
      <c r="Z26" s="16" t="n"/>
      <c r="AA26" s="16" t="n"/>
      <c r="AB26" s="16" t="n"/>
      <c r="AC26" s="20">
        <f>IF(OR(Z26="",AA26="",AB26=""),"",(--TRIM(LEFT(Z26,2)))*(--TRIM(LEFT(AA26,2)))*(--TRIM(LEFT(AB26,2))))</f>
        <v/>
      </c>
      <c r="AD26" s="20">
        <f>IF(OR(Z26="",AA26="",AB26=""),"",INDEX(APGrid,COUNTIF(APS,"&gt;"&amp;(--TRIM(LEFT(Z26,2))))*5+COUNTIF(APO,"&gt;"&amp;(--TRIM(LEFT(AA26,2))))+1,COUNTIF(APD,"&gt;"&amp;(--TRIM(LEFT(AB26,2))))+1))</f>
        <v/>
      </c>
      <c r="AE26" s="4" t="n"/>
      <c r="AF26" s="4" t="n"/>
      <c r="AH26">
        <f>IFERROR(INDEX(EqTag,_xlfn.AGGREGATE(15,6,(ROW(EqTag)-4)/((EqSys=$D$3)*(EqTag&lt;&gt;"")),ROWS($AH$14:AH26))),"")</f>
        <v/>
      </c>
    </row>
    <row r="27">
      <c r="A27" s="20">
        <f>IF(F27="","",LEFT($D$3,3)&amp;"-"&amp;TEXT(COUNTIF(F$14:F27,"?*"),"00"))</f>
        <v/>
      </c>
      <c r="B27" s="4" t="n"/>
      <c r="C27" s="5">
        <f>IF(B27="","",IFERROR(INDEX(EqTypeCol,MATCH(B27,EqTag,0)),"Tag not in register"))</f>
        <v/>
      </c>
      <c r="D27" s="4" t="n"/>
      <c r="E27" s="4" t="n"/>
      <c r="F27" s="4" t="n"/>
      <c r="G27" s="4" t="n"/>
      <c r="H27" s="4" t="n"/>
      <c r="I27" s="4" t="n"/>
      <c r="J27" s="5">
        <f>_xlfn.TEXTJOIN(CHAR(10),TRUE,IF(G27="","","• "&amp;G27),IF(H27="","","• "&amp;H27),IF(I27="","","• "&amp;I27))</f>
        <v/>
      </c>
      <c r="K27" s="4" t="n"/>
      <c r="L27" s="4" t="n"/>
      <c r="M27" s="4" t="n"/>
      <c r="N27" s="16" t="n"/>
      <c r="O27" s="4" t="n"/>
      <c r="P27" s="16" t="n"/>
      <c r="Q27" s="4" t="n"/>
      <c r="R27" s="16" t="n"/>
      <c r="S27" s="20">
        <f>IF(OR(N27="",P27="",R27=""),"",(--TRIM(LEFT(N27,2)))*(--TRIM(LEFT(P27,2)))*(--TRIM(LEFT(R27,2))))</f>
        <v/>
      </c>
      <c r="T27" s="20">
        <f>IF(OR(N27="",P27="",R27=""),"",INDEX(APGrid,COUNTIF(APS,"&gt;"&amp;(--TRIM(LEFT(N27,2))))*5+COUNTIF(APO,"&gt;"&amp;(--TRIM(LEFT(P27,2))))+1,COUNTIF(APD,"&gt;"&amp;(--TRIM(LEFT(R27,2))))+1))</f>
        <v/>
      </c>
      <c r="U27" s="20">
        <f>IF(S27="","",IF(OR((--TRIM(LEFT(N27,2)))&gt;=SThr,S27&gt;=RPNThr,T27="H"),"Yes","No"))</f>
        <v/>
      </c>
      <c r="V27" s="4" t="n"/>
      <c r="W27" s="4" t="n"/>
      <c r="X27" s="4" t="n"/>
      <c r="Y27" s="29" t="n"/>
      <c r="Z27" s="16" t="n"/>
      <c r="AA27" s="16" t="n"/>
      <c r="AB27" s="16" t="n"/>
      <c r="AC27" s="20">
        <f>IF(OR(Z27="",AA27="",AB27=""),"",(--TRIM(LEFT(Z27,2)))*(--TRIM(LEFT(AA27,2)))*(--TRIM(LEFT(AB27,2))))</f>
        <v/>
      </c>
      <c r="AD27" s="20">
        <f>IF(OR(Z27="",AA27="",AB27=""),"",INDEX(APGrid,COUNTIF(APS,"&gt;"&amp;(--TRIM(LEFT(Z27,2))))*5+COUNTIF(APO,"&gt;"&amp;(--TRIM(LEFT(AA27,2))))+1,COUNTIF(APD,"&gt;"&amp;(--TRIM(LEFT(AB27,2))))+1))</f>
        <v/>
      </c>
      <c r="AE27" s="4" t="n"/>
      <c r="AF27" s="4" t="n"/>
      <c r="AH27">
        <f>IFERROR(INDEX(EqTag,_xlfn.AGGREGATE(15,6,(ROW(EqTag)-4)/((EqSys=$D$3)*(EqTag&lt;&gt;"")),ROWS($AH$14:AH27))),"")</f>
        <v/>
      </c>
    </row>
    <row r="28">
      <c r="A28" s="20">
        <f>IF(F28="","",LEFT($D$3,3)&amp;"-"&amp;TEXT(COUNTIF(F$14:F28,"?*"),"00"))</f>
        <v/>
      </c>
      <c r="B28" s="4" t="n"/>
      <c r="C28" s="5">
        <f>IF(B28="","",IFERROR(INDEX(EqTypeCol,MATCH(B28,EqTag,0)),"Tag not in register"))</f>
        <v/>
      </c>
      <c r="D28" s="4" t="n"/>
      <c r="E28" s="4" t="n"/>
      <c r="F28" s="4" t="n"/>
      <c r="G28" s="4" t="n"/>
      <c r="H28" s="4" t="n"/>
      <c r="I28" s="4" t="n"/>
      <c r="J28" s="5">
        <f>_xlfn.TEXTJOIN(CHAR(10),TRUE,IF(G28="","","• "&amp;G28),IF(H28="","","• "&amp;H28),IF(I28="","","• "&amp;I28))</f>
        <v/>
      </c>
      <c r="K28" s="4" t="n"/>
      <c r="L28" s="4" t="n"/>
      <c r="M28" s="4" t="n"/>
      <c r="N28" s="16" t="n"/>
      <c r="O28" s="4" t="n"/>
      <c r="P28" s="16" t="n"/>
      <c r="Q28" s="4" t="n"/>
      <c r="R28" s="16" t="n"/>
      <c r="S28" s="20">
        <f>IF(OR(N28="",P28="",R28=""),"",(--TRIM(LEFT(N28,2)))*(--TRIM(LEFT(P28,2)))*(--TRIM(LEFT(R28,2))))</f>
        <v/>
      </c>
      <c r="T28" s="20">
        <f>IF(OR(N28="",P28="",R28=""),"",INDEX(APGrid,COUNTIF(APS,"&gt;"&amp;(--TRIM(LEFT(N28,2))))*5+COUNTIF(APO,"&gt;"&amp;(--TRIM(LEFT(P28,2))))+1,COUNTIF(APD,"&gt;"&amp;(--TRIM(LEFT(R28,2))))+1))</f>
        <v/>
      </c>
      <c r="U28" s="20">
        <f>IF(S28="","",IF(OR((--TRIM(LEFT(N28,2)))&gt;=SThr,S28&gt;=RPNThr,T28="H"),"Yes","No"))</f>
        <v/>
      </c>
      <c r="V28" s="4" t="n"/>
      <c r="W28" s="4" t="n"/>
      <c r="X28" s="4" t="n"/>
      <c r="Y28" s="29" t="n"/>
      <c r="Z28" s="16" t="n"/>
      <c r="AA28" s="16" t="n"/>
      <c r="AB28" s="16" t="n"/>
      <c r="AC28" s="20">
        <f>IF(OR(Z28="",AA28="",AB28=""),"",(--TRIM(LEFT(Z28,2)))*(--TRIM(LEFT(AA28,2)))*(--TRIM(LEFT(AB28,2))))</f>
        <v/>
      </c>
      <c r="AD28" s="20">
        <f>IF(OR(Z28="",AA28="",AB28=""),"",INDEX(APGrid,COUNTIF(APS,"&gt;"&amp;(--TRIM(LEFT(Z28,2))))*5+COUNTIF(APO,"&gt;"&amp;(--TRIM(LEFT(AA28,2))))+1,COUNTIF(APD,"&gt;"&amp;(--TRIM(LEFT(AB28,2))))+1))</f>
        <v/>
      </c>
      <c r="AE28" s="4" t="n"/>
      <c r="AF28" s="4" t="n"/>
      <c r="AH28">
        <f>IFERROR(INDEX(EqTag,_xlfn.AGGREGATE(15,6,(ROW(EqTag)-4)/((EqSys=$D$3)*(EqTag&lt;&gt;"")),ROWS($AH$14:AH28))),"")</f>
        <v/>
      </c>
    </row>
    <row r="29">
      <c r="A29" s="20">
        <f>IF(F29="","",LEFT($D$3,3)&amp;"-"&amp;TEXT(COUNTIF(F$14:F29,"?*"),"00"))</f>
        <v/>
      </c>
      <c r="B29" s="4" t="n"/>
      <c r="C29" s="5">
        <f>IF(B29="","",IFERROR(INDEX(EqTypeCol,MATCH(B29,EqTag,0)),"Tag not in register"))</f>
        <v/>
      </c>
      <c r="D29" s="4" t="n"/>
      <c r="E29" s="4" t="n"/>
      <c r="F29" s="4" t="n"/>
      <c r="G29" s="4" t="n"/>
      <c r="H29" s="4" t="n"/>
      <c r="I29" s="4" t="n"/>
      <c r="J29" s="5">
        <f>_xlfn.TEXTJOIN(CHAR(10),TRUE,IF(G29="","","• "&amp;G29),IF(H29="","","• "&amp;H29),IF(I29="","","• "&amp;I29))</f>
        <v/>
      </c>
      <c r="K29" s="4" t="n"/>
      <c r="L29" s="4" t="n"/>
      <c r="M29" s="4" t="n"/>
      <c r="N29" s="16" t="n"/>
      <c r="O29" s="4" t="n"/>
      <c r="P29" s="16" t="n"/>
      <c r="Q29" s="4" t="n"/>
      <c r="R29" s="16" t="n"/>
      <c r="S29" s="20">
        <f>IF(OR(N29="",P29="",R29=""),"",(--TRIM(LEFT(N29,2)))*(--TRIM(LEFT(P29,2)))*(--TRIM(LEFT(R29,2))))</f>
        <v/>
      </c>
      <c r="T29" s="20">
        <f>IF(OR(N29="",P29="",R29=""),"",INDEX(APGrid,COUNTIF(APS,"&gt;"&amp;(--TRIM(LEFT(N29,2))))*5+COUNTIF(APO,"&gt;"&amp;(--TRIM(LEFT(P29,2))))+1,COUNTIF(APD,"&gt;"&amp;(--TRIM(LEFT(R29,2))))+1))</f>
        <v/>
      </c>
      <c r="U29" s="20">
        <f>IF(S29="","",IF(OR((--TRIM(LEFT(N29,2)))&gt;=SThr,S29&gt;=RPNThr,T29="H"),"Yes","No"))</f>
        <v/>
      </c>
      <c r="V29" s="4" t="n"/>
      <c r="W29" s="4" t="n"/>
      <c r="X29" s="4" t="n"/>
      <c r="Y29" s="29" t="n"/>
      <c r="Z29" s="16" t="n"/>
      <c r="AA29" s="16" t="n"/>
      <c r="AB29" s="16" t="n"/>
      <c r="AC29" s="20">
        <f>IF(OR(Z29="",AA29="",AB29=""),"",(--TRIM(LEFT(Z29,2)))*(--TRIM(LEFT(AA29,2)))*(--TRIM(LEFT(AB29,2))))</f>
        <v/>
      </c>
      <c r="AD29" s="20">
        <f>IF(OR(Z29="",AA29="",AB29=""),"",INDEX(APGrid,COUNTIF(APS,"&gt;"&amp;(--TRIM(LEFT(Z29,2))))*5+COUNTIF(APO,"&gt;"&amp;(--TRIM(LEFT(AA29,2))))+1,COUNTIF(APD,"&gt;"&amp;(--TRIM(LEFT(AB29,2))))+1))</f>
        <v/>
      </c>
      <c r="AE29" s="4" t="n"/>
      <c r="AF29" s="4" t="n"/>
      <c r="AH29">
        <f>IFERROR(INDEX(EqTag,_xlfn.AGGREGATE(15,6,(ROW(EqTag)-4)/((EqSys=$D$3)*(EqTag&lt;&gt;"")),ROWS($AH$14:AH29))),"")</f>
        <v/>
      </c>
    </row>
    <row r="30">
      <c r="A30" s="20">
        <f>IF(F30="","",LEFT($D$3,3)&amp;"-"&amp;TEXT(COUNTIF(F$14:F30,"?*"),"00"))</f>
        <v/>
      </c>
      <c r="B30" s="4" t="n"/>
      <c r="C30" s="5">
        <f>IF(B30="","",IFERROR(INDEX(EqTypeCol,MATCH(B30,EqTag,0)),"Tag not in register"))</f>
        <v/>
      </c>
      <c r="D30" s="4" t="n"/>
      <c r="E30" s="4" t="n"/>
      <c r="F30" s="4" t="n"/>
      <c r="G30" s="4" t="n"/>
      <c r="H30" s="4" t="n"/>
      <c r="I30" s="4" t="n"/>
      <c r="J30" s="5">
        <f>_xlfn.TEXTJOIN(CHAR(10),TRUE,IF(G30="","","• "&amp;G30),IF(H30="","","• "&amp;H30),IF(I30="","","• "&amp;I30))</f>
        <v/>
      </c>
      <c r="K30" s="4" t="n"/>
      <c r="L30" s="4" t="n"/>
      <c r="M30" s="4" t="n"/>
      <c r="N30" s="16" t="n"/>
      <c r="O30" s="4" t="n"/>
      <c r="P30" s="16" t="n"/>
      <c r="Q30" s="4" t="n"/>
      <c r="R30" s="16" t="n"/>
      <c r="S30" s="20">
        <f>IF(OR(N30="",P30="",R30=""),"",(--TRIM(LEFT(N30,2)))*(--TRIM(LEFT(P30,2)))*(--TRIM(LEFT(R30,2))))</f>
        <v/>
      </c>
      <c r="T30" s="20">
        <f>IF(OR(N30="",P30="",R30=""),"",INDEX(APGrid,COUNTIF(APS,"&gt;"&amp;(--TRIM(LEFT(N30,2))))*5+COUNTIF(APO,"&gt;"&amp;(--TRIM(LEFT(P30,2))))+1,COUNTIF(APD,"&gt;"&amp;(--TRIM(LEFT(R30,2))))+1))</f>
        <v/>
      </c>
      <c r="U30" s="20">
        <f>IF(S30="","",IF(OR((--TRIM(LEFT(N30,2)))&gt;=SThr,S30&gt;=RPNThr,T30="H"),"Yes","No"))</f>
        <v/>
      </c>
      <c r="V30" s="4" t="n"/>
      <c r="W30" s="4" t="n"/>
      <c r="X30" s="4" t="n"/>
      <c r="Y30" s="29" t="n"/>
      <c r="Z30" s="16" t="n"/>
      <c r="AA30" s="16" t="n"/>
      <c r="AB30" s="16" t="n"/>
      <c r="AC30" s="20">
        <f>IF(OR(Z30="",AA30="",AB30=""),"",(--TRIM(LEFT(Z30,2)))*(--TRIM(LEFT(AA30,2)))*(--TRIM(LEFT(AB30,2))))</f>
        <v/>
      </c>
      <c r="AD30" s="20">
        <f>IF(OR(Z30="",AA30="",AB30=""),"",INDEX(APGrid,COUNTIF(APS,"&gt;"&amp;(--TRIM(LEFT(Z30,2))))*5+COUNTIF(APO,"&gt;"&amp;(--TRIM(LEFT(AA30,2))))+1,COUNTIF(APD,"&gt;"&amp;(--TRIM(LEFT(AB30,2))))+1))</f>
        <v/>
      </c>
      <c r="AE30" s="4" t="n"/>
      <c r="AF30" s="4" t="n"/>
      <c r="AH30">
        <f>IFERROR(INDEX(EqTag,_xlfn.AGGREGATE(15,6,(ROW(EqTag)-4)/((EqSys=$D$3)*(EqTag&lt;&gt;"")),ROWS($AH$14:AH30))),"")</f>
        <v/>
      </c>
    </row>
    <row r="31">
      <c r="A31" s="20">
        <f>IF(F31="","",LEFT($D$3,3)&amp;"-"&amp;TEXT(COUNTIF(F$14:F31,"?*"),"00"))</f>
        <v/>
      </c>
      <c r="B31" s="4" t="n"/>
      <c r="C31" s="5">
        <f>IF(B31="","",IFERROR(INDEX(EqTypeCol,MATCH(B31,EqTag,0)),"Tag not in register"))</f>
        <v/>
      </c>
      <c r="D31" s="4" t="n"/>
      <c r="E31" s="4" t="n"/>
      <c r="F31" s="4" t="n"/>
      <c r="G31" s="4" t="n"/>
      <c r="H31" s="4" t="n"/>
      <c r="I31" s="4" t="n"/>
      <c r="J31" s="5">
        <f>_xlfn.TEXTJOIN(CHAR(10),TRUE,IF(G31="","","• "&amp;G31),IF(H31="","","• "&amp;H31),IF(I31="","","• "&amp;I31))</f>
        <v/>
      </c>
      <c r="K31" s="4" t="n"/>
      <c r="L31" s="4" t="n"/>
      <c r="M31" s="4" t="n"/>
      <c r="N31" s="16" t="n"/>
      <c r="O31" s="4" t="n"/>
      <c r="P31" s="16" t="n"/>
      <c r="Q31" s="4" t="n"/>
      <c r="R31" s="16" t="n"/>
      <c r="S31" s="20">
        <f>IF(OR(N31="",P31="",R31=""),"",(--TRIM(LEFT(N31,2)))*(--TRIM(LEFT(P31,2)))*(--TRIM(LEFT(R31,2))))</f>
        <v/>
      </c>
      <c r="T31" s="20">
        <f>IF(OR(N31="",P31="",R31=""),"",INDEX(APGrid,COUNTIF(APS,"&gt;"&amp;(--TRIM(LEFT(N31,2))))*5+COUNTIF(APO,"&gt;"&amp;(--TRIM(LEFT(P31,2))))+1,COUNTIF(APD,"&gt;"&amp;(--TRIM(LEFT(R31,2))))+1))</f>
        <v/>
      </c>
      <c r="U31" s="20">
        <f>IF(S31="","",IF(OR((--TRIM(LEFT(N31,2)))&gt;=SThr,S31&gt;=RPNThr,T31="H"),"Yes","No"))</f>
        <v/>
      </c>
      <c r="V31" s="4" t="n"/>
      <c r="W31" s="4" t="n"/>
      <c r="X31" s="4" t="n"/>
      <c r="Y31" s="29" t="n"/>
      <c r="Z31" s="16" t="n"/>
      <c r="AA31" s="16" t="n"/>
      <c r="AB31" s="16" t="n"/>
      <c r="AC31" s="20">
        <f>IF(OR(Z31="",AA31="",AB31=""),"",(--TRIM(LEFT(Z31,2)))*(--TRIM(LEFT(AA31,2)))*(--TRIM(LEFT(AB31,2))))</f>
        <v/>
      </c>
      <c r="AD31" s="20">
        <f>IF(OR(Z31="",AA31="",AB31=""),"",INDEX(APGrid,COUNTIF(APS,"&gt;"&amp;(--TRIM(LEFT(Z31,2))))*5+COUNTIF(APO,"&gt;"&amp;(--TRIM(LEFT(AA31,2))))+1,COUNTIF(APD,"&gt;"&amp;(--TRIM(LEFT(AB31,2))))+1))</f>
        <v/>
      </c>
      <c r="AE31" s="4" t="n"/>
      <c r="AF31" s="4" t="n"/>
      <c r="AH31">
        <f>IFERROR(INDEX(EqTag,_xlfn.AGGREGATE(15,6,(ROW(EqTag)-4)/((EqSys=$D$3)*(EqTag&lt;&gt;"")),ROWS($AH$14:AH31))),"")</f>
        <v/>
      </c>
    </row>
    <row r="32">
      <c r="A32" s="20">
        <f>IF(F32="","",LEFT($D$3,3)&amp;"-"&amp;TEXT(COUNTIF(F$14:F32,"?*"),"00"))</f>
        <v/>
      </c>
      <c r="B32" s="4" t="n"/>
      <c r="C32" s="5">
        <f>IF(B32="","",IFERROR(INDEX(EqTypeCol,MATCH(B32,EqTag,0)),"Tag not in register"))</f>
        <v/>
      </c>
      <c r="D32" s="4" t="n"/>
      <c r="E32" s="4" t="n"/>
      <c r="F32" s="4" t="n"/>
      <c r="G32" s="4" t="n"/>
      <c r="H32" s="4" t="n"/>
      <c r="I32" s="4" t="n"/>
      <c r="J32" s="5">
        <f>_xlfn.TEXTJOIN(CHAR(10),TRUE,IF(G32="","","• "&amp;G32),IF(H32="","","• "&amp;H32),IF(I32="","","• "&amp;I32))</f>
        <v/>
      </c>
      <c r="K32" s="4" t="n"/>
      <c r="L32" s="4" t="n"/>
      <c r="M32" s="4" t="n"/>
      <c r="N32" s="16" t="n"/>
      <c r="O32" s="4" t="n"/>
      <c r="P32" s="16" t="n"/>
      <c r="Q32" s="4" t="n"/>
      <c r="R32" s="16" t="n"/>
      <c r="S32" s="20">
        <f>IF(OR(N32="",P32="",R32=""),"",(--TRIM(LEFT(N32,2)))*(--TRIM(LEFT(P32,2)))*(--TRIM(LEFT(R32,2))))</f>
        <v/>
      </c>
      <c r="T32" s="20">
        <f>IF(OR(N32="",P32="",R32=""),"",INDEX(APGrid,COUNTIF(APS,"&gt;"&amp;(--TRIM(LEFT(N32,2))))*5+COUNTIF(APO,"&gt;"&amp;(--TRIM(LEFT(P32,2))))+1,COUNTIF(APD,"&gt;"&amp;(--TRIM(LEFT(R32,2))))+1))</f>
        <v/>
      </c>
      <c r="U32" s="20">
        <f>IF(S32="","",IF(OR((--TRIM(LEFT(N32,2)))&gt;=SThr,S32&gt;=RPNThr,T32="H"),"Yes","No"))</f>
        <v/>
      </c>
      <c r="V32" s="4" t="n"/>
      <c r="W32" s="4" t="n"/>
      <c r="X32" s="4" t="n"/>
      <c r="Y32" s="29" t="n"/>
      <c r="Z32" s="16" t="n"/>
      <c r="AA32" s="16" t="n"/>
      <c r="AB32" s="16" t="n"/>
      <c r="AC32" s="20">
        <f>IF(OR(Z32="",AA32="",AB32=""),"",(--TRIM(LEFT(Z32,2)))*(--TRIM(LEFT(AA32,2)))*(--TRIM(LEFT(AB32,2))))</f>
        <v/>
      </c>
      <c r="AD32" s="20">
        <f>IF(OR(Z32="",AA32="",AB32=""),"",INDEX(APGrid,COUNTIF(APS,"&gt;"&amp;(--TRIM(LEFT(Z32,2))))*5+COUNTIF(APO,"&gt;"&amp;(--TRIM(LEFT(AA32,2))))+1,COUNTIF(APD,"&gt;"&amp;(--TRIM(LEFT(AB32,2))))+1))</f>
        <v/>
      </c>
      <c r="AE32" s="4" t="n"/>
      <c r="AF32" s="4" t="n"/>
      <c r="AH32">
        <f>IFERROR(INDEX(EqTag,_xlfn.AGGREGATE(15,6,(ROW(EqTag)-4)/((EqSys=$D$3)*(EqTag&lt;&gt;"")),ROWS($AH$14:AH32))),"")</f>
        <v/>
      </c>
    </row>
    <row r="33">
      <c r="A33" s="20">
        <f>IF(F33="","",LEFT($D$3,3)&amp;"-"&amp;TEXT(COUNTIF(F$14:F33,"?*"),"00"))</f>
        <v/>
      </c>
      <c r="B33" s="4" t="n"/>
      <c r="C33" s="5">
        <f>IF(B33="","",IFERROR(INDEX(EqTypeCol,MATCH(B33,EqTag,0)),"Tag not in register"))</f>
        <v/>
      </c>
      <c r="D33" s="4" t="n"/>
      <c r="E33" s="4" t="n"/>
      <c r="F33" s="4" t="n"/>
      <c r="G33" s="4" t="n"/>
      <c r="H33" s="4" t="n"/>
      <c r="I33" s="4" t="n"/>
      <c r="J33" s="5">
        <f>_xlfn.TEXTJOIN(CHAR(10),TRUE,IF(G33="","","• "&amp;G33),IF(H33="","","• "&amp;H33),IF(I33="","","• "&amp;I33))</f>
        <v/>
      </c>
      <c r="K33" s="4" t="n"/>
      <c r="L33" s="4" t="n"/>
      <c r="M33" s="4" t="n"/>
      <c r="N33" s="16" t="n"/>
      <c r="O33" s="4" t="n"/>
      <c r="P33" s="16" t="n"/>
      <c r="Q33" s="4" t="n"/>
      <c r="R33" s="16" t="n"/>
      <c r="S33" s="20">
        <f>IF(OR(N33="",P33="",R33=""),"",(--TRIM(LEFT(N33,2)))*(--TRIM(LEFT(P33,2)))*(--TRIM(LEFT(R33,2))))</f>
        <v/>
      </c>
      <c r="T33" s="20">
        <f>IF(OR(N33="",P33="",R33=""),"",INDEX(APGrid,COUNTIF(APS,"&gt;"&amp;(--TRIM(LEFT(N33,2))))*5+COUNTIF(APO,"&gt;"&amp;(--TRIM(LEFT(P33,2))))+1,COUNTIF(APD,"&gt;"&amp;(--TRIM(LEFT(R33,2))))+1))</f>
        <v/>
      </c>
      <c r="U33" s="20">
        <f>IF(S33="","",IF(OR((--TRIM(LEFT(N33,2)))&gt;=SThr,S33&gt;=RPNThr,T33="H"),"Yes","No"))</f>
        <v/>
      </c>
      <c r="V33" s="4" t="n"/>
      <c r="W33" s="4" t="n"/>
      <c r="X33" s="4" t="n"/>
      <c r="Y33" s="29" t="n"/>
      <c r="Z33" s="16" t="n"/>
      <c r="AA33" s="16" t="n"/>
      <c r="AB33" s="16" t="n"/>
      <c r="AC33" s="20">
        <f>IF(OR(Z33="",AA33="",AB33=""),"",(--TRIM(LEFT(Z33,2)))*(--TRIM(LEFT(AA33,2)))*(--TRIM(LEFT(AB33,2))))</f>
        <v/>
      </c>
      <c r="AD33" s="20">
        <f>IF(OR(Z33="",AA33="",AB33=""),"",INDEX(APGrid,COUNTIF(APS,"&gt;"&amp;(--TRIM(LEFT(Z33,2))))*5+COUNTIF(APO,"&gt;"&amp;(--TRIM(LEFT(AA33,2))))+1,COUNTIF(APD,"&gt;"&amp;(--TRIM(LEFT(AB33,2))))+1))</f>
        <v/>
      </c>
      <c r="AE33" s="4" t="n"/>
      <c r="AF33" s="4" t="n"/>
      <c r="AH33">
        <f>IFERROR(INDEX(EqTag,_xlfn.AGGREGATE(15,6,(ROW(EqTag)-4)/((EqSys=$D$3)*(EqTag&lt;&gt;"")),ROWS($AH$14:AH33))),"")</f>
        <v/>
      </c>
    </row>
    <row r="34">
      <c r="A34" s="20">
        <f>IF(F34="","",LEFT($D$3,3)&amp;"-"&amp;TEXT(COUNTIF(F$14:F34,"?*"),"00"))</f>
        <v/>
      </c>
      <c r="B34" s="4" t="n"/>
      <c r="C34" s="5">
        <f>IF(B34="","",IFERROR(INDEX(EqTypeCol,MATCH(B34,EqTag,0)),"Tag not in register"))</f>
        <v/>
      </c>
      <c r="D34" s="4" t="n"/>
      <c r="E34" s="4" t="n"/>
      <c r="F34" s="4" t="n"/>
      <c r="G34" s="4" t="n"/>
      <c r="H34" s="4" t="n"/>
      <c r="I34" s="4" t="n"/>
      <c r="J34" s="5">
        <f>_xlfn.TEXTJOIN(CHAR(10),TRUE,IF(G34="","","• "&amp;G34),IF(H34="","","• "&amp;H34),IF(I34="","","• "&amp;I34))</f>
        <v/>
      </c>
      <c r="K34" s="4" t="n"/>
      <c r="L34" s="4" t="n"/>
      <c r="M34" s="4" t="n"/>
      <c r="N34" s="16" t="n"/>
      <c r="O34" s="4" t="n"/>
      <c r="P34" s="16" t="n"/>
      <c r="Q34" s="4" t="n"/>
      <c r="R34" s="16" t="n"/>
      <c r="S34" s="20">
        <f>IF(OR(N34="",P34="",R34=""),"",(--TRIM(LEFT(N34,2)))*(--TRIM(LEFT(P34,2)))*(--TRIM(LEFT(R34,2))))</f>
        <v/>
      </c>
      <c r="T34" s="20">
        <f>IF(OR(N34="",P34="",R34=""),"",INDEX(APGrid,COUNTIF(APS,"&gt;"&amp;(--TRIM(LEFT(N34,2))))*5+COUNTIF(APO,"&gt;"&amp;(--TRIM(LEFT(P34,2))))+1,COUNTIF(APD,"&gt;"&amp;(--TRIM(LEFT(R34,2))))+1))</f>
        <v/>
      </c>
      <c r="U34" s="20">
        <f>IF(S34="","",IF(OR((--TRIM(LEFT(N34,2)))&gt;=SThr,S34&gt;=RPNThr,T34="H"),"Yes","No"))</f>
        <v/>
      </c>
      <c r="V34" s="4" t="n"/>
      <c r="W34" s="4" t="n"/>
      <c r="X34" s="4" t="n"/>
      <c r="Y34" s="29" t="n"/>
      <c r="Z34" s="16" t="n"/>
      <c r="AA34" s="16" t="n"/>
      <c r="AB34" s="16" t="n"/>
      <c r="AC34" s="20">
        <f>IF(OR(Z34="",AA34="",AB34=""),"",(--TRIM(LEFT(Z34,2)))*(--TRIM(LEFT(AA34,2)))*(--TRIM(LEFT(AB34,2))))</f>
        <v/>
      </c>
      <c r="AD34" s="20">
        <f>IF(OR(Z34="",AA34="",AB34=""),"",INDEX(APGrid,COUNTIF(APS,"&gt;"&amp;(--TRIM(LEFT(Z34,2))))*5+COUNTIF(APO,"&gt;"&amp;(--TRIM(LEFT(AA34,2))))+1,COUNTIF(APD,"&gt;"&amp;(--TRIM(LEFT(AB34,2))))+1))</f>
        <v/>
      </c>
      <c r="AE34" s="4" t="n"/>
      <c r="AF34" s="4" t="n"/>
      <c r="AH34">
        <f>IFERROR(INDEX(EqTag,_xlfn.AGGREGATE(15,6,(ROW(EqTag)-4)/((EqSys=$D$3)*(EqTag&lt;&gt;"")),ROWS($AH$14:AH34))),"")</f>
        <v/>
      </c>
    </row>
    <row r="35">
      <c r="A35" s="20">
        <f>IF(F35="","",LEFT($D$3,3)&amp;"-"&amp;TEXT(COUNTIF(F$14:F35,"?*"),"00"))</f>
        <v/>
      </c>
      <c r="B35" s="4" t="n"/>
      <c r="C35" s="5">
        <f>IF(B35="","",IFERROR(INDEX(EqTypeCol,MATCH(B35,EqTag,0)),"Tag not in register"))</f>
        <v/>
      </c>
      <c r="D35" s="4" t="n"/>
      <c r="E35" s="4" t="n"/>
      <c r="F35" s="4" t="n"/>
      <c r="G35" s="4" t="n"/>
      <c r="H35" s="4" t="n"/>
      <c r="I35" s="4" t="n"/>
      <c r="J35" s="5">
        <f>_xlfn.TEXTJOIN(CHAR(10),TRUE,IF(G35="","","• "&amp;G35),IF(H35="","","• "&amp;H35),IF(I35="","","• "&amp;I35))</f>
        <v/>
      </c>
      <c r="K35" s="4" t="n"/>
      <c r="L35" s="4" t="n"/>
      <c r="M35" s="4" t="n"/>
      <c r="N35" s="16" t="n"/>
      <c r="O35" s="4" t="n"/>
      <c r="P35" s="16" t="n"/>
      <c r="Q35" s="4" t="n"/>
      <c r="R35" s="16" t="n"/>
      <c r="S35" s="20">
        <f>IF(OR(N35="",P35="",R35=""),"",(--TRIM(LEFT(N35,2)))*(--TRIM(LEFT(P35,2)))*(--TRIM(LEFT(R35,2))))</f>
        <v/>
      </c>
      <c r="T35" s="20">
        <f>IF(OR(N35="",P35="",R35=""),"",INDEX(APGrid,COUNTIF(APS,"&gt;"&amp;(--TRIM(LEFT(N35,2))))*5+COUNTIF(APO,"&gt;"&amp;(--TRIM(LEFT(P35,2))))+1,COUNTIF(APD,"&gt;"&amp;(--TRIM(LEFT(R35,2))))+1))</f>
        <v/>
      </c>
      <c r="U35" s="20">
        <f>IF(S35="","",IF(OR((--TRIM(LEFT(N35,2)))&gt;=SThr,S35&gt;=RPNThr,T35="H"),"Yes","No"))</f>
        <v/>
      </c>
      <c r="V35" s="4" t="n"/>
      <c r="W35" s="4" t="n"/>
      <c r="X35" s="4" t="n"/>
      <c r="Y35" s="29" t="n"/>
      <c r="Z35" s="16" t="n"/>
      <c r="AA35" s="16" t="n"/>
      <c r="AB35" s="16" t="n"/>
      <c r="AC35" s="20">
        <f>IF(OR(Z35="",AA35="",AB35=""),"",(--TRIM(LEFT(Z35,2)))*(--TRIM(LEFT(AA35,2)))*(--TRIM(LEFT(AB35,2))))</f>
        <v/>
      </c>
      <c r="AD35" s="20">
        <f>IF(OR(Z35="",AA35="",AB35=""),"",INDEX(APGrid,COUNTIF(APS,"&gt;"&amp;(--TRIM(LEFT(Z35,2))))*5+COUNTIF(APO,"&gt;"&amp;(--TRIM(LEFT(AA35,2))))+1,COUNTIF(APD,"&gt;"&amp;(--TRIM(LEFT(AB35,2))))+1))</f>
        <v/>
      </c>
      <c r="AE35" s="4" t="n"/>
      <c r="AF35" s="4" t="n"/>
      <c r="AH35">
        <f>IFERROR(INDEX(EqTag,_xlfn.AGGREGATE(15,6,(ROW(EqTag)-4)/((EqSys=$D$3)*(EqTag&lt;&gt;"")),ROWS($AH$14:AH35))),"")</f>
        <v/>
      </c>
    </row>
    <row r="36">
      <c r="A36" s="20">
        <f>IF(F36="","",LEFT($D$3,3)&amp;"-"&amp;TEXT(COUNTIF(F$14:F36,"?*"),"00"))</f>
        <v/>
      </c>
      <c r="B36" s="4" t="n"/>
      <c r="C36" s="5">
        <f>IF(B36="","",IFERROR(INDEX(EqTypeCol,MATCH(B36,EqTag,0)),"Tag not in register"))</f>
        <v/>
      </c>
      <c r="D36" s="4" t="n"/>
      <c r="E36" s="4" t="n"/>
      <c r="F36" s="4" t="n"/>
      <c r="G36" s="4" t="n"/>
      <c r="H36" s="4" t="n"/>
      <c r="I36" s="4" t="n"/>
      <c r="J36" s="5">
        <f>_xlfn.TEXTJOIN(CHAR(10),TRUE,IF(G36="","","• "&amp;G36),IF(H36="","","• "&amp;H36),IF(I36="","","• "&amp;I36))</f>
        <v/>
      </c>
      <c r="K36" s="4" t="n"/>
      <c r="L36" s="4" t="n"/>
      <c r="M36" s="4" t="n"/>
      <c r="N36" s="16" t="n"/>
      <c r="O36" s="4" t="n"/>
      <c r="P36" s="16" t="n"/>
      <c r="Q36" s="4" t="n"/>
      <c r="R36" s="16" t="n"/>
      <c r="S36" s="20">
        <f>IF(OR(N36="",P36="",R36=""),"",(--TRIM(LEFT(N36,2)))*(--TRIM(LEFT(P36,2)))*(--TRIM(LEFT(R36,2))))</f>
        <v/>
      </c>
      <c r="T36" s="20">
        <f>IF(OR(N36="",P36="",R36=""),"",INDEX(APGrid,COUNTIF(APS,"&gt;"&amp;(--TRIM(LEFT(N36,2))))*5+COUNTIF(APO,"&gt;"&amp;(--TRIM(LEFT(P36,2))))+1,COUNTIF(APD,"&gt;"&amp;(--TRIM(LEFT(R36,2))))+1))</f>
        <v/>
      </c>
      <c r="U36" s="20">
        <f>IF(S36="","",IF(OR((--TRIM(LEFT(N36,2)))&gt;=SThr,S36&gt;=RPNThr,T36="H"),"Yes","No"))</f>
        <v/>
      </c>
      <c r="V36" s="4" t="n"/>
      <c r="W36" s="4" t="n"/>
      <c r="X36" s="4" t="n"/>
      <c r="Y36" s="29" t="n"/>
      <c r="Z36" s="16" t="n"/>
      <c r="AA36" s="16" t="n"/>
      <c r="AB36" s="16" t="n"/>
      <c r="AC36" s="20">
        <f>IF(OR(Z36="",AA36="",AB36=""),"",(--TRIM(LEFT(Z36,2)))*(--TRIM(LEFT(AA36,2)))*(--TRIM(LEFT(AB36,2))))</f>
        <v/>
      </c>
      <c r="AD36" s="20">
        <f>IF(OR(Z36="",AA36="",AB36=""),"",INDEX(APGrid,COUNTIF(APS,"&gt;"&amp;(--TRIM(LEFT(Z36,2))))*5+COUNTIF(APO,"&gt;"&amp;(--TRIM(LEFT(AA36,2))))+1,COUNTIF(APD,"&gt;"&amp;(--TRIM(LEFT(AB36,2))))+1))</f>
        <v/>
      </c>
      <c r="AE36" s="4" t="n"/>
      <c r="AF36" s="4" t="n"/>
      <c r="AH36">
        <f>IFERROR(INDEX(EqTag,_xlfn.AGGREGATE(15,6,(ROW(EqTag)-4)/((EqSys=$D$3)*(EqTag&lt;&gt;"")),ROWS($AH$14:AH36))),"")</f>
        <v/>
      </c>
    </row>
    <row r="37">
      <c r="A37" s="20">
        <f>IF(F37="","",LEFT($D$3,3)&amp;"-"&amp;TEXT(COUNTIF(F$14:F37,"?*"),"00"))</f>
        <v/>
      </c>
      <c r="B37" s="4" t="n"/>
      <c r="C37" s="5">
        <f>IF(B37="","",IFERROR(INDEX(EqTypeCol,MATCH(B37,EqTag,0)),"Tag not in register"))</f>
        <v/>
      </c>
      <c r="D37" s="4" t="n"/>
      <c r="E37" s="4" t="n"/>
      <c r="F37" s="4" t="n"/>
      <c r="G37" s="4" t="n"/>
      <c r="H37" s="4" t="n"/>
      <c r="I37" s="4" t="n"/>
      <c r="J37" s="5">
        <f>_xlfn.TEXTJOIN(CHAR(10),TRUE,IF(G37="","","• "&amp;G37),IF(H37="","","• "&amp;H37),IF(I37="","","• "&amp;I37))</f>
        <v/>
      </c>
      <c r="K37" s="4" t="n"/>
      <c r="L37" s="4" t="n"/>
      <c r="M37" s="4" t="n"/>
      <c r="N37" s="16" t="n"/>
      <c r="O37" s="4" t="n"/>
      <c r="P37" s="16" t="n"/>
      <c r="Q37" s="4" t="n"/>
      <c r="R37" s="16" t="n"/>
      <c r="S37" s="20">
        <f>IF(OR(N37="",P37="",R37=""),"",(--TRIM(LEFT(N37,2)))*(--TRIM(LEFT(P37,2)))*(--TRIM(LEFT(R37,2))))</f>
        <v/>
      </c>
      <c r="T37" s="20">
        <f>IF(OR(N37="",P37="",R37=""),"",INDEX(APGrid,COUNTIF(APS,"&gt;"&amp;(--TRIM(LEFT(N37,2))))*5+COUNTIF(APO,"&gt;"&amp;(--TRIM(LEFT(P37,2))))+1,COUNTIF(APD,"&gt;"&amp;(--TRIM(LEFT(R37,2))))+1))</f>
        <v/>
      </c>
      <c r="U37" s="20">
        <f>IF(S37="","",IF(OR((--TRIM(LEFT(N37,2)))&gt;=SThr,S37&gt;=RPNThr,T37="H"),"Yes","No"))</f>
        <v/>
      </c>
      <c r="V37" s="4" t="n"/>
      <c r="W37" s="4" t="n"/>
      <c r="X37" s="4" t="n"/>
      <c r="Y37" s="29" t="n"/>
      <c r="Z37" s="16" t="n"/>
      <c r="AA37" s="16" t="n"/>
      <c r="AB37" s="16" t="n"/>
      <c r="AC37" s="20">
        <f>IF(OR(Z37="",AA37="",AB37=""),"",(--TRIM(LEFT(Z37,2)))*(--TRIM(LEFT(AA37,2)))*(--TRIM(LEFT(AB37,2))))</f>
        <v/>
      </c>
      <c r="AD37" s="20">
        <f>IF(OR(Z37="",AA37="",AB37=""),"",INDEX(APGrid,COUNTIF(APS,"&gt;"&amp;(--TRIM(LEFT(Z37,2))))*5+COUNTIF(APO,"&gt;"&amp;(--TRIM(LEFT(AA37,2))))+1,COUNTIF(APD,"&gt;"&amp;(--TRIM(LEFT(AB37,2))))+1))</f>
        <v/>
      </c>
      <c r="AE37" s="4" t="n"/>
      <c r="AF37" s="4" t="n"/>
      <c r="AH37">
        <f>IFERROR(INDEX(EqTag,_xlfn.AGGREGATE(15,6,(ROW(EqTag)-4)/((EqSys=$D$3)*(EqTag&lt;&gt;"")),ROWS($AH$14:AH37))),"")</f>
        <v/>
      </c>
    </row>
    <row r="38">
      <c r="A38" s="20">
        <f>IF(F38="","",LEFT($D$3,3)&amp;"-"&amp;TEXT(COUNTIF(F$14:F38,"?*"),"00"))</f>
        <v/>
      </c>
      <c r="B38" s="4" t="n"/>
      <c r="C38" s="5">
        <f>IF(B38="","",IFERROR(INDEX(EqTypeCol,MATCH(B38,EqTag,0)),"Tag not in register"))</f>
        <v/>
      </c>
      <c r="D38" s="4" t="n"/>
      <c r="E38" s="4" t="n"/>
      <c r="F38" s="4" t="n"/>
      <c r="G38" s="4" t="n"/>
      <c r="H38" s="4" t="n"/>
      <c r="I38" s="4" t="n"/>
      <c r="J38" s="5">
        <f>_xlfn.TEXTJOIN(CHAR(10),TRUE,IF(G38="","","• "&amp;G38),IF(H38="","","• "&amp;H38),IF(I38="","","• "&amp;I38))</f>
        <v/>
      </c>
      <c r="K38" s="4" t="n"/>
      <c r="L38" s="4" t="n"/>
      <c r="M38" s="4" t="n"/>
      <c r="N38" s="16" t="n"/>
      <c r="O38" s="4" t="n"/>
      <c r="P38" s="16" t="n"/>
      <c r="Q38" s="4" t="n"/>
      <c r="R38" s="16" t="n"/>
      <c r="S38" s="20">
        <f>IF(OR(N38="",P38="",R38=""),"",(--TRIM(LEFT(N38,2)))*(--TRIM(LEFT(P38,2)))*(--TRIM(LEFT(R38,2))))</f>
        <v/>
      </c>
      <c r="T38" s="20">
        <f>IF(OR(N38="",P38="",R38=""),"",INDEX(APGrid,COUNTIF(APS,"&gt;"&amp;(--TRIM(LEFT(N38,2))))*5+COUNTIF(APO,"&gt;"&amp;(--TRIM(LEFT(P38,2))))+1,COUNTIF(APD,"&gt;"&amp;(--TRIM(LEFT(R38,2))))+1))</f>
        <v/>
      </c>
      <c r="U38" s="20">
        <f>IF(S38="","",IF(OR((--TRIM(LEFT(N38,2)))&gt;=SThr,S38&gt;=RPNThr,T38="H"),"Yes","No"))</f>
        <v/>
      </c>
      <c r="V38" s="4" t="n"/>
      <c r="W38" s="4" t="n"/>
      <c r="X38" s="4" t="n"/>
      <c r="Y38" s="29" t="n"/>
      <c r="Z38" s="16" t="n"/>
      <c r="AA38" s="16" t="n"/>
      <c r="AB38" s="16" t="n"/>
      <c r="AC38" s="20">
        <f>IF(OR(Z38="",AA38="",AB38=""),"",(--TRIM(LEFT(Z38,2)))*(--TRIM(LEFT(AA38,2)))*(--TRIM(LEFT(AB38,2))))</f>
        <v/>
      </c>
      <c r="AD38" s="20">
        <f>IF(OR(Z38="",AA38="",AB38=""),"",INDEX(APGrid,COUNTIF(APS,"&gt;"&amp;(--TRIM(LEFT(Z38,2))))*5+COUNTIF(APO,"&gt;"&amp;(--TRIM(LEFT(AA38,2))))+1,COUNTIF(APD,"&gt;"&amp;(--TRIM(LEFT(AB38,2))))+1))</f>
        <v/>
      </c>
      <c r="AE38" s="4" t="n"/>
      <c r="AF38" s="4" t="n"/>
      <c r="AH38">
        <f>IFERROR(INDEX(EqTag,_xlfn.AGGREGATE(15,6,(ROW(EqTag)-4)/((EqSys=$D$3)*(EqTag&lt;&gt;"")),ROWS($AH$14:AH38))),"")</f>
        <v/>
      </c>
    </row>
    <row r="39">
      <c r="A39" s="20">
        <f>IF(F39="","",LEFT($D$3,3)&amp;"-"&amp;TEXT(COUNTIF(F$14:F39,"?*"),"00"))</f>
        <v/>
      </c>
      <c r="B39" s="4" t="n"/>
      <c r="C39" s="5">
        <f>IF(B39="","",IFERROR(INDEX(EqTypeCol,MATCH(B39,EqTag,0)),"Tag not in register"))</f>
        <v/>
      </c>
      <c r="D39" s="4" t="n"/>
      <c r="E39" s="4" t="n"/>
      <c r="F39" s="4" t="n"/>
      <c r="G39" s="4" t="n"/>
      <c r="H39" s="4" t="n"/>
      <c r="I39" s="4" t="n"/>
      <c r="J39" s="5">
        <f>_xlfn.TEXTJOIN(CHAR(10),TRUE,IF(G39="","","• "&amp;G39),IF(H39="","","• "&amp;H39),IF(I39="","","• "&amp;I39))</f>
        <v/>
      </c>
      <c r="K39" s="4" t="n"/>
      <c r="L39" s="4" t="n"/>
      <c r="M39" s="4" t="n"/>
      <c r="N39" s="16" t="n"/>
      <c r="O39" s="4" t="n"/>
      <c r="P39" s="16" t="n"/>
      <c r="Q39" s="4" t="n"/>
      <c r="R39" s="16" t="n"/>
      <c r="S39" s="20">
        <f>IF(OR(N39="",P39="",R39=""),"",(--TRIM(LEFT(N39,2)))*(--TRIM(LEFT(P39,2)))*(--TRIM(LEFT(R39,2))))</f>
        <v/>
      </c>
      <c r="T39" s="20">
        <f>IF(OR(N39="",P39="",R39=""),"",INDEX(APGrid,COUNTIF(APS,"&gt;"&amp;(--TRIM(LEFT(N39,2))))*5+COUNTIF(APO,"&gt;"&amp;(--TRIM(LEFT(P39,2))))+1,COUNTIF(APD,"&gt;"&amp;(--TRIM(LEFT(R39,2))))+1))</f>
        <v/>
      </c>
      <c r="U39" s="20">
        <f>IF(S39="","",IF(OR((--TRIM(LEFT(N39,2)))&gt;=SThr,S39&gt;=RPNThr,T39="H"),"Yes","No"))</f>
        <v/>
      </c>
      <c r="V39" s="4" t="n"/>
      <c r="W39" s="4" t="n"/>
      <c r="X39" s="4" t="n"/>
      <c r="Y39" s="29" t="n"/>
      <c r="Z39" s="16" t="n"/>
      <c r="AA39" s="16" t="n"/>
      <c r="AB39" s="16" t="n"/>
      <c r="AC39" s="20">
        <f>IF(OR(Z39="",AA39="",AB39=""),"",(--TRIM(LEFT(Z39,2)))*(--TRIM(LEFT(AA39,2)))*(--TRIM(LEFT(AB39,2))))</f>
        <v/>
      </c>
      <c r="AD39" s="20">
        <f>IF(OR(Z39="",AA39="",AB39=""),"",INDEX(APGrid,COUNTIF(APS,"&gt;"&amp;(--TRIM(LEFT(Z39,2))))*5+COUNTIF(APO,"&gt;"&amp;(--TRIM(LEFT(AA39,2))))+1,COUNTIF(APD,"&gt;"&amp;(--TRIM(LEFT(AB39,2))))+1))</f>
        <v/>
      </c>
      <c r="AE39" s="4" t="n"/>
      <c r="AF39" s="4" t="n"/>
      <c r="AH39">
        <f>IFERROR(INDEX(EqTag,_xlfn.AGGREGATE(15,6,(ROW(EqTag)-4)/((EqSys=$D$3)*(EqTag&lt;&gt;"")),ROWS($AH$14:AH39))),"")</f>
        <v/>
      </c>
    </row>
    <row r="40">
      <c r="A40" s="20">
        <f>IF(F40="","",LEFT($D$3,3)&amp;"-"&amp;TEXT(COUNTIF(F$14:F40,"?*"),"00"))</f>
        <v/>
      </c>
      <c r="B40" s="4" t="n"/>
      <c r="C40" s="5">
        <f>IF(B40="","",IFERROR(INDEX(EqTypeCol,MATCH(B40,EqTag,0)),"Tag not in register"))</f>
        <v/>
      </c>
      <c r="D40" s="4" t="n"/>
      <c r="E40" s="4" t="n"/>
      <c r="F40" s="4" t="n"/>
      <c r="G40" s="4" t="n"/>
      <c r="H40" s="4" t="n"/>
      <c r="I40" s="4" t="n"/>
      <c r="J40" s="5">
        <f>_xlfn.TEXTJOIN(CHAR(10),TRUE,IF(G40="","","• "&amp;G40),IF(H40="","","• "&amp;H40),IF(I40="","","• "&amp;I40))</f>
        <v/>
      </c>
      <c r="K40" s="4" t="n"/>
      <c r="L40" s="4" t="n"/>
      <c r="M40" s="4" t="n"/>
      <c r="N40" s="16" t="n"/>
      <c r="O40" s="4" t="n"/>
      <c r="P40" s="16" t="n"/>
      <c r="Q40" s="4" t="n"/>
      <c r="R40" s="16" t="n"/>
      <c r="S40" s="20">
        <f>IF(OR(N40="",P40="",R40=""),"",(--TRIM(LEFT(N40,2)))*(--TRIM(LEFT(P40,2)))*(--TRIM(LEFT(R40,2))))</f>
        <v/>
      </c>
      <c r="T40" s="20">
        <f>IF(OR(N40="",P40="",R40=""),"",INDEX(APGrid,COUNTIF(APS,"&gt;"&amp;(--TRIM(LEFT(N40,2))))*5+COUNTIF(APO,"&gt;"&amp;(--TRIM(LEFT(P40,2))))+1,COUNTIF(APD,"&gt;"&amp;(--TRIM(LEFT(R40,2))))+1))</f>
        <v/>
      </c>
      <c r="U40" s="20">
        <f>IF(S40="","",IF(OR((--TRIM(LEFT(N40,2)))&gt;=SThr,S40&gt;=RPNThr,T40="H"),"Yes","No"))</f>
        <v/>
      </c>
      <c r="V40" s="4" t="n"/>
      <c r="W40" s="4" t="n"/>
      <c r="X40" s="4" t="n"/>
      <c r="Y40" s="29" t="n"/>
      <c r="Z40" s="16" t="n"/>
      <c r="AA40" s="16" t="n"/>
      <c r="AB40" s="16" t="n"/>
      <c r="AC40" s="20">
        <f>IF(OR(Z40="",AA40="",AB40=""),"",(--TRIM(LEFT(Z40,2)))*(--TRIM(LEFT(AA40,2)))*(--TRIM(LEFT(AB40,2))))</f>
        <v/>
      </c>
      <c r="AD40" s="20">
        <f>IF(OR(Z40="",AA40="",AB40=""),"",INDEX(APGrid,COUNTIF(APS,"&gt;"&amp;(--TRIM(LEFT(Z40,2))))*5+COUNTIF(APO,"&gt;"&amp;(--TRIM(LEFT(AA40,2))))+1,COUNTIF(APD,"&gt;"&amp;(--TRIM(LEFT(AB40,2))))+1))</f>
        <v/>
      </c>
      <c r="AE40" s="4" t="n"/>
      <c r="AF40" s="4" t="n"/>
      <c r="AH40">
        <f>IFERROR(INDEX(EqTag,_xlfn.AGGREGATE(15,6,(ROW(EqTag)-4)/((EqSys=$D$3)*(EqTag&lt;&gt;"")),ROWS($AH$14:AH40))),"")</f>
        <v/>
      </c>
    </row>
    <row r="41">
      <c r="A41" s="20">
        <f>IF(F41="","",LEFT($D$3,3)&amp;"-"&amp;TEXT(COUNTIF(F$14:F41,"?*"),"00"))</f>
        <v/>
      </c>
      <c r="B41" s="4" t="n"/>
      <c r="C41" s="5">
        <f>IF(B41="","",IFERROR(INDEX(EqTypeCol,MATCH(B41,EqTag,0)),"Tag not in register"))</f>
        <v/>
      </c>
      <c r="D41" s="4" t="n"/>
      <c r="E41" s="4" t="n"/>
      <c r="F41" s="4" t="n"/>
      <c r="G41" s="4" t="n"/>
      <c r="H41" s="4" t="n"/>
      <c r="I41" s="4" t="n"/>
      <c r="J41" s="5">
        <f>_xlfn.TEXTJOIN(CHAR(10),TRUE,IF(G41="","","• "&amp;G41),IF(H41="","","• "&amp;H41),IF(I41="","","• "&amp;I41))</f>
        <v/>
      </c>
      <c r="K41" s="4" t="n"/>
      <c r="L41" s="4" t="n"/>
      <c r="M41" s="4" t="n"/>
      <c r="N41" s="16" t="n"/>
      <c r="O41" s="4" t="n"/>
      <c r="P41" s="16" t="n"/>
      <c r="Q41" s="4" t="n"/>
      <c r="R41" s="16" t="n"/>
      <c r="S41" s="20">
        <f>IF(OR(N41="",P41="",R41=""),"",(--TRIM(LEFT(N41,2)))*(--TRIM(LEFT(P41,2)))*(--TRIM(LEFT(R41,2))))</f>
        <v/>
      </c>
      <c r="T41" s="20">
        <f>IF(OR(N41="",P41="",R41=""),"",INDEX(APGrid,COUNTIF(APS,"&gt;"&amp;(--TRIM(LEFT(N41,2))))*5+COUNTIF(APO,"&gt;"&amp;(--TRIM(LEFT(P41,2))))+1,COUNTIF(APD,"&gt;"&amp;(--TRIM(LEFT(R41,2))))+1))</f>
        <v/>
      </c>
      <c r="U41" s="20">
        <f>IF(S41="","",IF(OR((--TRIM(LEFT(N41,2)))&gt;=SThr,S41&gt;=RPNThr,T41="H"),"Yes","No"))</f>
        <v/>
      </c>
      <c r="V41" s="4" t="n"/>
      <c r="W41" s="4" t="n"/>
      <c r="X41" s="4" t="n"/>
      <c r="Y41" s="29" t="n"/>
      <c r="Z41" s="16" t="n"/>
      <c r="AA41" s="16" t="n"/>
      <c r="AB41" s="16" t="n"/>
      <c r="AC41" s="20">
        <f>IF(OR(Z41="",AA41="",AB41=""),"",(--TRIM(LEFT(Z41,2)))*(--TRIM(LEFT(AA41,2)))*(--TRIM(LEFT(AB41,2))))</f>
        <v/>
      </c>
      <c r="AD41" s="20">
        <f>IF(OR(Z41="",AA41="",AB41=""),"",INDEX(APGrid,COUNTIF(APS,"&gt;"&amp;(--TRIM(LEFT(Z41,2))))*5+COUNTIF(APO,"&gt;"&amp;(--TRIM(LEFT(AA41,2))))+1,COUNTIF(APD,"&gt;"&amp;(--TRIM(LEFT(AB41,2))))+1))</f>
        <v/>
      </c>
      <c r="AE41" s="4" t="n"/>
      <c r="AF41" s="4" t="n"/>
      <c r="AH41">
        <f>IFERROR(INDEX(EqTag,_xlfn.AGGREGATE(15,6,(ROW(EqTag)-4)/((EqSys=$D$3)*(EqTag&lt;&gt;"")),ROWS($AH$14:AH41))),"")</f>
        <v/>
      </c>
    </row>
    <row r="42">
      <c r="A42" s="20">
        <f>IF(F42="","",LEFT($D$3,3)&amp;"-"&amp;TEXT(COUNTIF(F$14:F42,"?*"),"00"))</f>
        <v/>
      </c>
      <c r="B42" s="4" t="n"/>
      <c r="C42" s="5">
        <f>IF(B42="","",IFERROR(INDEX(EqTypeCol,MATCH(B42,EqTag,0)),"Tag not in register"))</f>
        <v/>
      </c>
      <c r="D42" s="4" t="n"/>
      <c r="E42" s="4" t="n"/>
      <c r="F42" s="4" t="n"/>
      <c r="G42" s="4" t="n"/>
      <c r="H42" s="4" t="n"/>
      <c r="I42" s="4" t="n"/>
      <c r="J42" s="5">
        <f>_xlfn.TEXTJOIN(CHAR(10),TRUE,IF(G42="","","• "&amp;G42),IF(H42="","","• "&amp;H42),IF(I42="","","• "&amp;I42))</f>
        <v/>
      </c>
      <c r="K42" s="4" t="n"/>
      <c r="L42" s="4" t="n"/>
      <c r="M42" s="4" t="n"/>
      <c r="N42" s="16" t="n"/>
      <c r="O42" s="4" t="n"/>
      <c r="P42" s="16" t="n"/>
      <c r="Q42" s="4" t="n"/>
      <c r="R42" s="16" t="n"/>
      <c r="S42" s="20">
        <f>IF(OR(N42="",P42="",R42=""),"",(--TRIM(LEFT(N42,2)))*(--TRIM(LEFT(P42,2)))*(--TRIM(LEFT(R42,2))))</f>
        <v/>
      </c>
      <c r="T42" s="20">
        <f>IF(OR(N42="",P42="",R42=""),"",INDEX(APGrid,COUNTIF(APS,"&gt;"&amp;(--TRIM(LEFT(N42,2))))*5+COUNTIF(APO,"&gt;"&amp;(--TRIM(LEFT(P42,2))))+1,COUNTIF(APD,"&gt;"&amp;(--TRIM(LEFT(R42,2))))+1))</f>
        <v/>
      </c>
      <c r="U42" s="20">
        <f>IF(S42="","",IF(OR((--TRIM(LEFT(N42,2)))&gt;=SThr,S42&gt;=RPNThr,T42="H"),"Yes","No"))</f>
        <v/>
      </c>
      <c r="V42" s="4" t="n"/>
      <c r="W42" s="4" t="n"/>
      <c r="X42" s="4" t="n"/>
      <c r="Y42" s="29" t="n"/>
      <c r="Z42" s="16" t="n"/>
      <c r="AA42" s="16" t="n"/>
      <c r="AB42" s="16" t="n"/>
      <c r="AC42" s="20">
        <f>IF(OR(Z42="",AA42="",AB42=""),"",(--TRIM(LEFT(Z42,2)))*(--TRIM(LEFT(AA42,2)))*(--TRIM(LEFT(AB42,2))))</f>
        <v/>
      </c>
      <c r="AD42" s="20">
        <f>IF(OR(Z42="",AA42="",AB42=""),"",INDEX(APGrid,COUNTIF(APS,"&gt;"&amp;(--TRIM(LEFT(Z42,2))))*5+COUNTIF(APO,"&gt;"&amp;(--TRIM(LEFT(AA42,2))))+1,COUNTIF(APD,"&gt;"&amp;(--TRIM(LEFT(AB42,2))))+1))</f>
        <v/>
      </c>
      <c r="AE42" s="4" t="n"/>
      <c r="AF42" s="4" t="n"/>
      <c r="AH42">
        <f>IFERROR(INDEX(EqTag,_xlfn.AGGREGATE(15,6,(ROW(EqTag)-4)/((EqSys=$D$3)*(EqTag&lt;&gt;"")),ROWS($AH$14:AH42))),"")</f>
        <v/>
      </c>
    </row>
    <row r="43">
      <c r="A43" s="20">
        <f>IF(F43="","",LEFT($D$3,3)&amp;"-"&amp;TEXT(COUNTIF(F$14:F43,"?*"),"00"))</f>
        <v/>
      </c>
      <c r="B43" s="4" t="n"/>
      <c r="C43" s="5">
        <f>IF(B43="","",IFERROR(INDEX(EqTypeCol,MATCH(B43,EqTag,0)),"Tag not in register"))</f>
        <v/>
      </c>
      <c r="D43" s="4" t="n"/>
      <c r="E43" s="4" t="n"/>
      <c r="F43" s="4" t="n"/>
      <c r="G43" s="4" t="n"/>
      <c r="H43" s="4" t="n"/>
      <c r="I43" s="4" t="n"/>
      <c r="J43" s="5">
        <f>_xlfn.TEXTJOIN(CHAR(10),TRUE,IF(G43="","","• "&amp;G43),IF(H43="","","• "&amp;H43),IF(I43="","","• "&amp;I43))</f>
        <v/>
      </c>
      <c r="K43" s="4" t="n"/>
      <c r="L43" s="4" t="n"/>
      <c r="M43" s="4" t="n"/>
      <c r="N43" s="16" t="n"/>
      <c r="O43" s="4" t="n"/>
      <c r="P43" s="16" t="n"/>
      <c r="Q43" s="4" t="n"/>
      <c r="R43" s="16" t="n"/>
      <c r="S43" s="20">
        <f>IF(OR(N43="",P43="",R43=""),"",(--TRIM(LEFT(N43,2)))*(--TRIM(LEFT(P43,2)))*(--TRIM(LEFT(R43,2))))</f>
        <v/>
      </c>
      <c r="T43" s="20">
        <f>IF(OR(N43="",P43="",R43=""),"",INDEX(APGrid,COUNTIF(APS,"&gt;"&amp;(--TRIM(LEFT(N43,2))))*5+COUNTIF(APO,"&gt;"&amp;(--TRIM(LEFT(P43,2))))+1,COUNTIF(APD,"&gt;"&amp;(--TRIM(LEFT(R43,2))))+1))</f>
        <v/>
      </c>
      <c r="U43" s="20">
        <f>IF(S43="","",IF(OR((--TRIM(LEFT(N43,2)))&gt;=SThr,S43&gt;=RPNThr,T43="H"),"Yes","No"))</f>
        <v/>
      </c>
      <c r="V43" s="4" t="n"/>
      <c r="W43" s="4" t="n"/>
      <c r="X43" s="4" t="n"/>
      <c r="Y43" s="29" t="n"/>
      <c r="Z43" s="16" t="n"/>
      <c r="AA43" s="16" t="n"/>
      <c r="AB43" s="16" t="n"/>
      <c r="AC43" s="20">
        <f>IF(OR(Z43="",AA43="",AB43=""),"",(--TRIM(LEFT(Z43,2)))*(--TRIM(LEFT(AA43,2)))*(--TRIM(LEFT(AB43,2))))</f>
        <v/>
      </c>
      <c r="AD43" s="20">
        <f>IF(OR(Z43="",AA43="",AB43=""),"",INDEX(APGrid,COUNTIF(APS,"&gt;"&amp;(--TRIM(LEFT(Z43,2))))*5+COUNTIF(APO,"&gt;"&amp;(--TRIM(LEFT(AA43,2))))+1,COUNTIF(APD,"&gt;"&amp;(--TRIM(LEFT(AB43,2))))+1))</f>
        <v/>
      </c>
      <c r="AE43" s="4" t="n"/>
      <c r="AF43" s="4" t="n"/>
      <c r="AH43">
        <f>IFERROR(INDEX(EqTag,_xlfn.AGGREGATE(15,6,(ROW(EqTag)-4)/((EqSys=$D$3)*(EqTag&lt;&gt;"")),ROWS($AH$14:AH43))),"")</f>
        <v/>
      </c>
    </row>
    <row r="44">
      <c r="A44" s="20">
        <f>IF(F44="","",LEFT($D$3,3)&amp;"-"&amp;TEXT(COUNTIF(F$14:F44,"?*"),"00"))</f>
        <v/>
      </c>
      <c r="B44" s="4" t="n"/>
      <c r="C44" s="5">
        <f>IF(B44="","",IFERROR(INDEX(EqTypeCol,MATCH(B44,EqTag,0)),"Tag not in register"))</f>
        <v/>
      </c>
      <c r="D44" s="4" t="n"/>
      <c r="E44" s="4" t="n"/>
      <c r="F44" s="4" t="n"/>
      <c r="G44" s="4" t="n"/>
      <c r="H44" s="4" t="n"/>
      <c r="I44" s="4" t="n"/>
      <c r="J44" s="5">
        <f>_xlfn.TEXTJOIN(CHAR(10),TRUE,IF(G44="","","• "&amp;G44),IF(H44="","","• "&amp;H44),IF(I44="","","• "&amp;I44))</f>
        <v/>
      </c>
      <c r="K44" s="4" t="n"/>
      <c r="L44" s="4" t="n"/>
      <c r="M44" s="4" t="n"/>
      <c r="N44" s="16" t="n"/>
      <c r="O44" s="4" t="n"/>
      <c r="P44" s="16" t="n"/>
      <c r="Q44" s="4" t="n"/>
      <c r="R44" s="16" t="n"/>
      <c r="S44" s="20">
        <f>IF(OR(N44="",P44="",R44=""),"",(--TRIM(LEFT(N44,2)))*(--TRIM(LEFT(P44,2)))*(--TRIM(LEFT(R44,2))))</f>
        <v/>
      </c>
      <c r="T44" s="20">
        <f>IF(OR(N44="",P44="",R44=""),"",INDEX(APGrid,COUNTIF(APS,"&gt;"&amp;(--TRIM(LEFT(N44,2))))*5+COUNTIF(APO,"&gt;"&amp;(--TRIM(LEFT(P44,2))))+1,COUNTIF(APD,"&gt;"&amp;(--TRIM(LEFT(R44,2))))+1))</f>
        <v/>
      </c>
      <c r="U44" s="20">
        <f>IF(S44="","",IF(OR((--TRIM(LEFT(N44,2)))&gt;=SThr,S44&gt;=RPNThr,T44="H"),"Yes","No"))</f>
        <v/>
      </c>
      <c r="V44" s="4" t="n"/>
      <c r="W44" s="4" t="n"/>
      <c r="X44" s="4" t="n"/>
      <c r="Y44" s="29" t="n"/>
      <c r="Z44" s="16" t="n"/>
      <c r="AA44" s="16" t="n"/>
      <c r="AB44" s="16" t="n"/>
      <c r="AC44" s="20">
        <f>IF(OR(Z44="",AA44="",AB44=""),"",(--TRIM(LEFT(Z44,2)))*(--TRIM(LEFT(AA44,2)))*(--TRIM(LEFT(AB44,2))))</f>
        <v/>
      </c>
      <c r="AD44" s="20">
        <f>IF(OR(Z44="",AA44="",AB44=""),"",INDEX(APGrid,COUNTIF(APS,"&gt;"&amp;(--TRIM(LEFT(Z44,2))))*5+COUNTIF(APO,"&gt;"&amp;(--TRIM(LEFT(AA44,2))))+1,COUNTIF(APD,"&gt;"&amp;(--TRIM(LEFT(AB44,2))))+1))</f>
        <v/>
      </c>
      <c r="AE44" s="4" t="n"/>
      <c r="AF44" s="4" t="n"/>
      <c r="AH44">
        <f>IFERROR(INDEX(EqTag,_xlfn.AGGREGATE(15,6,(ROW(EqTag)-4)/((EqSys=$D$3)*(EqTag&lt;&gt;"")),ROWS($AH$14:AH44))),"")</f>
        <v/>
      </c>
    </row>
    <row r="45">
      <c r="A45" s="20">
        <f>IF(F45="","",LEFT($D$3,3)&amp;"-"&amp;TEXT(COUNTIF(F$14:F45,"?*"),"00"))</f>
        <v/>
      </c>
      <c r="B45" s="4" t="n"/>
      <c r="C45" s="5">
        <f>IF(B45="","",IFERROR(INDEX(EqTypeCol,MATCH(B45,EqTag,0)),"Tag not in register"))</f>
        <v/>
      </c>
      <c r="D45" s="4" t="n"/>
      <c r="E45" s="4" t="n"/>
      <c r="F45" s="4" t="n"/>
      <c r="G45" s="4" t="n"/>
      <c r="H45" s="4" t="n"/>
      <c r="I45" s="4" t="n"/>
      <c r="J45" s="5">
        <f>_xlfn.TEXTJOIN(CHAR(10),TRUE,IF(G45="","","• "&amp;G45),IF(H45="","","• "&amp;H45),IF(I45="","","• "&amp;I45))</f>
        <v/>
      </c>
      <c r="K45" s="4" t="n"/>
      <c r="L45" s="4" t="n"/>
      <c r="M45" s="4" t="n"/>
      <c r="N45" s="16" t="n"/>
      <c r="O45" s="4" t="n"/>
      <c r="P45" s="16" t="n"/>
      <c r="Q45" s="4" t="n"/>
      <c r="R45" s="16" t="n"/>
      <c r="S45" s="20">
        <f>IF(OR(N45="",P45="",R45=""),"",(--TRIM(LEFT(N45,2)))*(--TRIM(LEFT(P45,2)))*(--TRIM(LEFT(R45,2))))</f>
        <v/>
      </c>
      <c r="T45" s="20">
        <f>IF(OR(N45="",P45="",R45=""),"",INDEX(APGrid,COUNTIF(APS,"&gt;"&amp;(--TRIM(LEFT(N45,2))))*5+COUNTIF(APO,"&gt;"&amp;(--TRIM(LEFT(P45,2))))+1,COUNTIF(APD,"&gt;"&amp;(--TRIM(LEFT(R45,2))))+1))</f>
        <v/>
      </c>
      <c r="U45" s="20">
        <f>IF(S45="","",IF(OR((--TRIM(LEFT(N45,2)))&gt;=SThr,S45&gt;=RPNThr,T45="H"),"Yes","No"))</f>
        <v/>
      </c>
      <c r="V45" s="4" t="n"/>
      <c r="W45" s="4" t="n"/>
      <c r="X45" s="4" t="n"/>
      <c r="Y45" s="29" t="n"/>
      <c r="Z45" s="16" t="n"/>
      <c r="AA45" s="16" t="n"/>
      <c r="AB45" s="16" t="n"/>
      <c r="AC45" s="20">
        <f>IF(OR(Z45="",AA45="",AB45=""),"",(--TRIM(LEFT(Z45,2)))*(--TRIM(LEFT(AA45,2)))*(--TRIM(LEFT(AB45,2))))</f>
        <v/>
      </c>
      <c r="AD45" s="20">
        <f>IF(OR(Z45="",AA45="",AB45=""),"",INDEX(APGrid,COUNTIF(APS,"&gt;"&amp;(--TRIM(LEFT(Z45,2))))*5+COUNTIF(APO,"&gt;"&amp;(--TRIM(LEFT(AA45,2))))+1,COUNTIF(APD,"&gt;"&amp;(--TRIM(LEFT(AB45,2))))+1))</f>
        <v/>
      </c>
      <c r="AE45" s="4" t="n"/>
      <c r="AF45" s="4" t="n"/>
      <c r="AH45">
        <f>IFERROR(INDEX(EqTag,_xlfn.AGGREGATE(15,6,(ROW(EqTag)-4)/((EqSys=$D$3)*(EqTag&lt;&gt;"")),ROWS($AH$14:AH45))),"")</f>
        <v/>
      </c>
    </row>
    <row r="46">
      <c r="A46" s="20">
        <f>IF(F46="","",LEFT($D$3,3)&amp;"-"&amp;TEXT(COUNTIF(F$14:F46,"?*"),"00"))</f>
        <v/>
      </c>
      <c r="B46" s="4" t="n"/>
      <c r="C46" s="5">
        <f>IF(B46="","",IFERROR(INDEX(EqTypeCol,MATCH(B46,EqTag,0)),"Tag not in register"))</f>
        <v/>
      </c>
      <c r="D46" s="4" t="n"/>
      <c r="E46" s="4" t="n"/>
      <c r="F46" s="4" t="n"/>
      <c r="G46" s="4" t="n"/>
      <c r="H46" s="4" t="n"/>
      <c r="I46" s="4" t="n"/>
      <c r="J46" s="5">
        <f>_xlfn.TEXTJOIN(CHAR(10),TRUE,IF(G46="","","• "&amp;G46),IF(H46="","","• "&amp;H46),IF(I46="","","• "&amp;I46))</f>
        <v/>
      </c>
      <c r="K46" s="4" t="n"/>
      <c r="L46" s="4" t="n"/>
      <c r="M46" s="4" t="n"/>
      <c r="N46" s="16" t="n"/>
      <c r="O46" s="4" t="n"/>
      <c r="P46" s="16" t="n"/>
      <c r="Q46" s="4" t="n"/>
      <c r="R46" s="16" t="n"/>
      <c r="S46" s="20">
        <f>IF(OR(N46="",P46="",R46=""),"",(--TRIM(LEFT(N46,2)))*(--TRIM(LEFT(P46,2)))*(--TRIM(LEFT(R46,2))))</f>
        <v/>
      </c>
      <c r="T46" s="20">
        <f>IF(OR(N46="",P46="",R46=""),"",INDEX(APGrid,COUNTIF(APS,"&gt;"&amp;(--TRIM(LEFT(N46,2))))*5+COUNTIF(APO,"&gt;"&amp;(--TRIM(LEFT(P46,2))))+1,COUNTIF(APD,"&gt;"&amp;(--TRIM(LEFT(R46,2))))+1))</f>
        <v/>
      </c>
      <c r="U46" s="20">
        <f>IF(S46="","",IF(OR((--TRIM(LEFT(N46,2)))&gt;=SThr,S46&gt;=RPNThr,T46="H"),"Yes","No"))</f>
        <v/>
      </c>
      <c r="V46" s="4" t="n"/>
      <c r="W46" s="4" t="n"/>
      <c r="X46" s="4" t="n"/>
      <c r="Y46" s="29" t="n"/>
      <c r="Z46" s="16" t="n"/>
      <c r="AA46" s="16" t="n"/>
      <c r="AB46" s="16" t="n"/>
      <c r="AC46" s="20">
        <f>IF(OR(Z46="",AA46="",AB46=""),"",(--TRIM(LEFT(Z46,2)))*(--TRIM(LEFT(AA46,2)))*(--TRIM(LEFT(AB46,2))))</f>
        <v/>
      </c>
      <c r="AD46" s="20">
        <f>IF(OR(Z46="",AA46="",AB46=""),"",INDEX(APGrid,COUNTIF(APS,"&gt;"&amp;(--TRIM(LEFT(Z46,2))))*5+COUNTIF(APO,"&gt;"&amp;(--TRIM(LEFT(AA46,2))))+1,COUNTIF(APD,"&gt;"&amp;(--TRIM(LEFT(AB46,2))))+1))</f>
        <v/>
      </c>
      <c r="AE46" s="4" t="n"/>
      <c r="AF46" s="4" t="n"/>
      <c r="AH46">
        <f>IFERROR(INDEX(EqTag,_xlfn.AGGREGATE(15,6,(ROW(EqTag)-4)/((EqSys=$D$3)*(EqTag&lt;&gt;"")),ROWS($AH$14:AH46))),"")</f>
        <v/>
      </c>
    </row>
    <row r="47">
      <c r="A47" s="20">
        <f>IF(F47="","",LEFT($D$3,3)&amp;"-"&amp;TEXT(COUNTIF(F$14:F47,"?*"),"00"))</f>
        <v/>
      </c>
      <c r="B47" s="4" t="n"/>
      <c r="C47" s="5">
        <f>IF(B47="","",IFERROR(INDEX(EqTypeCol,MATCH(B47,EqTag,0)),"Tag not in register"))</f>
        <v/>
      </c>
      <c r="D47" s="4" t="n"/>
      <c r="E47" s="4" t="n"/>
      <c r="F47" s="4" t="n"/>
      <c r="G47" s="4" t="n"/>
      <c r="H47" s="4" t="n"/>
      <c r="I47" s="4" t="n"/>
      <c r="J47" s="5">
        <f>_xlfn.TEXTJOIN(CHAR(10),TRUE,IF(G47="","","• "&amp;G47),IF(H47="","","• "&amp;H47),IF(I47="","","• "&amp;I47))</f>
        <v/>
      </c>
      <c r="K47" s="4" t="n"/>
      <c r="L47" s="4" t="n"/>
      <c r="M47" s="4" t="n"/>
      <c r="N47" s="16" t="n"/>
      <c r="O47" s="4" t="n"/>
      <c r="P47" s="16" t="n"/>
      <c r="Q47" s="4" t="n"/>
      <c r="R47" s="16" t="n"/>
      <c r="S47" s="20">
        <f>IF(OR(N47="",P47="",R47=""),"",(--TRIM(LEFT(N47,2)))*(--TRIM(LEFT(P47,2)))*(--TRIM(LEFT(R47,2))))</f>
        <v/>
      </c>
      <c r="T47" s="20">
        <f>IF(OR(N47="",P47="",R47=""),"",INDEX(APGrid,COUNTIF(APS,"&gt;"&amp;(--TRIM(LEFT(N47,2))))*5+COUNTIF(APO,"&gt;"&amp;(--TRIM(LEFT(P47,2))))+1,COUNTIF(APD,"&gt;"&amp;(--TRIM(LEFT(R47,2))))+1))</f>
        <v/>
      </c>
      <c r="U47" s="20">
        <f>IF(S47="","",IF(OR((--TRIM(LEFT(N47,2)))&gt;=SThr,S47&gt;=RPNThr,T47="H"),"Yes","No"))</f>
        <v/>
      </c>
      <c r="V47" s="4" t="n"/>
      <c r="W47" s="4" t="n"/>
      <c r="X47" s="4" t="n"/>
      <c r="Y47" s="29" t="n"/>
      <c r="Z47" s="16" t="n"/>
      <c r="AA47" s="16" t="n"/>
      <c r="AB47" s="16" t="n"/>
      <c r="AC47" s="20">
        <f>IF(OR(Z47="",AA47="",AB47=""),"",(--TRIM(LEFT(Z47,2)))*(--TRIM(LEFT(AA47,2)))*(--TRIM(LEFT(AB47,2))))</f>
        <v/>
      </c>
      <c r="AD47" s="20">
        <f>IF(OR(Z47="",AA47="",AB47=""),"",INDEX(APGrid,COUNTIF(APS,"&gt;"&amp;(--TRIM(LEFT(Z47,2))))*5+COUNTIF(APO,"&gt;"&amp;(--TRIM(LEFT(AA47,2))))+1,COUNTIF(APD,"&gt;"&amp;(--TRIM(LEFT(AB47,2))))+1))</f>
        <v/>
      </c>
      <c r="AE47" s="4" t="n"/>
      <c r="AF47" s="4" t="n"/>
      <c r="AH47">
        <f>IFERROR(INDEX(EqTag,_xlfn.AGGREGATE(15,6,(ROW(EqTag)-4)/((EqSys=$D$3)*(EqTag&lt;&gt;"")),ROWS($AH$14:AH47))),"")</f>
        <v/>
      </c>
    </row>
    <row r="48">
      <c r="A48" s="20">
        <f>IF(F48="","",LEFT($D$3,3)&amp;"-"&amp;TEXT(COUNTIF(F$14:F48,"?*"),"00"))</f>
        <v/>
      </c>
      <c r="B48" s="4" t="n"/>
      <c r="C48" s="5">
        <f>IF(B48="","",IFERROR(INDEX(EqTypeCol,MATCH(B48,EqTag,0)),"Tag not in register"))</f>
        <v/>
      </c>
      <c r="D48" s="4" t="n"/>
      <c r="E48" s="4" t="n"/>
      <c r="F48" s="4" t="n"/>
      <c r="G48" s="4" t="n"/>
      <c r="H48" s="4" t="n"/>
      <c r="I48" s="4" t="n"/>
      <c r="J48" s="5">
        <f>_xlfn.TEXTJOIN(CHAR(10),TRUE,IF(G48="","","• "&amp;G48),IF(H48="","","• "&amp;H48),IF(I48="","","• "&amp;I48))</f>
        <v/>
      </c>
      <c r="K48" s="4" t="n"/>
      <c r="L48" s="4" t="n"/>
      <c r="M48" s="4" t="n"/>
      <c r="N48" s="16" t="n"/>
      <c r="O48" s="4" t="n"/>
      <c r="P48" s="16" t="n"/>
      <c r="Q48" s="4" t="n"/>
      <c r="R48" s="16" t="n"/>
      <c r="S48" s="20">
        <f>IF(OR(N48="",P48="",R48=""),"",(--TRIM(LEFT(N48,2)))*(--TRIM(LEFT(P48,2)))*(--TRIM(LEFT(R48,2))))</f>
        <v/>
      </c>
      <c r="T48" s="20">
        <f>IF(OR(N48="",P48="",R48=""),"",INDEX(APGrid,COUNTIF(APS,"&gt;"&amp;(--TRIM(LEFT(N48,2))))*5+COUNTIF(APO,"&gt;"&amp;(--TRIM(LEFT(P48,2))))+1,COUNTIF(APD,"&gt;"&amp;(--TRIM(LEFT(R48,2))))+1))</f>
        <v/>
      </c>
      <c r="U48" s="20">
        <f>IF(S48="","",IF(OR((--TRIM(LEFT(N48,2)))&gt;=SThr,S48&gt;=RPNThr,T48="H"),"Yes","No"))</f>
        <v/>
      </c>
      <c r="V48" s="4" t="n"/>
      <c r="W48" s="4" t="n"/>
      <c r="X48" s="4" t="n"/>
      <c r="Y48" s="29" t="n"/>
      <c r="Z48" s="16" t="n"/>
      <c r="AA48" s="16" t="n"/>
      <c r="AB48" s="16" t="n"/>
      <c r="AC48" s="20">
        <f>IF(OR(Z48="",AA48="",AB48=""),"",(--TRIM(LEFT(Z48,2)))*(--TRIM(LEFT(AA48,2)))*(--TRIM(LEFT(AB48,2))))</f>
        <v/>
      </c>
      <c r="AD48" s="20">
        <f>IF(OR(Z48="",AA48="",AB48=""),"",INDEX(APGrid,COUNTIF(APS,"&gt;"&amp;(--TRIM(LEFT(Z48,2))))*5+COUNTIF(APO,"&gt;"&amp;(--TRIM(LEFT(AA48,2))))+1,COUNTIF(APD,"&gt;"&amp;(--TRIM(LEFT(AB48,2))))+1))</f>
        <v/>
      </c>
      <c r="AE48" s="4" t="n"/>
      <c r="AF48" s="4" t="n"/>
      <c r="AH48">
        <f>IFERROR(INDEX(EqTag,_xlfn.AGGREGATE(15,6,(ROW(EqTag)-4)/((EqSys=$D$3)*(EqTag&lt;&gt;"")),ROWS($AH$14:AH48))),"")</f>
        <v/>
      </c>
    </row>
    <row r="49">
      <c r="A49" s="20">
        <f>IF(F49="","",LEFT($D$3,3)&amp;"-"&amp;TEXT(COUNTIF(F$14:F49,"?*"),"00"))</f>
        <v/>
      </c>
      <c r="B49" s="4" t="n"/>
      <c r="C49" s="5">
        <f>IF(B49="","",IFERROR(INDEX(EqTypeCol,MATCH(B49,EqTag,0)),"Tag not in register"))</f>
        <v/>
      </c>
      <c r="D49" s="4" t="n"/>
      <c r="E49" s="4" t="n"/>
      <c r="F49" s="4" t="n"/>
      <c r="G49" s="4" t="n"/>
      <c r="H49" s="4" t="n"/>
      <c r="I49" s="4" t="n"/>
      <c r="J49" s="5">
        <f>_xlfn.TEXTJOIN(CHAR(10),TRUE,IF(G49="","","• "&amp;G49),IF(H49="","","• "&amp;H49),IF(I49="","","• "&amp;I49))</f>
        <v/>
      </c>
      <c r="K49" s="4" t="n"/>
      <c r="L49" s="4" t="n"/>
      <c r="M49" s="4" t="n"/>
      <c r="N49" s="16" t="n"/>
      <c r="O49" s="4" t="n"/>
      <c r="P49" s="16" t="n"/>
      <c r="Q49" s="4" t="n"/>
      <c r="R49" s="16" t="n"/>
      <c r="S49" s="20">
        <f>IF(OR(N49="",P49="",R49=""),"",(--TRIM(LEFT(N49,2)))*(--TRIM(LEFT(P49,2)))*(--TRIM(LEFT(R49,2))))</f>
        <v/>
      </c>
      <c r="T49" s="20">
        <f>IF(OR(N49="",P49="",R49=""),"",INDEX(APGrid,COUNTIF(APS,"&gt;"&amp;(--TRIM(LEFT(N49,2))))*5+COUNTIF(APO,"&gt;"&amp;(--TRIM(LEFT(P49,2))))+1,COUNTIF(APD,"&gt;"&amp;(--TRIM(LEFT(R49,2))))+1))</f>
        <v/>
      </c>
      <c r="U49" s="20">
        <f>IF(S49="","",IF(OR((--TRIM(LEFT(N49,2)))&gt;=SThr,S49&gt;=RPNThr,T49="H"),"Yes","No"))</f>
        <v/>
      </c>
      <c r="V49" s="4" t="n"/>
      <c r="W49" s="4" t="n"/>
      <c r="X49" s="4" t="n"/>
      <c r="Y49" s="29" t="n"/>
      <c r="Z49" s="16" t="n"/>
      <c r="AA49" s="16" t="n"/>
      <c r="AB49" s="16" t="n"/>
      <c r="AC49" s="20">
        <f>IF(OR(Z49="",AA49="",AB49=""),"",(--TRIM(LEFT(Z49,2)))*(--TRIM(LEFT(AA49,2)))*(--TRIM(LEFT(AB49,2))))</f>
        <v/>
      </c>
      <c r="AD49" s="20">
        <f>IF(OR(Z49="",AA49="",AB49=""),"",INDEX(APGrid,COUNTIF(APS,"&gt;"&amp;(--TRIM(LEFT(Z49,2))))*5+COUNTIF(APO,"&gt;"&amp;(--TRIM(LEFT(AA49,2))))+1,COUNTIF(APD,"&gt;"&amp;(--TRIM(LEFT(AB49,2))))+1))</f>
        <v/>
      </c>
      <c r="AE49" s="4" t="n"/>
      <c r="AF49" s="4" t="n"/>
      <c r="AH49">
        <f>IFERROR(INDEX(EqTag,_xlfn.AGGREGATE(15,6,(ROW(EqTag)-4)/((EqSys=$D$3)*(EqTag&lt;&gt;"")),ROWS($AH$14:AH49))),"")</f>
        <v/>
      </c>
    </row>
    <row r="50">
      <c r="A50" s="20">
        <f>IF(F50="","",LEFT($D$3,3)&amp;"-"&amp;TEXT(COUNTIF(F$14:F50,"?*"),"00"))</f>
        <v/>
      </c>
      <c r="B50" s="4" t="n"/>
      <c r="C50" s="5">
        <f>IF(B50="","",IFERROR(INDEX(EqTypeCol,MATCH(B50,EqTag,0)),"Tag not in register"))</f>
        <v/>
      </c>
      <c r="D50" s="4" t="n"/>
      <c r="E50" s="4" t="n"/>
      <c r="F50" s="4" t="n"/>
      <c r="G50" s="4" t="n"/>
      <c r="H50" s="4" t="n"/>
      <c r="I50" s="4" t="n"/>
      <c r="J50" s="5">
        <f>_xlfn.TEXTJOIN(CHAR(10),TRUE,IF(G50="","","• "&amp;G50),IF(H50="","","• "&amp;H50),IF(I50="","","• "&amp;I50))</f>
        <v/>
      </c>
      <c r="K50" s="4" t="n"/>
      <c r="L50" s="4" t="n"/>
      <c r="M50" s="4" t="n"/>
      <c r="N50" s="16" t="n"/>
      <c r="O50" s="4" t="n"/>
      <c r="P50" s="16" t="n"/>
      <c r="Q50" s="4" t="n"/>
      <c r="R50" s="16" t="n"/>
      <c r="S50" s="20">
        <f>IF(OR(N50="",P50="",R50=""),"",(--TRIM(LEFT(N50,2)))*(--TRIM(LEFT(P50,2)))*(--TRIM(LEFT(R50,2))))</f>
        <v/>
      </c>
      <c r="T50" s="20">
        <f>IF(OR(N50="",P50="",R50=""),"",INDEX(APGrid,COUNTIF(APS,"&gt;"&amp;(--TRIM(LEFT(N50,2))))*5+COUNTIF(APO,"&gt;"&amp;(--TRIM(LEFT(P50,2))))+1,COUNTIF(APD,"&gt;"&amp;(--TRIM(LEFT(R50,2))))+1))</f>
        <v/>
      </c>
      <c r="U50" s="20">
        <f>IF(S50="","",IF(OR((--TRIM(LEFT(N50,2)))&gt;=SThr,S50&gt;=RPNThr,T50="H"),"Yes","No"))</f>
        <v/>
      </c>
      <c r="V50" s="4" t="n"/>
      <c r="W50" s="4" t="n"/>
      <c r="X50" s="4" t="n"/>
      <c r="Y50" s="29" t="n"/>
      <c r="Z50" s="16" t="n"/>
      <c r="AA50" s="16" t="n"/>
      <c r="AB50" s="16" t="n"/>
      <c r="AC50" s="20">
        <f>IF(OR(Z50="",AA50="",AB50=""),"",(--TRIM(LEFT(Z50,2)))*(--TRIM(LEFT(AA50,2)))*(--TRIM(LEFT(AB50,2))))</f>
        <v/>
      </c>
      <c r="AD50" s="20">
        <f>IF(OR(Z50="",AA50="",AB50=""),"",INDEX(APGrid,COUNTIF(APS,"&gt;"&amp;(--TRIM(LEFT(Z50,2))))*5+COUNTIF(APO,"&gt;"&amp;(--TRIM(LEFT(AA50,2))))+1,COUNTIF(APD,"&gt;"&amp;(--TRIM(LEFT(AB50,2))))+1))</f>
        <v/>
      </c>
      <c r="AE50" s="4" t="n"/>
      <c r="AF50" s="4" t="n"/>
      <c r="AH50">
        <f>IFERROR(INDEX(EqTag,_xlfn.AGGREGATE(15,6,(ROW(EqTag)-4)/((EqSys=$D$3)*(EqTag&lt;&gt;"")),ROWS($AH$14:AH50))),"")</f>
        <v/>
      </c>
    </row>
    <row r="51">
      <c r="A51" s="20">
        <f>IF(F51="","",LEFT($D$3,3)&amp;"-"&amp;TEXT(COUNTIF(F$14:F51,"?*"),"00"))</f>
        <v/>
      </c>
      <c r="B51" s="4" t="n"/>
      <c r="C51" s="5">
        <f>IF(B51="","",IFERROR(INDEX(EqTypeCol,MATCH(B51,EqTag,0)),"Tag not in register"))</f>
        <v/>
      </c>
      <c r="D51" s="4" t="n"/>
      <c r="E51" s="4" t="n"/>
      <c r="F51" s="4" t="n"/>
      <c r="G51" s="4" t="n"/>
      <c r="H51" s="4" t="n"/>
      <c r="I51" s="4" t="n"/>
      <c r="J51" s="5">
        <f>_xlfn.TEXTJOIN(CHAR(10),TRUE,IF(G51="","","• "&amp;G51),IF(H51="","","• "&amp;H51),IF(I51="","","• "&amp;I51))</f>
        <v/>
      </c>
      <c r="K51" s="4" t="n"/>
      <c r="L51" s="4" t="n"/>
      <c r="M51" s="4" t="n"/>
      <c r="N51" s="16" t="n"/>
      <c r="O51" s="4" t="n"/>
      <c r="P51" s="16" t="n"/>
      <c r="Q51" s="4" t="n"/>
      <c r="R51" s="16" t="n"/>
      <c r="S51" s="20">
        <f>IF(OR(N51="",P51="",R51=""),"",(--TRIM(LEFT(N51,2)))*(--TRIM(LEFT(P51,2)))*(--TRIM(LEFT(R51,2))))</f>
        <v/>
      </c>
      <c r="T51" s="20">
        <f>IF(OR(N51="",P51="",R51=""),"",INDEX(APGrid,COUNTIF(APS,"&gt;"&amp;(--TRIM(LEFT(N51,2))))*5+COUNTIF(APO,"&gt;"&amp;(--TRIM(LEFT(P51,2))))+1,COUNTIF(APD,"&gt;"&amp;(--TRIM(LEFT(R51,2))))+1))</f>
        <v/>
      </c>
      <c r="U51" s="20">
        <f>IF(S51="","",IF(OR((--TRIM(LEFT(N51,2)))&gt;=SThr,S51&gt;=RPNThr,T51="H"),"Yes","No"))</f>
        <v/>
      </c>
      <c r="V51" s="4" t="n"/>
      <c r="W51" s="4" t="n"/>
      <c r="X51" s="4" t="n"/>
      <c r="Y51" s="29" t="n"/>
      <c r="Z51" s="16" t="n"/>
      <c r="AA51" s="16" t="n"/>
      <c r="AB51" s="16" t="n"/>
      <c r="AC51" s="20">
        <f>IF(OR(Z51="",AA51="",AB51=""),"",(--TRIM(LEFT(Z51,2)))*(--TRIM(LEFT(AA51,2)))*(--TRIM(LEFT(AB51,2))))</f>
        <v/>
      </c>
      <c r="AD51" s="20">
        <f>IF(OR(Z51="",AA51="",AB51=""),"",INDEX(APGrid,COUNTIF(APS,"&gt;"&amp;(--TRIM(LEFT(Z51,2))))*5+COUNTIF(APO,"&gt;"&amp;(--TRIM(LEFT(AA51,2))))+1,COUNTIF(APD,"&gt;"&amp;(--TRIM(LEFT(AB51,2))))+1))</f>
        <v/>
      </c>
      <c r="AE51" s="4" t="n"/>
      <c r="AF51" s="4" t="n"/>
      <c r="AH51">
        <f>IFERROR(INDEX(EqTag,_xlfn.AGGREGATE(15,6,(ROW(EqTag)-4)/((EqSys=$D$3)*(EqTag&lt;&gt;"")),ROWS($AH$14:AH51))),"")</f>
        <v/>
      </c>
    </row>
    <row r="52">
      <c r="A52" s="20">
        <f>IF(F52="","",LEFT($D$3,3)&amp;"-"&amp;TEXT(COUNTIF(F$14:F52,"?*"),"00"))</f>
        <v/>
      </c>
      <c r="B52" s="4" t="n"/>
      <c r="C52" s="5">
        <f>IF(B52="","",IFERROR(INDEX(EqTypeCol,MATCH(B52,EqTag,0)),"Tag not in register"))</f>
        <v/>
      </c>
      <c r="D52" s="4" t="n"/>
      <c r="E52" s="4" t="n"/>
      <c r="F52" s="4" t="n"/>
      <c r="G52" s="4" t="n"/>
      <c r="H52" s="4" t="n"/>
      <c r="I52" s="4" t="n"/>
      <c r="J52" s="5">
        <f>_xlfn.TEXTJOIN(CHAR(10),TRUE,IF(G52="","","• "&amp;G52),IF(H52="","","• "&amp;H52),IF(I52="","","• "&amp;I52))</f>
        <v/>
      </c>
      <c r="K52" s="4" t="n"/>
      <c r="L52" s="4" t="n"/>
      <c r="M52" s="4" t="n"/>
      <c r="N52" s="16" t="n"/>
      <c r="O52" s="4" t="n"/>
      <c r="P52" s="16" t="n"/>
      <c r="Q52" s="4" t="n"/>
      <c r="R52" s="16" t="n"/>
      <c r="S52" s="20">
        <f>IF(OR(N52="",P52="",R52=""),"",(--TRIM(LEFT(N52,2)))*(--TRIM(LEFT(P52,2)))*(--TRIM(LEFT(R52,2))))</f>
        <v/>
      </c>
      <c r="T52" s="20">
        <f>IF(OR(N52="",P52="",R52=""),"",INDEX(APGrid,COUNTIF(APS,"&gt;"&amp;(--TRIM(LEFT(N52,2))))*5+COUNTIF(APO,"&gt;"&amp;(--TRIM(LEFT(P52,2))))+1,COUNTIF(APD,"&gt;"&amp;(--TRIM(LEFT(R52,2))))+1))</f>
        <v/>
      </c>
      <c r="U52" s="20">
        <f>IF(S52="","",IF(OR((--TRIM(LEFT(N52,2)))&gt;=SThr,S52&gt;=RPNThr,T52="H"),"Yes","No"))</f>
        <v/>
      </c>
      <c r="V52" s="4" t="n"/>
      <c r="W52" s="4" t="n"/>
      <c r="X52" s="4" t="n"/>
      <c r="Y52" s="29" t="n"/>
      <c r="Z52" s="16" t="n"/>
      <c r="AA52" s="16" t="n"/>
      <c r="AB52" s="16" t="n"/>
      <c r="AC52" s="20">
        <f>IF(OR(Z52="",AA52="",AB52=""),"",(--TRIM(LEFT(Z52,2)))*(--TRIM(LEFT(AA52,2)))*(--TRIM(LEFT(AB52,2))))</f>
        <v/>
      </c>
      <c r="AD52" s="20">
        <f>IF(OR(Z52="",AA52="",AB52=""),"",INDEX(APGrid,COUNTIF(APS,"&gt;"&amp;(--TRIM(LEFT(Z52,2))))*5+COUNTIF(APO,"&gt;"&amp;(--TRIM(LEFT(AA52,2))))+1,COUNTIF(APD,"&gt;"&amp;(--TRIM(LEFT(AB52,2))))+1))</f>
        <v/>
      </c>
      <c r="AE52" s="4" t="n"/>
      <c r="AF52" s="4" t="n"/>
      <c r="AH52">
        <f>IFERROR(INDEX(EqTag,_xlfn.AGGREGATE(15,6,(ROW(EqTag)-4)/((EqSys=$D$3)*(EqTag&lt;&gt;"")),ROWS($AH$14:AH52))),"")</f>
        <v/>
      </c>
    </row>
    <row r="53">
      <c r="A53" s="20">
        <f>IF(F53="","",LEFT($D$3,3)&amp;"-"&amp;TEXT(COUNTIF(F$14:F53,"?*"),"00"))</f>
        <v/>
      </c>
      <c r="B53" s="4" t="n"/>
      <c r="C53" s="5">
        <f>IF(B53="","",IFERROR(INDEX(EqTypeCol,MATCH(B53,EqTag,0)),"Tag not in register"))</f>
        <v/>
      </c>
      <c r="D53" s="4" t="n"/>
      <c r="E53" s="4" t="n"/>
      <c r="F53" s="4" t="n"/>
      <c r="G53" s="4" t="n"/>
      <c r="H53" s="4" t="n"/>
      <c r="I53" s="4" t="n"/>
      <c r="J53" s="5">
        <f>_xlfn.TEXTJOIN(CHAR(10),TRUE,IF(G53="","","• "&amp;G53),IF(H53="","","• "&amp;H53),IF(I53="","","• "&amp;I53))</f>
        <v/>
      </c>
      <c r="K53" s="4" t="n"/>
      <c r="L53" s="4" t="n"/>
      <c r="M53" s="4" t="n"/>
      <c r="N53" s="16" t="n"/>
      <c r="O53" s="4" t="n"/>
      <c r="P53" s="16" t="n"/>
      <c r="Q53" s="4" t="n"/>
      <c r="R53" s="16" t="n"/>
      <c r="S53" s="20">
        <f>IF(OR(N53="",P53="",R53=""),"",(--TRIM(LEFT(N53,2)))*(--TRIM(LEFT(P53,2)))*(--TRIM(LEFT(R53,2))))</f>
        <v/>
      </c>
      <c r="T53" s="20">
        <f>IF(OR(N53="",P53="",R53=""),"",INDEX(APGrid,COUNTIF(APS,"&gt;"&amp;(--TRIM(LEFT(N53,2))))*5+COUNTIF(APO,"&gt;"&amp;(--TRIM(LEFT(P53,2))))+1,COUNTIF(APD,"&gt;"&amp;(--TRIM(LEFT(R53,2))))+1))</f>
        <v/>
      </c>
      <c r="U53" s="20">
        <f>IF(S53="","",IF(OR((--TRIM(LEFT(N53,2)))&gt;=SThr,S53&gt;=RPNThr,T53="H"),"Yes","No"))</f>
        <v/>
      </c>
      <c r="V53" s="4" t="n"/>
      <c r="W53" s="4" t="n"/>
      <c r="X53" s="4" t="n"/>
      <c r="Y53" s="29" t="n"/>
      <c r="Z53" s="16" t="n"/>
      <c r="AA53" s="16" t="n"/>
      <c r="AB53" s="16" t="n"/>
      <c r="AC53" s="20">
        <f>IF(OR(Z53="",AA53="",AB53=""),"",(--TRIM(LEFT(Z53,2)))*(--TRIM(LEFT(AA53,2)))*(--TRIM(LEFT(AB53,2))))</f>
        <v/>
      </c>
      <c r="AD53" s="20">
        <f>IF(OR(Z53="",AA53="",AB53=""),"",INDEX(APGrid,COUNTIF(APS,"&gt;"&amp;(--TRIM(LEFT(Z53,2))))*5+COUNTIF(APO,"&gt;"&amp;(--TRIM(LEFT(AA53,2))))+1,COUNTIF(APD,"&gt;"&amp;(--TRIM(LEFT(AB53,2))))+1))</f>
        <v/>
      </c>
      <c r="AE53" s="4" t="n"/>
      <c r="AF53" s="4" t="n"/>
      <c r="AH53">
        <f>IFERROR(INDEX(EqTag,_xlfn.AGGREGATE(15,6,(ROW(EqTag)-4)/((EqSys=$D$3)*(EqTag&lt;&gt;"")),ROWS($AH$14:AH53))),"")</f>
        <v/>
      </c>
    </row>
    <row r="54">
      <c r="A54" s="20">
        <f>IF(F54="","",LEFT($D$3,3)&amp;"-"&amp;TEXT(COUNTIF(F$14:F54,"?*"),"00"))</f>
        <v/>
      </c>
      <c r="B54" s="4" t="n"/>
      <c r="C54" s="5">
        <f>IF(B54="","",IFERROR(INDEX(EqTypeCol,MATCH(B54,EqTag,0)),"Tag not in register"))</f>
        <v/>
      </c>
      <c r="D54" s="4" t="n"/>
      <c r="E54" s="4" t="n"/>
      <c r="F54" s="4" t="n"/>
      <c r="G54" s="4" t="n"/>
      <c r="H54" s="4" t="n"/>
      <c r="I54" s="4" t="n"/>
      <c r="J54" s="5">
        <f>_xlfn.TEXTJOIN(CHAR(10),TRUE,IF(G54="","","• "&amp;G54),IF(H54="","","• "&amp;H54),IF(I54="","","• "&amp;I54))</f>
        <v/>
      </c>
      <c r="K54" s="4" t="n"/>
      <c r="L54" s="4" t="n"/>
      <c r="M54" s="4" t="n"/>
      <c r="N54" s="16" t="n"/>
      <c r="O54" s="4" t="n"/>
      <c r="P54" s="16" t="n"/>
      <c r="Q54" s="4" t="n"/>
      <c r="R54" s="16" t="n"/>
      <c r="S54" s="20">
        <f>IF(OR(N54="",P54="",R54=""),"",(--TRIM(LEFT(N54,2)))*(--TRIM(LEFT(P54,2)))*(--TRIM(LEFT(R54,2))))</f>
        <v/>
      </c>
      <c r="T54" s="20">
        <f>IF(OR(N54="",P54="",R54=""),"",INDEX(APGrid,COUNTIF(APS,"&gt;"&amp;(--TRIM(LEFT(N54,2))))*5+COUNTIF(APO,"&gt;"&amp;(--TRIM(LEFT(P54,2))))+1,COUNTIF(APD,"&gt;"&amp;(--TRIM(LEFT(R54,2))))+1))</f>
        <v/>
      </c>
      <c r="U54" s="20">
        <f>IF(S54="","",IF(OR((--TRIM(LEFT(N54,2)))&gt;=SThr,S54&gt;=RPNThr,T54="H"),"Yes","No"))</f>
        <v/>
      </c>
      <c r="V54" s="4" t="n"/>
      <c r="W54" s="4" t="n"/>
      <c r="X54" s="4" t="n"/>
      <c r="Y54" s="29" t="n"/>
      <c r="Z54" s="16" t="n"/>
      <c r="AA54" s="16" t="n"/>
      <c r="AB54" s="16" t="n"/>
      <c r="AC54" s="20">
        <f>IF(OR(Z54="",AA54="",AB54=""),"",(--TRIM(LEFT(Z54,2)))*(--TRIM(LEFT(AA54,2)))*(--TRIM(LEFT(AB54,2))))</f>
        <v/>
      </c>
      <c r="AD54" s="20">
        <f>IF(OR(Z54="",AA54="",AB54=""),"",INDEX(APGrid,COUNTIF(APS,"&gt;"&amp;(--TRIM(LEFT(Z54,2))))*5+COUNTIF(APO,"&gt;"&amp;(--TRIM(LEFT(AA54,2))))+1,COUNTIF(APD,"&gt;"&amp;(--TRIM(LEFT(AB54,2))))+1))</f>
        <v/>
      </c>
      <c r="AE54" s="4" t="n"/>
      <c r="AF54" s="4" t="n"/>
      <c r="AH54">
        <f>IFERROR(INDEX(EqTag,_xlfn.AGGREGATE(15,6,(ROW(EqTag)-4)/((EqSys=$D$3)*(EqTag&lt;&gt;"")),ROWS($AH$14:AH54))),"")</f>
        <v/>
      </c>
    </row>
    <row r="55">
      <c r="A55" s="20">
        <f>IF(F55="","",LEFT($D$3,3)&amp;"-"&amp;TEXT(COUNTIF(F$14:F55,"?*"),"00"))</f>
        <v/>
      </c>
      <c r="B55" s="4" t="n"/>
      <c r="C55" s="5">
        <f>IF(B55="","",IFERROR(INDEX(EqTypeCol,MATCH(B55,EqTag,0)),"Tag not in register"))</f>
        <v/>
      </c>
      <c r="D55" s="4" t="n"/>
      <c r="E55" s="4" t="n"/>
      <c r="F55" s="4" t="n"/>
      <c r="G55" s="4" t="n"/>
      <c r="H55" s="4" t="n"/>
      <c r="I55" s="4" t="n"/>
      <c r="J55" s="5">
        <f>_xlfn.TEXTJOIN(CHAR(10),TRUE,IF(G55="","","• "&amp;G55),IF(H55="","","• "&amp;H55),IF(I55="","","• "&amp;I55))</f>
        <v/>
      </c>
      <c r="K55" s="4" t="n"/>
      <c r="L55" s="4" t="n"/>
      <c r="M55" s="4" t="n"/>
      <c r="N55" s="16" t="n"/>
      <c r="O55" s="4" t="n"/>
      <c r="P55" s="16" t="n"/>
      <c r="Q55" s="4" t="n"/>
      <c r="R55" s="16" t="n"/>
      <c r="S55" s="20">
        <f>IF(OR(N55="",P55="",R55=""),"",(--TRIM(LEFT(N55,2)))*(--TRIM(LEFT(P55,2)))*(--TRIM(LEFT(R55,2))))</f>
        <v/>
      </c>
      <c r="T55" s="20">
        <f>IF(OR(N55="",P55="",R55=""),"",INDEX(APGrid,COUNTIF(APS,"&gt;"&amp;(--TRIM(LEFT(N55,2))))*5+COUNTIF(APO,"&gt;"&amp;(--TRIM(LEFT(P55,2))))+1,COUNTIF(APD,"&gt;"&amp;(--TRIM(LEFT(R55,2))))+1))</f>
        <v/>
      </c>
      <c r="U55" s="20">
        <f>IF(S55="","",IF(OR((--TRIM(LEFT(N55,2)))&gt;=SThr,S55&gt;=RPNThr,T55="H"),"Yes","No"))</f>
        <v/>
      </c>
      <c r="V55" s="4" t="n"/>
      <c r="W55" s="4" t="n"/>
      <c r="X55" s="4" t="n"/>
      <c r="Y55" s="29" t="n"/>
      <c r="Z55" s="16" t="n"/>
      <c r="AA55" s="16" t="n"/>
      <c r="AB55" s="16" t="n"/>
      <c r="AC55" s="20">
        <f>IF(OR(Z55="",AA55="",AB55=""),"",(--TRIM(LEFT(Z55,2)))*(--TRIM(LEFT(AA55,2)))*(--TRIM(LEFT(AB55,2))))</f>
        <v/>
      </c>
      <c r="AD55" s="20">
        <f>IF(OR(Z55="",AA55="",AB55=""),"",INDEX(APGrid,COUNTIF(APS,"&gt;"&amp;(--TRIM(LEFT(Z55,2))))*5+COUNTIF(APO,"&gt;"&amp;(--TRIM(LEFT(AA55,2))))+1,COUNTIF(APD,"&gt;"&amp;(--TRIM(LEFT(AB55,2))))+1))</f>
        <v/>
      </c>
      <c r="AE55" s="4" t="n"/>
      <c r="AF55" s="4" t="n"/>
      <c r="AH55">
        <f>IFERROR(INDEX(EqTag,_xlfn.AGGREGATE(15,6,(ROW(EqTag)-4)/((EqSys=$D$3)*(EqTag&lt;&gt;"")),ROWS($AH$14:AH55))),"")</f>
        <v/>
      </c>
    </row>
    <row r="56">
      <c r="A56" s="20">
        <f>IF(F56="","",LEFT($D$3,3)&amp;"-"&amp;TEXT(COUNTIF(F$14:F56,"?*"),"00"))</f>
        <v/>
      </c>
      <c r="B56" s="4" t="n"/>
      <c r="C56" s="5">
        <f>IF(B56="","",IFERROR(INDEX(EqTypeCol,MATCH(B56,EqTag,0)),"Tag not in register"))</f>
        <v/>
      </c>
      <c r="D56" s="4" t="n"/>
      <c r="E56" s="4" t="n"/>
      <c r="F56" s="4" t="n"/>
      <c r="G56" s="4" t="n"/>
      <c r="H56" s="4" t="n"/>
      <c r="I56" s="4" t="n"/>
      <c r="J56" s="5">
        <f>_xlfn.TEXTJOIN(CHAR(10),TRUE,IF(G56="","","• "&amp;G56),IF(H56="","","• "&amp;H56),IF(I56="","","• "&amp;I56))</f>
        <v/>
      </c>
      <c r="K56" s="4" t="n"/>
      <c r="L56" s="4" t="n"/>
      <c r="M56" s="4" t="n"/>
      <c r="N56" s="16" t="n"/>
      <c r="O56" s="4" t="n"/>
      <c r="P56" s="16" t="n"/>
      <c r="Q56" s="4" t="n"/>
      <c r="R56" s="16" t="n"/>
      <c r="S56" s="20">
        <f>IF(OR(N56="",P56="",R56=""),"",(--TRIM(LEFT(N56,2)))*(--TRIM(LEFT(P56,2)))*(--TRIM(LEFT(R56,2))))</f>
        <v/>
      </c>
      <c r="T56" s="20">
        <f>IF(OR(N56="",P56="",R56=""),"",INDEX(APGrid,COUNTIF(APS,"&gt;"&amp;(--TRIM(LEFT(N56,2))))*5+COUNTIF(APO,"&gt;"&amp;(--TRIM(LEFT(P56,2))))+1,COUNTIF(APD,"&gt;"&amp;(--TRIM(LEFT(R56,2))))+1))</f>
        <v/>
      </c>
      <c r="U56" s="20">
        <f>IF(S56="","",IF(OR((--TRIM(LEFT(N56,2)))&gt;=SThr,S56&gt;=RPNThr,T56="H"),"Yes","No"))</f>
        <v/>
      </c>
      <c r="V56" s="4" t="n"/>
      <c r="W56" s="4" t="n"/>
      <c r="X56" s="4" t="n"/>
      <c r="Y56" s="29" t="n"/>
      <c r="Z56" s="16" t="n"/>
      <c r="AA56" s="16" t="n"/>
      <c r="AB56" s="16" t="n"/>
      <c r="AC56" s="20">
        <f>IF(OR(Z56="",AA56="",AB56=""),"",(--TRIM(LEFT(Z56,2)))*(--TRIM(LEFT(AA56,2)))*(--TRIM(LEFT(AB56,2))))</f>
        <v/>
      </c>
      <c r="AD56" s="20">
        <f>IF(OR(Z56="",AA56="",AB56=""),"",INDEX(APGrid,COUNTIF(APS,"&gt;"&amp;(--TRIM(LEFT(Z56,2))))*5+COUNTIF(APO,"&gt;"&amp;(--TRIM(LEFT(AA56,2))))+1,COUNTIF(APD,"&gt;"&amp;(--TRIM(LEFT(AB56,2))))+1))</f>
        <v/>
      </c>
      <c r="AE56" s="4" t="n"/>
      <c r="AF56" s="4" t="n"/>
      <c r="AH56">
        <f>IFERROR(INDEX(EqTag,_xlfn.AGGREGATE(15,6,(ROW(EqTag)-4)/((EqSys=$D$3)*(EqTag&lt;&gt;"")),ROWS($AH$14:AH56))),"")</f>
        <v/>
      </c>
    </row>
    <row r="57">
      <c r="A57" s="20">
        <f>IF(F57="","",LEFT($D$3,3)&amp;"-"&amp;TEXT(COUNTIF(F$14:F57,"?*"),"00"))</f>
        <v/>
      </c>
      <c r="B57" s="4" t="n"/>
      <c r="C57" s="5">
        <f>IF(B57="","",IFERROR(INDEX(EqTypeCol,MATCH(B57,EqTag,0)),"Tag not in register"))</f>
        <v/>
      </c>
      <c r="D57" s="4" t="n"/>
      <c r="E57" s="4" t="n"/>
      <c r="F57" s="4" t="n"/>
      <c r="G57" s="4" t="n"/>
      <c r="H57" s="4" t="n"/>
      <c r="I57" s="4" t="n"/>
      <c r="J57" s="5">
        <f>_xlfn.TEXTJOIN(CHAR(10),TRUE,IF(G57="","","• "&amp;G57),IF(H57="","","• "&amp;H57),IF(I57="","","• "&amp;I57))</f>
        <v/>
      </c>
      <c r="K57" s="4" t="n"/>
      <c r="L57" s="4" t="n"/>
      <c r="M57" s="4" t="n"/>
      <c r="N57" s="16" t="n"/>
      <c r="O57" s="4" t="n"/>
      <c r="P57" s="16" t="n"/>
      <c r="Q57" s="4" t="n"/>
      <c r="R57" s="16" t="n"/>
      <c r="S57" s="20">
        <f>IF(OR(N57="",P57="",R57=""),"",(--TRIM(LEFT(N57,2)))*(--TRIM(LEFT(P57,2)))*(--TRIM(LEFT(R57,2))))</f>
        <v/>
      </c>
      <c r="T57" s="20">
        <f>IF(OR(N57="",P57="",R57=""),"",INDEX(APGrid,COUNTIF(APS,"&gt;"&amp;(--TRIM(LEFT(N57,2))))*5+COUNTIF(APO,"&gt;"&amp;(--TRIM(LEFT(P57,2))))+1,COUNTIF(APD,"&gt;"&amp;(--TRIM(LEFT(R57,2))))+1))</f>
        <v/>
      </c>
      <c r="U57" s="20">
        <f>IF(S57="","",IF(OR((--TRIM(LEFT(N57,2)))&gt;=SThr,S57&gt;=RPNThr,T57="H"),"Yes","No"))</f>
        <v/>
      </c>
      <c r="V57" s="4" t="n"/>
      <c r="W57" s="4" t="n"/>
      <c r="X57" s="4" t="n"/>
      <c r="Y57" s="29" t="n"/>
      <c r="Z57" s="16" t="n"/>
      <c r="AA57" s="16" t="n"/>
      <c r="AB57" s="16" t="n"/>
      <c r="AC57" s="20">
        <f>IF(OR(Z57="",AA57="",AB57=""),"",(--TRIM(LEFT(Z57,2)))*(--TRIM(LEFT(AA57,2)))*(--TRIM(LEFT(AB57,2))))</f>
        <v/>
      </c>
      <c r="AD57" s="20">
        <f>IF(OR(Z57="",AA57="",AB57=""),"",INDEX(APGrid,COUNTIF(APS,"&gt;"&amp;(--TRIM(LEFT(Z57,2))))*5+COUNTIF(APO,"&gt;"&amp;(--TRIM(LEFT(AA57,2))))+1,COUNTIF(APD,"&gt;"&amp;(--TRIM(LEFT(AB57,2))))+1))</f>
        <v/>
      </c>
      <c r="AE57" s="4" t="n"/>
      <c r="AF57" s="4" t="n"/>
      <c r="AH57">
        <f>IFERROR(INDEX(EqTag,_xlfn.AGGREGATE(15,6,(ROW(EqTag)-4)/((EqSys=$D$3)*(EqTag&lt;&gt;"")),ROWS($AH$14:AH57))),"")</f>
        <v/>
      </c>
    </row>
    <row r="58">
      <c r="A58" s="20">
        <f>IF(F58="","",LEFT($D$3,3)&amp;"-"&amp;TEXT(COUNTIF(F$14:F58,"?*"),"00"))</f>
        <v/>
      </c>
      <c r="B58" s="4" t="n"/>
      <c r="C58" s="5">
        <f>IF(B58="","",IFERROR(INDEX(EqTypeCol,MATCH(B58,EqTag,0)),"Tag not in register"))</f>
        <v/>
      </c>
      <c r="D58" s="4" t="n"/>
      <c r="E58" s="4" t="n"/>
      <c r="F58" s="4" t="n"/>
      <c r="G58" s="4" t="n"/>
      <c r="H58" s="4" t="n"/>
      <c r="I58" s="4" t="n"/>
      <c r="J58" s="5">
        <f>_xlfn.TEXTJOIN(CHAR(10),TRUE,IF(G58="","","• "&amp;G58),IF(H58="","","• "&amp;H58),IF(I58="","","• "&amp;I58))</f>
        <v/>
      </c>
      <c r="K58" s="4" t="n"/>
      <c r="L58" s="4" t="n"/>
      <c r="M58" s="4" t="n"/>
      <c r="N58" s="16" t="n"/>
      <c r="O58" s="4" t="n"/>
      <c r="P58" s="16" t="n"/>
      <c r="Q58" s="4" t="n"/>
      <c r="R58" s="16" t="n"/>
      <c r="S58" s="20">
        <f>IF(OR(N58="",P58="",R58=""),"",(--TRIM(LEFT(N58,2)))*(--TRIM(LEFT(P58,2)))*(--TRIM(LEFT(R58,2))))</f>
        <v/>
      </c>
      <c r="T58" s="20">
        <f>IF(OR(N58="",P58="",R58=""),"",INDEX(APGrid,COUNTIF(APS,"&gt;"&amp;(--TRIM(LEFT(N58,2))))*5+COUNTIF(APO,"&gt;"&amp;(--TRIM(LEFT(P58,2))))+1,COUNTIF(APD,"&gt;"&amp;(--TRIM(LEFT(R58,2))))+1))</f>
        <v/>
      </c>
      <c r="U58" s="20">
        <f>IF(S58="","",IF(OR((--TRIM(LEFT(N58,2)))&gt;=SThr,S58&gt;=RPNThr,T58="H"),"Yes","No"))</f>
        <v/>
      </c>
      <c r="V58" s="4" t="n"/>
      <c r="W58" s="4" t="n"/>
      <c r="X58" s="4" t="n"/>
      <c r="Y58" s="29" t="n"/>
      <c r="Z58" s="16" t="n"/>
      <c r="AA58" s="16" t="n"/>
      <c r="AB58" s="16" t="n"/>
      <c r="AC58" s="20">
        <f>IF(OR(Z58="",AA58="",AB58=""),"",(--TRIM(LEFT(Z58,2)))*(--TRIM(LEFT(AA58,2)))*(--TRIM(LEFT(AB58,2))))</f>
        <v/>
      </c>
      <c r="AD58" s="20">
        <f>IF(OR(Z58="",AA58="",AB58=""),"",INDEX(APGrid,COUNTIF(APS,"&gt;"&amp;(--TRIM(LEFT(Z58,2))))*5+COUNTIF(APO,"&gt;"&amp;(--TRIM(LEFT(AA58,2))))+1,COUNTIF(APD,"&gt;"&amp;(--TRIM(LEFT(AB58,2))))+1))</f>
        <v/>
      </c>
      <c r="AE58" s="4" t="n"/>
      <c r="AF58" s="4" t="n"/>
      <c r="AH58">
        <f>IFERROR(INDEX(EqTag,_xlfn.AGGREGATE(15,6,(ROW(EqTag)-4)/((EqSys=$D$3)*(EqTag&lt;&gt;"")),ROWS($AH$14:AH58))),"")</f>
        <v/>
      </c>
    </row>
    <row r="59">
      <c r="A59" s="20">
        <f>IF(F59="","",LEFT($D$3,3)&amp;"-"&amp;TEXT(COUNTIF(F$14:F59,"?*"),"00"))</f>
        <v/>
      </c>
      <c r="B59" s="4" t="n"/>
      <c r="C59" s="5">
        <f>IF(B59="","",IFERROR(INDEX(EqTypeCol,MATCH(B59,EqTag,0)),"Tag not in register"))</f>
        <v/>
      </c>
      <c r="D59" s="4" t="n"/>
      <c r="E59" s="4" t="n"/>
      <c r="F59" s="4" t="n"/>
      <c r="G59" s="4" t="n"/>
      <c r="H59" s="4" t="n"/>
      <c r="I59" s="4" t="n"/>
      <c r="J59" s="5">
        <f>_xlfn.TEXTJOIN(CHAR(10),TRUE,IF(G59="","","• "&amp;G59),IF(H59="","","• "&amp;H59),IF(I59="","","• "&amp;I59))</f>
        <v/>
      </c>
      <c r="K59" s="4" t="n"/>
      <c r="L59" s="4" t="n"/>
      <c r="M59" s="4" t="n"/>
      <c r="N59" s="16" t="n"/>
      <c r="O59" s="4" t="n"/>
      <c r="P59" s="16" t="n"/>
      <c r="Q59" s="4" t="n"/>
      <c r="R59" s="16" t="n"/>
      <c r="S59" s="20">
        <f>IF(OR(N59="",P59="",R59=""),"",(--TRIM(LEFT(N59,2)))*(--TRIM(LEFT(P59,2)))*(--TRIM(LEFT(R59,2))))</f>
        <v/>
      </c>
      <c r="T59" s="20">
        <f>IF(OR(N59="",P59="",R59=""),"",INDEX(APGrid,COUNTIF(APS,"&gt;"&amp;(--TRIM(LEFT(N59,2))))*5+COUNTIF(APO,"&gt;"&amp;(--TRIM(LEFT(P59,2))))+1,COUNTIF(APD,"&gt;"&amp;(--TRIM(LEFT(R59,2))))+1))</f>
        <v/>
      </c>
      <c r="U59" s="20">
        <f>IF(S59="","",IF(OR((--TRIM(LEFT(N59,2)))&gt;=SThr,S59&gt;=RPNThr,T59="H"),"Yes","No"))</f>
        <v/>
      </c>
      <c r="V59" s="4" t="n"/>
      <c r="W59" s="4" t="n"/>
      <c r="X59" s="4" t="n"/>
      <c r="Y59" s="29" t="n"/>
      <c r="Z59" s="16" t="n"/>
      <c r="AA59" s="16" t="n"/>
      <c r="AB59" s="16" t="n"/>
      <c r="AC59" s="20">
        <f>IF(OR(Z59="",AA59="",AB59=""),"",(--TRIM(LEFT(Z59,2)))*(--TRIM(LEFT(AA59,2)))*(--TRIM(LEFT(AB59,2))))</f>
        <v/>
      </c>
      <c r="AD59" s="20">
        <f>IF(OR(Z59="",AA59="",AB59=""),"",INDEX(APGrid,COUNTIF(APS,"&gt;"&amp;(--TRIM(LEFT(Z59,2))))*5+COUNTIF(APO,"&gt;"&amp;(--TRIM(LEFT(AA59,2))))+1,COUNTIF(APD,"&gt;"&amp;(--TRIM(LEFT(AB59,2))))+1))</f>
        <v/>
      </c>
      <c r="AE59" s="4" t="n"/>
      <c r="AF59" s="4" t="n"/>
      <c r="AH59">
        <f>IFERROR(INDEX(EqTag,_xlfn.AGGREGATE(15,6,(ROW(EqTag)-4)/((EqSys=$D$3)*(EqTag&lt;&gt;"")),ROWS($AH$14:AH59))),"")</f>
        <v/>
      </c>
    </row>
    <row r="60">
      <c r="A60" s="20">
        <f>IF(F60="","",LEFT($D$3,3)&amp;"-"&amp;TEXT(COUNTIF(F$14:F60,"?*"),"00"))</f>
        <v/>
      </c>
      <c r="B60" s="4" t="n"/>
      <c r="C60" s="5">
        <f>IF(B60="","",IFERROR(INDEX(EqTypeCol,MATCH(B60,EqTag,0)),"Tag not in register"))</f>
        <v/>
      </c>
      <c r="D60" s="4" t="n"/>
      <c r="E60" s="4" t="n"/>
      <c r="F60" s="4" t="n"/>
      <c r="G60" s="4" t="n"/>
      <c r="H60" s="4" t="n"/>
      <c r="I60" s="4" t="n"/>
      <c r="J60" s="5">
        <f>_xlfn.TEXTJOIN(CHAR(10),TRUE,IF(G60="","","• "&amp;G60),IF(H60="","","• "&amp;H60),IF(I60="","","• "&amp;I60))</f>
        <v/>
      </c>
      <c r="K60" s="4" t="n"/>
      <c r="L60" s="4" t="n"/>
      <c r="M60" s="4" t="n"/>
      <c r="N60" s="16" t="n"/>
      <c r="O60" s="4" t="n"/>
      <c r="P60" s="16" t="n"/>
      <c r="Q60" s="4" t="n"/>
      <c r="R60" s="16" t="n"/>
      <c r="S60" s="20">
        <f>IF(OR(N60="",P60="",R60=""),"",(--TRIM(LEFT(N60,2)))*(--TRIM(LEFT(P60,2)))*(--TRIM(LEFT(R60,2))))</f>
        <v/>
      </c>
      <c r="T60" s="20">
        <f>IF(OR(N60="",P60="",R60=""),"",INDEX(APGrid,COUNTIF(APS,"&gt;"&amp;(--TRIM(LEFT(N60,2))))*5+COUNTIF(APO,"&gt;"&amp;(--TRIM(LEFT(P60,2))))+1,COUNTIF(APD,"&gt;"&amp;(--TRIM(LEFT(R60,2))))+1))</f>
        <v/>
      </c>
      <c r="U60" s="20">
        <f>IF(S60="","",IF(OR((--TRIM(LEFT(N60,2)))&gt;=SThr,S60&gt;=RPNThr,T60="H"),"Yes","No"))</f>
        <v/>
      </c>
      <c r="V60" s="4" t="n"/>
      <c r="W60" s="4" t="n"/>
      <c r="X60" s="4" t="n"/>
      <c r="Y60" s="29" t="n"/>
      <c r="Z60" s="16" t="n"/>
      <c r="AA60" s="16" t="n"/>
      <c r="AB60" s="16" t="n"/>
      <c r="AC60" s="20">
        <f>IF(OR(Z60="",AA60="",AB60=""),"",(--TRIM(LEFT(Z60,2)))*(--TRIM(LEFT(AA60,2)))*(--TRIM(LEFT(AB60,2))))</f>
        <v/>
      </c>
      <c r="AD60" s="20">
        <f>IF(OR(Z60="",AA60="",AB60=""),"",INDEX(APGrid,COUNTIF(APS,"&gt;"&amp;(--TRIM(LEFT(Z60,2))))*5+COUNTIF(APO,"&gt;"&amp;(--TRIM(LEFT(AA60,2))))+1,COUNTIF(APD,"&gt;"&amp;(--TRIM(LEFT(AB60,2))))+1))</f>
        <v/>
      </c>
      <c r="AE60" s="4" t="n"/>
      <c r="AF60" s="4" t="n"/>
      <c r="AH60">
        <f>IFERROR(INDEX(EqTag,_xlfn.AGGREGATE(15,6,(ROW(EqTag)-4)/((EqSys=$D$3)*(EqTag&lt;&gt;"")),ROWS($AH$14:AH60))),"")</f>
        <v/>
      </c>
    </row>
    <row r="61">
      <c r="A61" s="20">
        <f>IF(F61="","",LEFT($D$3,3)&amp;"-"&amp;TEXT(COUNTIF(F$14:F61,"?*"),"00"))</f>
        <v/>
      </c>
      <c r="B61" s="4" t="n"/>
      <c r="C61" s="5">
        <f>IF(B61="","",IFERROR(INDEX(EqTypeCol,MATCH(B61,EqTag,0)),"Tag not in register"))</f>
        <v/>
      </c>
      <c r="D61" s="4" t="n"/>
      <c r="E61" s="4" t="n"/>
      <c r="F61" s="4" t="n"/>
      <c r="G61" s="4" t="n"/>
      <c r="H61" s="4" t="n"/>
      <c r="I61" s="4" t="n"/>
      <c r="J61" s="5">
        <f>_xlfn.TEXTJOIN(CHAR(10),TRUE,IF(G61="","","• "&amp;G61),IF(H61="","","• "&amp;H61),IF(I61="","","• "&amp;I61))</f>
        <v/>
      </c>
      <c r="K61" s="4" t="n"/>
      <c r="L61" s="4" t="n"/>
      <c r="M61" s="4" t="n"/>
      <c r="N61" s="16" t="n"/>
      <c r="O61" s="4" t="n"/>
      <c r="P61" s="16" t="n"/>
      <c r="Q61" s="4" t="n"/>
      <c r="R61" s="16" t="n"/>
      <c r="S61" s="20">
        <f>IF(OR(N61="",P61="",R61=""),"",(--TRIM(LEFT(N61,2)))*(--TRIM(LEFT(P61,2)))*(--TRIM(LEFT(R61,2))))</f>
        <v/>
      </c>
      <c r="T61" s="20">
        <f>IF(OR(N61="",P61="",R61=""),"",INDEX(APGrid,COUNTIF(APS,"&gt;"&amp;(--TRIM(LEFT(N61,2))))*5+COUNTIF(APO,"&gt;"&amp;(--TRIM(LEFT(P61,2))))+1,COUNTIF(APD,"&gt;"&amp;(--TRIM(LEFT(R61,2))))+1))</f>
        <v/>
      </c>
      <c r="U61" s="20">
        <f>IF(S61="","",IF(OR((--TRIM(LEFT(N61,2)))&gt;=SThr,S61&gt;=RPNThr,T61="H"),"Yes","No"))</f>
        <v/>
      </c>
      <c r="V61" s="4" t="n"/>
      <c r="W61" s="4" t="n"/>
      <c r="X61" s="4" t="n"/>
      <c r="Y61" s="29" t="n"/>
      <c r="Z61" s="16" t="n"/>
      <c r="AA61" s="16" t="n"/>
      <c r="AB61" s="16" t="n"/>
      <c r="AC61" s="20">
        <f>IF(OR(Z61="",AA61="",AB61=""),"",(--TRIM(LEFT(Z61,2)))*(--TRIM(LEFT(AA61,2)))*(--TRIM(LEFT(AB61,2))))</f>
        <v/>
      </c>
      <c r="AD61" s="20">
        <f>IF(OR(Z61="",AA61="",AB61=""),"",INDEX(APGrid,COUNTIF(APS,"&gt;"&amp;(--TRIM(LEFT(Z61,2))))*5+COUNTIF(APO,"&gt;"&amp;(--TRIM(LEFT(AA61,2))))+1,COUNTIF(APD,"&gt;"&amp;(--TRIM(LEFT(AB61,2))))+1))</f>
        <v/>
      </c>
      <c r="AE61" s="4" t="n"/>
      <c r="AF61" s="4" t="n"/>
      <c r="AH61">
        <f>IFERROR(INDEX(EqTag,_xlfn.AGGREGATE(15,6,(ROW(EqTag)-4)/((EqSys=$D$3)*(EqTag&lt;&gt;"")),ROWS($AH$14:AH61))),"")</f>
        <v/>
      </c>
    </row>
    <row r="62">
      <c r="A62" s="20">
        <f>IF(F62="","",LEFT($D$3,3)&amp;"-"&amp;TEXT(COUNTIF(F$14:F62,"?*"),"00"))</f>
        <v/>
      </c>
      <c r="B62" s="4" t="n"/>
      <c r="C62" s="5">
        <f>IF(B62="","",IFERROR(INDEX(EqTypeCol,MATCH(B62,EqTag,0)),"Tag not in register"))</f>
        <v/>
      </c>
      <c r="D62" s="4" t="n"/>
      <c r="E62" s="4" t="n"/>
      <c r="F62" s="4" t="n"/>
      <c r="G62" s="4" t="n"/>
      <c r="H62" s="4" t="n"/>
      <c r="I62" s="4" t="n"/>
      <c r="J62" s="5">
        <f>_xlfn.TEXTJOIN(CHAR(10),TRUE,IF(G62="","","• "&amp;G62),IF(H62="","","• "&amp;H62),IF(I62="","","• "&amp;I62))</f>
        <v/>
      </c>
      <c r="K62" s="4" t="n"/>
      <c r="L62" s="4" t="n"/>
      <c r="M62" s="4" t="n"/>
      <c r="N62" s="16" t="n"/>
      <c r="O62" s="4" t="n"/>
      <c r="P62" s="16" t="n"/>
      <c r="Q62" s="4" t="n"/>
      <c r="R62" s="16" t="n"/>
      <c r="S62" s="20">
        <f>IF(OR(N62="",P62="",R62=""),"",(--TRIM(LEFT(N62,2)))*(--TRIM(LEFT(P62,2)))*(--TRIM(LEFT(R62,2))))</f>
        <v/>
      </c>
      <c r="T62" s="20">
        <f>IF(OR(N62="",P62="",R62=""),"",INDEX(APGrid,COUNTIF(APS,"&gt;"&amp;(--TRIM(LEFT(N62,2))))*5+COUNTIF(APO,"&gt;"&amp;(--TRIM(LEFT(P62,2))))+1,COUNTIF(APD,"&gt;"&amp;(--TRIM(LEFT(R62,2))))+1))</f>
        <v/>
      </c>
      <c r="U62" s="20">
        <f>IF(S62="","",IF(OR((--TRIM(LEFT(N62,2)))&gt;=SThr,S62&gt;=RPNThr,T62="H"),"Yes","No"))</f>
        <v/>
      </c>
      <c r="V62" s="4" t="n"/>
      <c r="W62" s="4" t="n"/>
      <c r="X62" s="4" t="n"/>
      <c r="Y62" s="29" t="n"/>
      <c r="Z62" s="16" t="n"/>
      <c r="AA62" s="16" t="n"/>
      <c r="AB62" s="16" t="n"/>
      <c r="AC62" s="20">
        <f>IF(OR(Z62="",AA62="",AB62=""),"",(--TRIM(LEFT(Z62,2)))*(--TRIM(LEFT(AA62,2)))*(--TRIM(LEFT(AB62,2))))</f>
        <v/>
      </c>
      <c r="AD62" s="20">
        <f>IF(OR(Z62="",AA62="",AB62=""),"",INDEX(APGrid,COUNTIF(APS,"&gt;"&amp;(--TRIM(LEFT(Z62,2))))*5+COUNTIF(APO,"&gt;"&amp;(--TRIM(LEFT(AA62,2))))+1,COUNTIF(APD,"&gt;"&amp;(--TRIM(LEFT(AB62,2))))+1))</f>
        <v/>
      </c>
      <c r="AE62" s="4" t="n"/>
      <c r="AF62" s="4" t="n"/>
      <c r="AH62">
        <f>IFERROR(INDEX(EqTag,_xlfn.AGGREGATE(15,6,(ROW(EqTag)-4)/((EqSys=$D$3)*(EqTag&lt;&gt;"")),ROWS($AH$14:AH62))),"")</f>
        <v/>
      </c>
    </row>
    <row r="63">
      <c r="A63" s="20">
        <f>IF(F63="","",LEFT($D$3,3)&amp;"-"&amp;TEXT(COUNTIF(F$14:F63,"?*"),"00"))</f>
        <v/>
      </c>
      <c r="B63" s="4" t="n"/>
      <c r="C63" s="5">
        <f>IF(B63="","",IFERROR(INDEX(EqTypeCol,MATCH(B63,EqTag,0)),"Tag not in register"))</f>
        <v/>
      </c>
      <c r="D63" s="4" t="n"/>
      <c r="E63" s="4" t="n"/>
      <c r="F63" s="4" t="n"/>
      <c r="G63" s="4" t="n"/>
      <c r="H63" s="4" t="n"/>
      <c r="I63" s="4" t="n"/>
      <c r="J63" s="5">
        <f>_xlfn.TEXTJOIN(CHAR(10),TRUE,IF(G63="","","• "&amp;G63),IF(H63="","","• "&amp;H63),IF(I63="","","• "&amp;I63))</f>
        <v/>
      </c>
      <c r="K63" s="4" t="n"/>
      <c r="L63" s="4" t="n"/>
      <c r="M63" s="4" t="n"/>
      <c r="N63" s="16" t="n"/>
      <c r="O63" s="4" t="n"/>
      <c r="P63" s="16" t="n"/>
      <c r="Q63" s="4" t="n"/>
      <c r="R63" s="16" t="n"/>
      <c r="S63" s="20">
        <f>IF(OR(N63="",P63="",R63=""),"",(--TRIM(LEFT(N63,2)))*(--TRIM(LEFT(P63,2)))*(--TRIM(LEFT(R63,2))))</f>
        <v/>
      </c>
      <c r="T63" s="20">
        <f>IF(OR(N63="",P63="",R63=""),"",INDEX(APGrid,COUNTIF(APS,"&gt;"&amp;(--TRIM(LEFT(N63,2))))*5+COUNTIF(APO,"&gt;"&amp;(--TRIM(LEFT(P63,2))))+1,COUNTIF(APD,"&gt;"&amp;(--TRIM(LEFT(R63,2))))+1))</f>
        <v/>
      </c>
      <c r="U63" s="20">
        <f>IF(S63="","",IF(OR((--TRIM(LEFT(N63,2)))&gt;=SThr,S63&gt;=RPNThr,T63="H"),"Yes","No"))</f>
        <v/>
      </c>
      <c r="V63" s="4" t="n"/>
      <c r="W63" s="4" t="n"/>
      <c r="X63" s="4" t="n"/>
      <c r="Y63" s="29" t="n"/>
      <c r="Z63" s="16" t="n"/>
      <c r="AA63" s="16" t="n"/>
      <c r="AB63" s="16" t="n"/>
      <c r="AC63" s="20">
        <f>IF(OR(Z63="",AA63="",AB63=""),"",(--TRIM(LEFT(Z63,2)))*(--TRIM(LEFT(AA63,2)))*(--TRIM(LEFT(AB63,2))))</f>
        <v/>
      </c>
      <c r="AD63" s="20">
        <f>IF(OR(Z63="",AA63="",AB63=""),"",INDEX(APGrid,COUNTIF(APS,"&gt;"&amp;(--TRIM(LEFT(Z63,2))))*5+COUNTIF(APO,"&gt;"&amp;(--TRIM(LEFT(AA63,2))))+1,COUNTIF(APD,"&gt;"&amp;(--TRIM(LEFT(AB63,2))))+1))</f>
        <v/>
      </c>
      <c r="AE63" s="4" t="n"/>
      <c r="AF63" s="4" t="n"/>
      <c r="AH63">
        <f>IFERROR(INDEX(EqTag,_xlfn.AGGREGATE(15,6,(ROW(EqTag)-4)/((EqSys=$D$3)*(EqTag&lt;&gt;"")),ROWS($AH$14:AH63))),"")</f>
        <v/>
      </c>
    </row>
    <row r="64">
      <c r="A64" s="20">
        <f>IF(F64="","",LEFT($D$3,3)&amp;"-"&amp;TEXT(COUNTIF(F$14:F64,"?*"),"00"))</f>
        <v/>
      </c>
      <c r="B64" s="4" t="n"/>
      <c r="C64" s="5">
        <f>IF(B64="","",IFERROR(INDEX(EqTypeCol,MATCH(B64,EqTag,0)),"Tag not in register"))</f>
        <v/>
      </c>
      <c r="D64" s="4" t="n"/>
      <c r="E64" s="4" t="n"/>
      <c r="F64" s="4" t="n"/>
      <c r="G64" s="4" t="n"/>
      <c r="H64" s="4" t="n"/>
      <c r="I64" s="4" t="n"/>
      <c r="J64" s="5">
        <f>_xlfn.TEXTJOIN(CHAR(10),TRUE,IF(G64="","","• "&amp;G64),IF(H64="","","• "&amp;H64),IF(I64="","","• "&amp;I64))</f>
        <v/>
      </c>
      <c r="K64" s="4" t="n"/>
      <c r="L64" s="4" t="n"/>
      <c r="M64" s="4" t="n"/>
      <c r="N64" s="16" t="n"/>
      <c r="O64" s="4" t="n"/>
      <c r="P64" s="16" t="n"/>
      <c r="Q64" s="4" t="n"/>
      <c r="R64" s="16" t="n"/>
      <c r="S64" s="20">
        <f>IF(OR(N64="",P64="",R64=""),"",(--TRIM(LEFT(N64,2)))*(--TRIM(LEFT(P64,2)))*(--TRIM(LEFT(R64,2))))</f>
        <v/>
      </c>
      <c r="T64" s="20">
        <f>IF(OR(N64="",P64="",R64=""),"",INDEX(APGrid,COUNTIF(APS,"&gt;"&amp;(--TRIM(LEFT(N64,2))))*5+COUNTIF(APO,"&gt;"&amp;(--TRIM(LEFT(P64,2))))+1,COUNTIF(APD,"&gt;"&amp;(--TRIM(LEFT(R64,2))))+1))</f>
        <v/>
      </c>
      <c r="U64" s="20">
        <f>IF(S64="","",IF(OR((--TRIM(LEFT(N64,2)))&gt;=SThr,S64&gt;=RPNThr,T64="H"),"Yes","No"))</f>
        <v/>
      </c>
      <c r="V64" s="4" t="n"/>
      <c r="W64" s="4" t="n"/>
      <c r="X64" s="4" t="n"/>
      <c r="Y64" s="29" t="n"/>
      <c r="Z64" s="16" t="n"/>
      <c r="AA64" s="16" t="n"/>
      <c r="AB64" s="16" t="n"/>
      <c r="AC64" s="20">
        <f>IF(OR(Z64="",AA64="",AB64=""),"",(--TRIM(LEFT(Z64,2)))*(--TRIM(LEFT(AA64,2)))*(--TRIM(LEFT(AB64,2))))</f>
        <v/>
      </c>
      <c r="AD64" s="20">
        <f>IF(OR(Z64="",AA64="",AB64=""),"",INDEX(APGrid,COUNTIF(APS,"&gt;"&amp;(--TRIM(LEFT(Z64,2))))*5+COUNTIF(APO,"&gt;"&amp;(--TRIM(LEFT(AA64,2))))+1,COUNTIF(APD,"&gt;"&amp;(--TRIM(LEFT(AB64,2))))+1))</f>
        <v/>
      </c>
      <c r="AE64" s="4" t="n"/>
      <c r="AF64" s="4" t="n"/>
      <c r="AH64">
        <f>IFERROR(INDEX(EqTag,_xlfn.AGGREGATE(15,6,(ROW(EqTag)-4)/((EqSys=$D$3)*(EqTag&lt;&gt;"")),ROWS($AH$14:AH64))),"")</f>
        <v/>
      </c>
    </row>
    <row r="65">
      <c r="A65" s="20">
        <f>IF(F65="","",LEFT($D$3,3)&amp;"-"&amp;TEXT(COUNTIF(F$14:F65,"?*"),"00"))</f>
        <v/>
      </c>
      <c r="B65" s="4" t="n"/>
      <c r="C65" s="5">
        <f>IF(B65="","",IFERROR(INDEX(EqTypeCol,MATCH(B65,EqTag,0)),"Tag not in register"))</f>
        <v/>
      </c>
      <c r="D65" s="4" t="n"/>
      <c r="E65" s="4" t="n"/>
      <c r="F65" s="4" t="n"/>
      <c r="G65" s="4" t="n"/>
      <c r="H65" s="4" t="n"/>
      <c r="I65" s="4" t="n"/>
      <c r="J65" s="5">
        <f>_xlfn.TEXTJOIN(CHAR(10),TRUE,IF(G65="","","• "&amp;G65),IF(H65="","","• "&amp;H65),IF(I65="","","• "&amp;I65))</f>
        <v/>
      </c>
      <c r="K65" s="4" t="n"/>
      <c r="L65" s="4" t="n"/>
      <c r="M65" s="4" t="n"/>
      <c r="N65" s="16" t="n"/>
      <c r="O65" s="4" t="n"/>
      <c r="P65" s="16" t="n"/>
      <c r="Q65" s="4" t="n"/>
      <c r="R65" s="16" t="n"/>
      <c r="S65" s="20">
        <f>IF(OR(N65="",P65="",R65=""),"",(--TRIM(LEFT(N65,2)))*(--TRIM(LEFT(P65,2)))*(--TRIM(LEFT(R65,2))))</f>
        <v/>
      </c>
      <c r="T65" s="20">
        <f>IF(OR(N65="",P65="",R65=""),"",INDEX(APGrid,COUNTIF(APS,"&gt;"&amp;(--TRIM(LEFT(N65,2))))*5+COUNTIF(APO,"&gt;"&amp;(--TRIM(LEFT(P65,2))))+1,COUNTIF(APD,"&gt;"&amp;(--TRIM(LEFT(R65,2))))+1))</f>
        <v/>
      </c>
      <c r="U65" s="20">
        <f>IF(S65="","",IF(OR((--TRIM(LEFT(N65,2)))&gt;=SThr,S65&gt;=RPNThr,T65="H"),"Yes","No"))</f>
        <v/>
      </c>
      <c r="V65" s="4" t="n"/>
      <c r="W65" s="4" t="n"/>
      <c r="X65" s="4" t="n"/>
      <c r="Y65" s="29" t="n"/>
      <c r="Z65" s="16" t="n"/>
      <c r="AA65" s="16" t="n"/>
      <c r="AB65" s="16" t="n"/>
      <c r="AC65" s="20">
        <f>IF(OR(Z65="",AA65="",AB65=""),"",(--TRIM(LEFT(Z65,2)))*(--TRIM(LEFT(AA65,2)))*(--TRIM(LEFT(AB65,2))))</f>
        <v/>
      </c>
      <c r="AD65" s="20">
        <f>IF(OR(Z65="",AA65="",AB65=""),"",INDEX(APGrid,COUNTIF(APS,"&gt;"&amp;(--TRIM(LEFT(Z65,2))))*5+COUNTIF(APO,"&gt;"&amp;(--TRIM(LEFT(AA65,2))))+1,COUNTIF(APD,"&gt;"&amp;(--TRIM(LEFT(AB65,2))))+1))</f>
        <v/>
      </c>
      <c r="AE65" s="4" t="n"/>
      <c r="AF65" s="4" t="n"/>
      <c r="AH65">
        <f>IFERROR(INDEX(EqTag,_xlfn.AGGREGATE(15,6,(ROW(EqTag)-4)/((EqSys=$D$3)*(EqTag&lt;&gt;"")),ROWS($AH$14:AH65))),"")</f>
        <v/>
      </c>
    </row>
    <row r="66">
      <c r="A66" s="20">
        <f>IF(F66="","",LEFT($D$3,3)&amp;"-"&amp;TEXT(COUNTIF(F$14:F66,"?*"),"00"))</f>
        <v/>
      </c>
      <c r="B66" s="4" t="n"/>
      <c r="C66" s="5">
        <f>IF(B66="","",IFERROR(INDEX(EqTypeCol,MATCH(B66,EqTag,0)),"Tag not in register"))</f>
        <v/>
      </c>
      <c r="D66" s="4" t="n"/>
      <c r="E66" s="4" t="n"/>
      <c r="F66" s="4" t="n"/>
      <c r="G66" s="4" t="n"/>
      <c r="H66" s="4" t="n"/>
      <c r="I66" s="4" t="n"/>
      <c r="J66" s="5">
        <f>_xlfn.TEXTJOIN(CHAR(10),TRUE,IF(G66="","","• "&amp;G66),IF(H66="","","• "&amp;H66),IF(I66="","","• "&amp;I66))</f>
        <v/>
      </c>
      <c r="K66" s="4" t="n"/>
      <c r="L66" s="4" t="n"/>
      <c r="M66" s="4" t="n"/>
      <c r="N66" s="16" t="n"/>
      <c r="O66" s="4" t="n"/>
      <c r="P66" s="16" t="n"/>
      <c r="Q66" s="4" t="n"/>
      <c r="R66" s="16" t="n"/>
      <c r="S66" s="20">
        <f>IF(OR(N66="",P66="",R66=""),"",(--TRIM(LEFT(N66,2)))*(--TRIM(LEFT(P66,2)))*(--TRIM(LEFT(R66,2))))</f>
        <v/>
      </c>
      <c r="T66" s="20">
        <f>IF(OR(N66="",P66="",R66=""),"",INDEX(APGrid,COUNTIF(APS,"&gt;"&amp;(--TRIM(LEFT(N66,2))))*5+COUNTIF(APO,"&gt;"&amp;(--TRIM(LEFT(P66,2))))+1,COUNTIF(APD,"&gt;"&amp;(--TRIM(LEFT(R66,2))))+1))</f>
        <v/>
      </c>
      <c r="U66" s="20">
        <f>IF(S66="","",IF(OR((--TRIM(LEFT(N66,2)))&gt;=SThr,S66&gt;=RPNThr,T66="H"),"Yes","No"))</f>
        <v/>
      </c>
      <c r="V66" s="4" t="n"/>
      <c r="W66" s="4" t="n"/>
      <c r="X66" s="4" t="n"/>
      <c r="Y66" s="29" t="n"/>
      <c r="Z66" s="16" t="n"/>
      <c r="AA66" s="16" t="n"/>
      <c r="AB66" s="16" t="n"/>
      <c r="AC66" s="20">
        <f>IF(OR(Z66="",AA66="",AB66=""),"",(--TRIM(LEFT(Z66,2)))*(--TRIM(LEFT(AA66,2)))*(--TRIM(LEFT(AB66,2))))</f>
        <v/>
      </c>
      <c r="AD66" s="20">
        <f>IF(OR(Z66="",AA66="",AB66=""),"",INDEX(APGrid,COUNTIF(APS,"&gt;"&amp;(--TRIM(LEFT(Z66,2))))*5+COUNTIF(APO,"&gt;"&amp;(--TRIM(LEFT(AA66,2))))+1,COUNTIF(APD,"&gt;"&amp;(--TRIM(LEFT(AB66,2))))+1))</f>
        <v/>
      </c>
      <c r="AE66" s="4" t="n"/>
      <c r="AF66" s="4" t="n"/>
      <c r="AH66">
        <f>IFERROR(INDEX(EqTag,_xlfn.AGGREGATE(15,6,(ROW(EqTag)-4)/((EqSys=$D$3)*(EqTag&lt;&gt;"")),ROWS($AH$14:AH66))),"")</f>
        <v/>
      </c>
    </row>
    <row r="67">
      <c r="A67" s="20">
        <f>IF(F67="","",LEFT($D$3,3)&amp;"-"&amp;TEXT(COUNTIF(F$14:F67,"?*"),"00"))</f>
        <v/>
      </c>
      <c r="B67" s="4" t="n"/>
      <c r="C67" s="5">
        <f>IF(B67="","",IFERROR(INDEX(EqTypeCol,MATCH(B67,EqTag,0)),"Tag not in register"))</f>
        <v/>
      </c>
      <c r="D67" s="4" t="n"/>
      <c r="E67" s="4" t="n"/>
      <c r="F67" s="4" t="n"/>
      <c r="G67" s="4" t="n"/>
      <c r="H67" s="4" t="n"/>
      <c r="I67" s="4" t="n"/>
      <c r="J67" s="5">
        <f>_xlfn.TEXTJOIN(CHAR(10),TRUE,IF(G67="","","• "&amp;G67),IF(H67="","","• "&amp;H67),IF(I67="","","• "&amp;I67))</f>
        <v/>
      </c>
      <c r="K67" s="4" t="n"/>
      <c r="L67" s="4" t="n"/>
      <c r="M67" s="4" t="n"/>
      <c r="N67" s="16" t="n"/>
      <c r="O67" s="4" t="n"/>
      <c r="P67" s="16" t="n"/>
      <c r="Q67" s="4" t="n"/>
      <c r="R67" s="16" t="n"/>
      <c r="S67" s="20">
        <f>IF(OR(N67="",P67="",R67=""),"",(--TRIM(LEFT(N67,2)))*(--TRIM(LEFT(P67,2)))*(--TRIM(LEFT(R67,2))))</f>
        <v/>
      </c>
      <c r="T67" s="20">
        <f>IF(OR(N67="",P67="",R67=""),"",INDEX(APGrid,COUNTIF(APS,"&gt;"&amp;(--TRIM(LEFT(N67,2))))*5+COUNTIF(APO,"&gt;"&amp;(--TRIM(LEFT(P67,2))))+1,COUNTIF(APD,"&gt;"&amp;(--TRIM(LEFT(R67,2))))+1))</f>
        <v/>
      </c>
      <c r="U67" s="20">
        <f>IF(S67="","",IF(OR((--TRIM(LEFT(N67,2)))&gt;=SThr,S67&gt;=RPNThr,T67="H"),"Yes","No"))</f>
        <v/>
      </c>
      <c r="V67" s="4" t="n"/>
      <c r="W67" s="4" t="n"/>
      <c r="X67" s="4" t="n"/>
      <c r="Y67" s="29" t="n"/>
      <c r="Z67" s="16" t="n"/>
      <c r="AA67" s="16" t="n"/>
      <c r="AB67" s="16" t="n"/>
      <c r="AC67" s="20">
        <f>IF(OR(Z67="",AA67="",AB67=""),"",(--TRIM(LEFT(Z67,2)))*(--TRIM(LEFT(AA67,2)))*(--TRIM(LEFT(AB67,2))))</f>
        <v/>
      </c>
      <c r="AD67" s="20">
        <f>IF(OR(Z67="",AA67="",AB67=""),"",INDEX(APGrid,COUNTIF(APS,"&gt;"&amp;(--TRIM(LEFT(Z67,2))))*5+COUNTIF(APO,"&gt;"&amp;(--TRIM(LEFT(AA67,2))))+1,COUNTIF(APD,"&gt;"&amp;(--TRIM(LEFT(AB67,2))))+1))</f>
        <v/>
      </c>
      <c r="AE67" s="4" t="n"/>
      <c r="AF67" s="4" t="n"/>
      <c r="AH67">
        <f>IFERROR(INDEX(EqTag,_xlfn.AGGREGATE(15,6,(ROW(EqTag)-4)/((EqSys=$D$3)*(EqTag&lt;&gt;"")),ROWS($AH$14:AH67))),"")</f>
        <v/>
      </c>
    </row>
    <row r="68">
      <c r="A68" s="20">
        <f>IF(F68="","",LEFT($D$3,3)&amp;"-"&amp;TEXT(COUNTIF(F$14:F68,"?*"),"00"))</f>
        <v/>
      </c>
      <c r="B68" s="4" t="n"/>
      <c r="C68" s="5">
        <f>IF(B68="","",IFERROR(INDEX(EqTypeCol,MATCH(B68,EqTag,0)),"Tag not in register"))</f>
        <v/>
      </c>
      <c r="D68" s="4" t="n"/>
      <c r="E68" s="4" t="n"/>
      <c r="F68" s="4" t="n"/>
      <c r="G68" s="4" t="n"/>
      <c r="H68" s="4" t="n"/>
      <c r="I68" s="4" t="n"/>
      <c r="J68" s="5">
        <f>_xlfn.TEXTJOIN(CHAR(10),TRUE,IF(G68="","","• "&amp;G68),IF(H68="","","• "&amp;H68),IF(I68="","","• "&amp;I68))</f>
        <v/>
      </c>
      <c r="K68" s="4" t="n"/>
      <c r="L68" s="4" t="n"/>
      <c r="M68" s="4" t="n"/>
      <c r="N68" s="16" t="n"/>
      <c r="O68" s="4" t="n"/>
      <c r="P68" s="16" t="n"/>
      <c r="Q68" s="4" t="n"/>
      <c r="R68" s="16" t="n"/>
      <c r="S68" s="20">
        <f>IF(OR(N68="",P68="",R68=""),"",(--TRIM(LEFT(N68,2)))*(--TRIM(LEFT(P68,2)))*(--TRIM(LEFT(R68,2))))</f>
        <v/>
      </c>
      <c r="T68" s="20">
        <f>IF(OR(N68="",P68="",R68=""),"",INDEX(APGrid,COUNTIF(APS,"&gt;"&amp;(--TRIM(LEFT(N68,2))))*5+COUNTIF(APO,"&gt;"&amp;(--TRIM(LEFT(P68,2))))+1,COUNTIF(APD,"&gt;"&amp;(--TRIM(LEFT(R68,2))))+1))</f>
        <v/>
      </c>
      <c r="U68" s="20">
        <f>IF(S68="","",IF(OR((--TRIM(LEFT(N68,2)))&gt;=SThr,S68&gt;=RPNThr,T68="H"),"Yes","No"))</f>
        <v/>
      </c>
      <c r="V68" s="4" t="n"/>
      <c r="W68" s="4" t="n"/>
      <c r="X68" s="4" t="n"/>
      <c r="Y68" s="29" t="n"/>
      <c r="Z68" s="16" t="n"/>
      <c r="AA68" s="16" t="n"/>
      <c r="AB68" s="16" t="n"/>
      <c r="AC68" s="20">
        <f>IF(OR(Z68="",AA68="",AB68=""),"",(--TRIM(LEFT(Z68,2)))*(--TRIM(LEFT(AA68,2)))*(--TRIM(LEFT(AB68,2))))</f>
        <v/>
      </c>
      <c r="AD68" s="20">
        <f>IF(OR(Z68="",AA68="",AB68=""),"",INDEX(APGrid,COUNTIF(APS,"&gt;"&amp;(--TRIM(LEFT(Z68,2))))*5+COUNTIF(APO,"&gt;"&amp;(--TRIM(LEFT(AA68,2))))+1,COUNTIF(APD,"&gt;"&amp;(--TRIM(LEFT(AB68,2))))+1))</f>
        <v/>
      </c>
      <c r="AE68" s="4" t="n"/>
      <c r="AF68" s="4" t="n"/>
      <c r="AH68">
        <f>IFERROR(INDEX(EqTag,_xlfn.AGGREGATE(15,6,(ROW(EqTag)-4)/((EqSys=$D$3)*(EqTag&lt;&gt;"")),ROWS($AH$14:AH68))),"")</f>
        <v/>
      </c>
    </row>
    <row r="69">
      <c r="A69" s="20">
        <f>IF(F69="","",LEFT($D$3,3)&amp;"-"&amp;TEXT(COUNTIF(F$14:F69,"?*"),"00"))</f>
        <v/>
      </c>
      <c r="B69" s="4" t="n"/>
      <c r="C69" s="5">
        <f>IF(B69="","",IFERROR(INDEX(EqTypeCol,MATCH(B69,EqTag,0)),"Tag not in register"))</f>
        <v/>
      </c>
      <c r="D69" s="4" t="n"/>
      <c r="E69" s="4" t="n"/>
      <c r="F69" s="4" t="n"/>
      <c r="G69" s="4" t="n"/>
      <c r="H69" s="4" t="n"/>
      <c r="I69" s="4" t="n"/>
      <c r="J69" s="5">
        <f>_xlfn.TEXTJOIN(CHAR(10),TRUE,IF(G69="","","• "&amp;G69),IF(H69="","","• "&amp;H69),IF(I69="","","• "&amp;I69))</f>
        <v/>
      </c>
      <c r="K69" s="4" t="n"/>
      <c r="L69" s="4" t="n"/>
      <c r="M69" s="4" t="n"/>
      <c r="N69" s="16" t="n"/>
      <c r="O69" s="4" t="n"/>
      <c r="P69" s="16" t="n"/>
      <c r="Q69" s="4" t="n"/>
      <c r="R69" s="16" t="n"/>
      <c r="S69" s="20">
        <f>IF(OR(N69="",P69="",R69=""),"",(--TRIM(LEFT(N69,2)))*(--TRIM(LEFT(P69,2)))*(--TRIM(LEFT(R69,2))))</f>
        <v/>
      </c>
      <c r="T69" s="20">
        <f>IF(OR(N69="",P69="",R69=""),"",INDEX(APGrid,COUNTIF(APS,"&gt;"&amp;(--TRIM(LEFT(N69,2))))*5+COUNTIF(APO,"&gt;"&amp;(--TRIM(LEFT(P69,2))))+1,COUNTIF(APD,"&gt;"&amp;(--TRIM(LEFT(R69,2))))+1))</f>
        <v/>
      </c>
      <c r="U69" s="20">
        <f>IF(S69="","",IF(OR((--TRIM(LEFT(N69,2)))&gt;=SThr,S69&gt;=RPNThr,T69="H"),"Yes","No"))</f>
        <v/>
      </c>
      <c r="V69" s="4" t="n"/>
      <c r="W69" s="4" t="n"/>
      <c r="X69" s="4" t="n"/>
      <c r="Y69" s="29" t="n"/>
      <c r="Z69" s="16" t="n"/>
      <c r="AA69" s="16" t="n"/>
      <c r="AB69" s="16" t="n"/>
      <c r="AC69" s="20">
        <f>IF(OR(Z69="",AA69="",AB69=""),"",(--TRIM(LEFT(Z69,2)))*(--TRIM(LEFT(AA69,2)))*(--TRIM(LEFT(AB69,2))))</f>
        <v/>
      </c>
      <c r="AD69" s="20">
        <f>IF(OR(Z69="",AA69="",AB69=""),"",INDEX(APGrid,COUNTIF(APS,"&gt;"&amp;(--TRIM(LEFT(Z69,2))))*5+COUNTIF(APO,"&gt;"&amp;(--TRIM(LEFT(AA69,2))))+1,COUNTIF(APD,"&gt;"&amp;(--TRIM(LEFT(AB69,2))))+1))</f>
        <v/>
      </c>
      <c r="AE69" s="4" t="n"/>
      <c r="AF69" s="4" t="n"/>
      <c r="AH69">
        <f>IFERROR(INDEX(EqTag,_xlfn.AGGREGATE(15,6,(ROW(EqTag)-4)/((EqSys=$D$3)*(EqTag&lt;&gt;"")),ROWS($AH$14:AH69))),"")</f>
        <v/>
      </c>
    </row>
    <row r="70">
      <c r="A70" s="20">
        <f>IF(F70="","",LEFT($D$3,3)&amp;"-"&amp;TEXT(COUNTIF(F$14:F70,"?*"),"00"))</f>
        <v/>
      </c>
      <c r="B70" s="4" t="n"/>
      <c r="C70" s="5">
        <f>IF(B70="","",IFERROR(INDEX(EqTypeCol,MATCH(B70,EqTag,0)),"Tag not in register"))</f>
        <v/>
      </c>
      <c r="D70" s="4" t="n"/>
      <c r="E70" s="4" t="n"/>
      <c r="F70" s="4" t="n"/>
      <c r="G70" s="4" t="n"/>
      <c r="H70" s="4" t="n"/>
      <c r="I70" s="4" t="n"/>
      <c r="J70" s="5">
        <f>_xlfn.TEXTJOIN(CHAR(10),TRUE,IF(G70="","","• "&amp;G70),IF(H70="","","• "&amp;H70),IF(I70="","","• "&amp;I70))</f>
        <v/>
      </c>
      <c r="K70" s="4" t="n"/>
      <c r="L70" s="4" t="n"/>
      <c r="M70" s="4" t="n"/>
      <c r="N70" s="16" t="n"/>
      <c r="O70" s="4" t="n"/>
      <c r="P70" s="16" t="n"/>
      <c r="Q70" s="4" t="n"/>
      <c r="R70" s="16" t="n"/>
      <c r="S70" s="20">
        <f>IF(OR(N70="",P70="",R70=""),"",(--TRIM(LEFT(N70,2)))*(--TRIM(LEFT(P70,2)))*(--TRIM(LEFT(R70,2))))</f>
        <v/>
      </c>
      <c r="T70" s="20">
        <f>IF(OR(N70="",P70="",R70=""),"",INDEX(APGrid,COUNTIF(APS,"&gt;"&amp;(--TRIM(LEFT(N70,2))))*5+COUNTIF(APO,"&gt;"&amp;(--TRIM(LEFT(P70,2))))+1,COUNTIF(APD,"&gt;"&amp;(--TRIM(LEFT(R70,2))))+1))</f>
        <v/>
      </c>
      <c r="U70" s="20">
        <f>IF(S70="","",IF(OR((--TRIM(LEFT(N70,2)))&gt;=SThr,S70&gt;=RPNThr,T70="H"),"Yes","No"))</f>
        <v/>
      </c>
      <c r="V70" s="4" t="n"/>
      <c r="W70" s="4" t="n"/>
      <c r="X70" s="4" t="n"/>
      <c r="Y70" s="29" t="n"/>
      <c r="Z70" s="16" t="n"/>
      <c r="AA70" s="16" t="n"/>
      <c r="AB70" s="16" t="n"/>
      <c r="AC70" s="20">
        <f>IF(OR(Z70="",AA70="",AB70=""),"",(--TRIM(LEFT(Z70,2)))*(--TRIM(LEFT(AA70,2)))*(--TRIM(LEFT(AB70,2))))</f>
        <v/>
      </c>
      <c r="AD70" s="20">
        <f>IF(OR(Z70="",AA70="",AB70=""),"",INDEX(APGrid,COUNTIF(APS,"&gt;"&amp;(--TRIM(LEFT(Z70,2))))*5+COUNTIF(APO,"&gt;"&amp;(--TRIM(LEFT(AA70,2))))+1,COUNTIF(APD,"&gt;"&amp;(--TRIM(LEFT(AB70,2))))+1))</f>
        <v/>
      </c>
      <c r="AE70" s="4" t="n"/>
      <c r="AF70" s="4" t="n"/>
      <c r="AH70">
        <f>IFERROR(INDEX(EqTag,_xlfn.AGGREGATE(15,6,(ROW(EqTag)-4)/((EqSys=$D$3)*(EqTag&lt;&gt;"")),ROWS($AH$14:AH70))),"")</f>
        <v/>
      </c>
    </row>
    <row r="71">
      <c r="A71" s="20">
        <f>IF(F71="","",LEFT($D$3,3)&amp;"-"&amp;TEXT(COUNTIF(F$14:F71,"?*"),"00"))</f>
        <v/>
      </c>
      <c r="B71" s="4" t="n"/>
      <c r="C71" s="5">
        <f>IF(B71="","",IFERROR(INDEX(EqTypeCol,MATCH(B71,EqTag,0)),"Tag not in register"))</f>
        <v/>
      </c>
      <c r="D71" s="4" t="n"/>
      <c r="E71" s="4" t="n"/>
      <c r="F71" s="4" t="n"/>
      <c r="G71" s="4" t="n"/>
      <c r="H71" s="4" t="n"/>
      <c r="I71" s="4" t="n"/>
      <c r="J71" s="5">
        <f>_xlfn.TEXTJOIN(CHAR(10),TRUE,IF(G71="","","• "&amp;G71),IF(H71="","","• "&amp;H71),IF(I71="","","• "&amp;I71))</f>
        <v/>
      </c>
      <c r="K71" s="4" t="n"/>
      <c r="L71" s="4" t="n"/>
      <c r="M71" s="4" t="n"/>
      <c r="N71" s="16" t="n"/>
      <c r="O71" s="4" t="n"/>
      <c r="P71" s="16" t="n"/>
      <c r="Q71" s="4" t="n"/>
      <c r="R71" s="16" t="n"/>
      <c r="S71" s="20">
        <f>IF(OR(N71="",P71="",R71=""),"",(--TRIM(LEFT(N71,2)))*(--TRIM(LEFT(P71,2)))*(--TRIM(LEFT(R71,2))))</f>
        <v/>
      </c>
      <c r="T71" s="20">
        <f>IF(OR(N71="",P71="",R71=""),"",INDEX(APGrid,COUNTIF(APS,"&gt;"&amp;(--TRIM(LEFT(N71,2))))*5+COUNTIF(APO,"&gt;"&amp;(--TRIM(LEFT(P71,2))))+1,COUNTIF(APD,"&gt;"&amp;(--TRIM(LEFT(R71,2))))+1))</f>
        <v/>
      </c>
      <c r="U71" s="20">
        <f>IF(S71="","",IF(OR((--TRIM(LEFT(N71,2)))&gt;=SThr,S71&gt;=RPNThr,T71="H"),"Yes","No"))</f>
        <v/>
      </c>
      <c r="V71" s="4" t="n"/>
      <c r="W71" s="4" t="n"/>
      <c r="X71" s="4" t="n"/>
      <c r="Y71" s="29" t="n"/>
      <c r="Z71" s="16" t="n"/>
      <c r="AA71" s="16" t="n"/>
      <c r="AB71" s="16" t="n"/>
      <c r="AC71" s="20">
        <f>IF(OR(Z71="",AA71="",AB71=""),"",(--TRIM(LEFT(Z71,2)))*(--TRIM(LEFT(AA71,2)))*(--TRIM(LEFT(AB71,2))))</f>
        <v/>
      </c>
      <c r="AD71" s="20">
        <f>IF(OR(Z71="",AA71="",AB71=""),"",INDEX(APGrid,COUNTIF(APS,"&gt;"&amp;(--TRIM(LEFT(Z71,2))))*5+COUNTIF(APO,"&gt;"&amp;(--TRIM(LEFT(AA71,2))))+1,COUNTIF(APD,"&gt;"&amp;(--TRIM(LEFT(AB71,2))))+1))</f>
        <v/>
      </c>
      <c r="AE71" s="4" t="n"/>
      <c r="AF71" s="4" t="n"/>
      <c r="AH71">
        <f>IFERROR(INDEX(EqTag,_xlfn.AGGREGATE(15,6,(ROW(EqTag)-4)/((EqSys=$D$3)*(EqTag&lt;&gt;"")),ROWS($AH$14:AH71))),"")</f>
        <v/>
      </c>
    </row>
    <row r="72">
      <c r="A72" s="20">
        <f>IF(F72="","",LEFT($D$3,3)&amp;"-"&amp;TEXT(COUNTIF(F$14:F72,"?*"),"00"))</f>
        <v/>
      </c>
      <c r="B72" s="4" t="n"/>
      <c r="C72" s="5">
        <f>IF(B72="","",IFERROR(INDEX(EqTypeCol,MATCH(B72,EqTag,0)),"Tag not in register"))</f>
        <v/>
      </c>
      <c r="D72" s="4" t="n"/>
      <c r="E72" s="4" t="n"/>
      <c r="F72" s="4" t="n"/>
      <c r="G72" s="4" t="n"/>
      <c r="H72" s="4" t="n"/>
      <c r="I72" s="4" t="n"/>
      <c r="J72" s="5">
        <f>_xlfn.TEXTJOIN(CHAR(10),TRUE,IF(G72="","","• "&amp;G72),IF(H72="","","• "&amp;H72),IF(I72="","","• "&amp;I72))</f>
        <v/>
      </c>
      <c r="K72" s="4" t="n"/>
      <c r="L72" s="4" t="n"/>
      <c r="M72" s="4" t="n"/>
      <c r="N72" s="16" t="n"/>
      <c r="O72" s="4" t="n"/>
      <c r="P72" s="16" t="n"/>
      <c r="Q72" s="4" t="n"/>
      <c r="R72" s="16" t="n"/>
      <c r="S72" s="20">
        <f>IF(OR(N72="",P72="",R72=""),"",(--TRIM(LEFT(N72,2)))*(--TRIM(LEFT(P72,2)))*(--TRIM(LEFT(R72,2))))</f>
        <v/>
      </c>
      <c r="T72" s="20">
        <f>IF(OR(N72="",P72="",R72=""),"",INDEX(APGrid,COUNTIF(APS,"&gt;"&amp;(--TRIM(LEFT(N72,2))))*5+COUNTIF(APO,"&gt;"&amp;(--TRIM(LEFT(P72,2))))+1,COUNTIF(APD,"&gt;"&amp;(--TRIM(LEFT(R72,2))))+1))</f>
        <v/>
      </c>
      <c r="U72" s="20">
        <f>IF(S72="","",IF(OR((--TRIM(LEFT(N72,2)))&gt;=SThr,S72&gt;=RPNThr,T72="H"),"Yes","No"))</f>
        <v/>
      </c>
      <c r="V72" s="4" t="n"/>
      <c r="W72" s="4" t="n"/>
      <c r="X72" s="4" t="n"/>
      <c r="Y72" s="29" t="n"/>
      <c r="Z72" s="16" t="n"/>
      <c r="AA72" s="16" t="n"/>
      <c r="AB72" s="16" t="n"/>
      <c r="AC72" s="20">
        <f>IF(OR(Z72="",AA72="",AB72=""),"",(--TRIM(LEFT(Z72,2)))*(--TRIM(LEFT(AA72,2)))*(--TRIM(LEFT(AB72,2))))</f>
        <v/>
      </c>
      <c r="AD72" s="20">
        <f>IF(OR(Z72="",AA72="",AB72=""),"",INDEX(APGrid,COUNTIF(APS,"&gt;"&amp;(--TRIM(LEFT(Z72,2))))*5+COUNTIF(APO,"&gt;"&amp;(--TRIM(LEFT(AA72,2))))+1,COUNTIF(APD,"&gt;"&amp;(--TRIM(LEFT(AB72,2))))+1))</f>
        <v/>
      </c>
      <c r="AE72" s="4" t="n"/>
      <c r="AF72" s="4" t="n"/>
      <c r="AH72">
        <f>IFERROR(INDEX(EqTag,_xlfn.AGGREGATE(15,6,(ROW(EqTag)-4)/((EqSys=$D$3)*(EqTag&lt;&gt;"")),ROWS($AH$14:AH72))),"")</f>
        <v/>
      </c>
    </row>
    <row r="73">
      <c r="A73" s="20">
        <f>IF(F73="","",LEFT($D$3,3)&amp;"-"&amp;TEXT(COUNTIF(F$14:F73,"?*"),"00"))</f>
        <v/>
      </c>
      <c r="B73" s="4" t="n"/>
      <c r="C73" s="5">
        <f>IF(B73="","",IFERROR(INDEX(EqTypeCol,MATCH(B73,EqTag,0)),"Tag not in register"))</f>
        <v/>
      </c>
      <c r="D73" s="4" t="n"/>
      <c r="E73" s="4" t="n"/>
      <c r="F73" s="4" t="n"/>
      <c r="G73" s="4" t="n"/>
      <c r="H73" s="4" t="n"/>
      <c r="I73" s="4" t="n"/>
      <c r="J73" s="5">
        <f>_xlfn.TEXTJOIN(CHAR(10),TRUE,IF(G73="","","• "&amp;G73),IF(H73="","","• "&amp;H73),IF(I73="","","• "&amp;I73))</f>
        <v/>
      </c>
      <c r="K73" s="4" t="n"/>
      <c r="L73" s="4" t="n"/>
      <c r="M73" s="4" t="n"/>
      <c r="N73" s="16" t="n"/>
      <c r="O73" s="4" t="n"/>
      <c r="P73" s="16" t="n"/>
      <c r="Q73" s="4" t="n"/>
      <c r="R73" s="16" t="n"/>
      <c r="S73" s="20">
        <f>IF(OR(N73="",P73="",R73=""),"",(--TRIM(LEFT(N73,2)))*(--TRIM(LEFT(P73,2)))*(--TRIM(LEFT(R73,2))))</f>
        <v/>
      </c>
      <c r="T73" s="20">
        <f>IF(OR(N73="",P73="",R73=""),"",INDEX(APGrid,COUNTIF(APS,"&gt;"&amp;(--TRIM(LEFT(N73,2))))*5+COUNTIF(APO,"&gt;"&amp;(--TRIM(LEFT(P73,2))))+1,COUNTIF(APD,"&gt;"&amp;(--TRIM(LEFT(R73,2))))+1))</f>
        <v/>
      </c>
      <c r="U73" s="20">
        <f>IF(S73="","",IF(OR((--TRIM(LEFT(N73,2)))&gt;=SThr,S73&gt;=RPNThr,T73="H"),"Yes","No"))</f>
        <v/>
      </c>
      <c r="V73" s="4" t="n"/>
      <c r="W73" s="4" t="n"/>
      <c r="X73" s="4" t="n"/>
      <c r="Y73" s="29" t="n"/>
      <c r="Z73" s="16" t="n"/>
      <c r="AA73" s="16" t="n"/>
      <c r="AB73" s="16" t="n"/>
      <c r="AC73" s="20">
        <f>IF(OR(Z73="",AA73="",AB73=""),"",(--TRIM(LEFT(Z73,2)))*(--TRIM(LEFT(AA73,2)))*(--TRIM(LEFT(AB73,2))))</f>
        <v/>
      </c>
      <c r="AD73" s="20">
        <f>IF(OR(Z73="",AA73="",AB73=""),"",INDEX(APGrid,COUNTIF(APS,"&gt;"&amp;(--TRIM(LEFT(Z73,2))))*5+COUNTIF(APO,"&gt;"&amp;(--TRIM(LEFT(AA73,2))))+1,COUNTIF(APD,"&gt;"&amp;(--TRIM(LEFT(AB73,2))))+1))</f>
        <v/>
      </c>
      <c r="AE73" s="4" t="n"/>
      <c r="AF73" s="4" t="n"/>
      <c r="AH73">
        <f>IFERROR(INDEX(EqTag,_xlfn.AGGREGATE(15,6,(ROW(EqTag)-4)/((EqSys=$D$3)*(EqTag&lt;&gt;"")),ROWS($AH$14:AH73))),"")</f>
        <v/>
      </c>
    </row>
    <row r="74">
      <c r="A74" s="20">
        <f>IF(F74="","",LEFT($D$3,3)&amp;"-"&amp;TEXT(COUNTIF(F$14:F74,"?*"),"00"))</f>
        <v/>
      </c>
      <c r="B74" s="4" t="n"/>
      <c r="C74" s="5">
        <f>IF(B74="","",IFERROR(INDEX(EqTypeCol,MATCH(B74,EqTag,0)),"Tag not in register"))</f>
        <v/>
      </c>
      <c r="D74" s="4" t="n"/>
      <c r="E74" s="4" t="n"/>
      <c r="F74" s="4" t="n"/>
      <c r="G74" s="4" t="n"/>
      <c r="H74" s="4" t="n"/>
      <c r="I74" s="4" t="n"/>
      <c r="J74" s="5">
        <f>_xlfn.TEXTJOIN(CHAR(10),TRUE,IF(G74="","","• "&amp;G74),IF(H74="","","• "&amp;H74),IF(I74="","","• "&amp;I74))</f>
        <v/>
      </c>
      <c r="K74" s="4" t="n"/>
      <c r="L74" s="4" t="n"/>
      <c r="M74" s="4" t="n"/>
      <c r="N74" s="16" t="n"/>
      <c r="O74" s="4" t="n"/>
      <c r="P74" s="16" t="n"/>
      <c r="Q74" s="4" t="n"/>
      <c r="R74" s="16" t="n"/>
      <c r="S74" s="20">
        <f>IF(OR(N74="",P74="",R74=""),"",(--TRIM(LEFT(N74,2)))*(--TRIM(LEFT(P74,2)))*(--TRIM(LEFT(R74,2))))</f>
        <v/>
      </c>
      <c r="T74" s="20">
        <f>IF(OR(N74="",P74="",R74=""),"",INDEX(APGrid,COUNTIF(APS,"&gt;"&amp;(--TRIM(LEFT(N74,2))))*5+COUNTIF(APO,"&gt;"&amp;(--TRIM(LEFT(P74,2))))+1,COUNTIF(APD,"&gt;"&amp;(--TRIM(LEFT(R74,2))))+1))</f>
        <v/>
      </c>
      <c r="U74" s="20">
        <f>IF(S74="","",IF(OR((--TRIM(LEFT(N74,2)))&gt;=SThr,S74&gt;=RPNThr,T74="H"),"Yes","No"))</f>
        <v/>
      </c>
      <c r="V74" s="4" t="n"/>
      <c r="W74" s="4" t="n"/>
      <c r="X74" s="4" t="n"/>
      <c r="Y74" s="29" t="n"/>
      <c r="Z74" s="16" t="n"/>
      <c r="AA74" s="16" t="n"/>
      <c r="AB74" s="16" t="n"/>
      <c r="AC74" s="20">
        <f>IF(OR(Z74="",AA74="",AB74=""),"",(--TRIM(LEFT(Z74,2)))*(--TRIM(LEFT(AA74,2)))*(--TRIM(LEFT(AB74,2))))</f>
        <v/>
      </c>
      <c r="AD74" s="20">
        <f>IF(OR(Z74="",AA74="",AB74=""),"",INDEX(APGrid,COUNTIF(APS,"&gt;"&amp;(--TRIM(LEFT(Z74,2))))*5+COUNTIF(APO,"&gt;"&amp;(--TRIM(LEFT(AA74,2))))+1,COUNTIF(APD,"&gt;"&amp;(--TRIM(LEFT(AB74,2))))+1))</f>
        <v/>
      </c>
      <c r="AE74" s="4" t="n"/>
      <c r="AF74" s="4" t="n"/>
      <c r="AH74">
        <f>IFERROR(INDEX(EqTag,_xlfn.AGGREGATE(15,6,(ROW(EqTag)-4)/((EqSys=$D$3)*(EqTag&lt;&gt;"")),ROWS($AH$14:AH74))),"")</f>
        <v/>
      </c>
    </row>
    <row r="75">
      <c r="A75" s="20">
        <f>IF(F75="","",LEFT($D$3,3)&amp;"-"&amp;TEXT(COUNTIF(F$14:F75,"?*"),"00"))</f>
        <v/>
      </c>
      <c r="B75" s="4" t="n"/>
      <c r="C75" s="5">
        <f>IF(B75="","",IFERROR(INDEX(EqTypeCol,MATCH(B75,EqTag,0)),"Tag not in register"))</f>
        <v/>
      </c>
      <c r="D75" s="4" t="n"/>
      <c r="E75" s="4" t="n"/>
      <c r="F75" s="4" t="n"/>
      <c r="G75" s="4" t="n"/>
      <c r="H75" s="4" t="n"/>
      <c r="I75" s="4" t="n"/>
      <c r="J75" s="5">
        <f>_xlfn.TEXTJOIN(CHAR(10),TRUE,IF(G75="","","• "&amp;G75),IF(H75="","","• "&amp;H75),IF(I75="","","• "&amp;I75))</f>
        <v/>
      </c>
      <c r="K75" s="4" t="n"/>
      <c r="L75" s="4" t="n"/>
      <c r="M75" s="4" t="n"/>
      <c r="N75" s="16" t="n"/>
      <c r="O75" s="4" t="n"/>
      <c r="P75" s="16" t="n"/>
      <c r="Q75" s="4" t="n"/>
      <c r="R75" s="16" t="n"/>
      <c r="S75" s="20">
        <f>IF(OR(N75="",P75="",R75=""),"",(--TRIM(LEFT(N75,2)))*(--TRIM(LEFT(P75,2)))*(--TRIM(LEFT(R75,2))))</f>
        <v/>
      </c>
      <c r="T75" s="20">
        <f>IF(OR(N75="",P75="",R75=""),"",INDEX(APGrid,COUNTIF(APS,"&gt;"&amp;(--TRIM(LEFT(N75,2))))*5+COUNTIF(APO,"&gt;"&amp;(--TRIM(LEFT(P75,2))))+1,COUNTIF(APD,"&gt;"&amp;(--TRIM(LEFT(R75,2))))+1))</f>
        <v/>
      </c>
      <c r="U75" s="20">
        <f>IF(S75="","",IF(OR((--TRIM(LEFT(N75,2)))&gt;=SThr,S75&gt;=RPNThr,T75="H"),"Yes","No"))</f>
        <v/>
      </c>
      <c r="V75" s="4" t="n"/>
      <c r="W75" s="4" t="n"/>
      <c r="X75" s="4" t="n"/>
      <c r="Y75" s="29" t="n"/>
      <c r="Z75" s="16" t="n"/>
      <c r="AA75" s="16" t="n"/>
      <c r="AB75" s="16" t="n"/>
      <c r="AC75" s="20">
        <f>IF(OR(Z75="",AA75="",AB75=""),"",(--TRIM(LEFT(Z75,2)))*(--TRIM(LEFT(AA75,2)))*(--TRIM(LEFT(AB75,2))))</f>
        <v/>
      </c>
      <c r="AD75" s="20">
        <f>IF(OR(Z75="",AA75="",AB75=""),"",INDEX(APGrid,COUNTIF(APS,"&gt;"&amp;(--TRIM(LEFT(Z75,2))))*5+COUNTIF(APO,"&gt;"&amp;(--TRIM(LEFT(AA75,2))))+1,COUNTIF(APD,"&gt;"&amp;(--TRIM(LEFT(AB75,2))))+1))</f>
        <v/>
      </c>
      <c r="AE75" s="4" t="n"/>
      <c r="AF75" s="4" t="n"/>
      <c r="AH75">
        <f>IFERROR(INDEX(EqTag,_xlfn.AGGREGATE(15,6,(ROW(EqTag)-4)/((EqSys=$D$3)*(EqTag&lt;&gt;"")),ROWS($AH$14:AH75))),"")</f>
        <v/>
      </c>
    </row>
    <row r="76">
      <c r="A76" s="20">
        <f>IF(F76="","",LEFT($D$3,3)&amp;"-"&amp;TEXT(COUNTIF(F$14:F76,"?*"),"00"))</f>
        <v/>
      </c>
      <c r="B76" s="4" t="n"/>
      <c r="C76" s="5">
        <f>IF(B76="","",IFERROR(INDEX(EqTypeCol,MATCH(B76,EqTag,0)),"Tag not in register"))</f>
        <v/>
      </c>
      <c r="D76" s="4" t="n"/>
      <c r="E76" s="4" t="n"/>
      <c r="F76" s="4" t="n"/>
      <c r="G76" s="4" t="n"/>
      <c r="H76" s="4" t="n"/>
      <c r="I76" s="4" t="n"/>
      <c r="J76" s="5">
        <f>_xlfn.TEXTJOIN(CHAR(10),TRUE,IF(G76="","","• "&amp;G76),IF(H76="","","• "&amp;H76),IF(I76="","","• "&amp;I76))</f>
        <v/>
      </c>
      <c r="K76" s="4" t="n"/>
      <c r="L76" s="4" t="n"/>
      <c r="M76" s="4" t="n"/>
      <c r="N76" s="16" t="n"/>
      <c r="O76" s="4" t="n"/>
      <c r="P76" s="16" t="n"/>
      <c r="Q76" s="4" t="n"/>
      <c r="R76" s="16" t="n"/>
      <c r="S76" s="20">
        <f>IF(OR(N76="",P76="",R76=""),"",(--TRIM(LEFT(N76,2)))*(--TRIM(LEFT(P76,2)))*(--TRIM(LEFT(R76,2))))</f>
        <v/>
      </c>
      <c r="T76" s="20">
        <f>IF(OR(N76="",P76="",R76=""),"",INDEX(APGrid,COUNTIF(APS,"&gt;"&amp;(--TRIM(LEFT(N76,2))))*5+COUNTIF(APO,"&gt;"&amp;(--TRIM(LEFT(P76,2))))+1,COUNTIF(APD,"&gt;"&amp;(--TRIM(LEFT(R76,2))))+1))</f>
        <v/>
      </c>
      <c r="U76" s="20">
        <f>IF(S76="","",IF(OR((--TRIM(LEFT(N76,2)))&gt;=SThr,S76&gt;=RPNThr,T76="H"),"Yes","No"))</f>
        <v/>
      </c>
      <c r="V76" s="4" t="n"/>
      <c r="W76" s="4" t="n"/>
      <c r="X76" s="4" t="n"/>
      <c r="Y76" s="29" t="n"/>
      <c r="Z76" s="16" t="n"/>
      <c r="AA76" s="16" t="n"/>
      <c r="AB76" s="16" t="n"/>
      <c r="AC76" s="20">
        <f>IF(OR(Z76="",AA76="",AB76=""),"",(--TRIM(LEFT(Z76,2)))*(--TRIM(LEFT(AA76,2)))*(--TRIM(LEFT(AB76,2))))</f>
        <v/>
      </c>
      <c r="AD76" s="20">
        <f>IF(OR(Z76="",AA76="",AB76=""),"",INDEX(APGrid,COUNTIF(APS,"&gt;"&amp;(--TRIM(LEFT(Z76,2))))*5+COUNTIF(APO,"&gt;"&amp;(--TRIM(LEFT(AA76,2))))+1,COUNTIF(APD,"&gt;"&amp;(--TRIM(LEFT(AB76,2))))+1))</f>
        <v/>
      </c>
      <c r="AE76" s="4" t="n"/>
      <c r="AF76" s="4" t="n"/>
      <c r="AH76">
        <f>IFERROR(INDEX(EqTag,_xlfn.AGGREGATE(15,6,(ROW(EqTag)-4)/((EqSys=$D$3)*(EqTag&lt;&gt;"")),ROWS($AH$14:AH76))),"")</f>
        <v/>
      </c>
    </row>
    <row r="77">
      <c r="A77" s="20">
        <f>IF(F77="","",LEFT($D$3,3)&amp;"-"&amp;TEXT(COUNTIF(F$14:F77,"?*"),"00"))</f>
        <v/>
      </c>
      <c r="B77" s="4" t="n"/>
      <c r="C77" s="5">
        <f>IF(B77="","",IFERROR(INDEX(EqTypeCol,MATCH(B77,EqTag,0)),"Tag not in register"))</f>
        <v/>
      </c>
      <c r="D77" s="4" t="n"/>
      <c r="E77" s="4" t="n"/>
      <c r="F77" s="4" t="n"/>
      <c r="G77" s="4" t="n"/>
      <c r="H77" s="4" t="n"/>
      <c r="I77" s="4" t="n"/>
      <c r="J77" s="5">
        <f>_xlfn.TEXTJOIN(CHAR(10),TRUE,IF(G77="","","• "&amp;G77),IF(H77="","","• "&amp;H77),IF(I77="","","• "&amp;I77))</f>
        <v/>
      </c>
      <c r="K77" s="4" t="n"/>
      <c r="L77" s="4" t="n"/>
      <c r="M77" s="4" t="n"/>
      <c r="N77" s="16" t="n"/>
      <c r="O77" s="4" t="n"/>
      <c r="P77" s="16" t="n"/>
      <c r="Q77" s="4" t="n"/>
      <c r="R77" s="16" t="n"/>
      <c r="S77" s="20">
        <f>IF(OR(N77="",P77="",R77=""),"",(--TRIM(LEFT(N77,2)))*(--TRIM(LEFT(P77,2)))*(--TRIM(LEFT(R77,2))))</f>
        <v/>
      </c>
      <c r="T77" s="20">
        <f>IF(OR(N77="",P77="",R77=""),"",INDEX(APGrid,COUNTIF(APS,"&gt;"&amp;(--TRIM(LEFT(N77,2))))*5+COUNTIF(APO,"&gt;"&amp;(--TRIM(LEFT(P77,2))))+1,COUNTIF(APD,"&gt;"&amp;(--TRIM(LEFT(R77,2))))+1))</f>
        <v/>
      </c>
      <c r="U77" s="20">
        <f>IF(S77="","",IF(OR((--TRIM(LEFT(N77,2)))&gt;=SThr,S77&gt;=RPNThr,T77="H"),"Yes","No"))</f>
        <v/>
      </c>
      <c r="V77" s="4" t="n"/>
      <c r="W77" s="4" t="n"/>
      <c r="X77" s="4" t="n"/>
      <c r="Y77" s="29" t="n"/>
      <c r="Z77" s="16" t="n"/>
      <c r="AA77" s="16" t="n"/>
      <c r="AB77" s="16" t="n"/>
      <c r="AC77" s="20">
        <f>IF(OR(Z77="",AA77="",AB77=""),"",(--TRIM(LEFT(Z77,2)))*(--TRIM(LEFT(AA77,2)))*(--TRIM(LEFT(AB77,2))))</f>
        <v/>
      </c>
      <c r="AD77" s="20">
        <f>IF(OR(Z77="",AA77="",AB77=""),"",INDEX(APGrid,COUNTIF(APS,"&gt;"&amp;(--TRIM(LEFT(Z77,2))))*5+COUNTIF(APO,"&gt;"&amp;(--TRIM(LEFT(AA77,2))))+1,COUNTIF(APD,"&gt;"&amp;(--TRIM(LEFT(AB77,2))))+1))</f>
        <v/>
      </c>
      <c r="AE77" s="4" t="n"/>
      <c r="AF77" s="4" t="n"/>
      <c r="AH77">
        <f>IFERROR(INDEX(EqTag,_xlfn.AGGREGATE(15,6,(ROW(EqTag)-4)/((EqSys=$D$3)*(EqTag&lt;&gt;"")),ROWS($AH$14:AH77))),"")</f>
        <v/>
      </c>
    </row>
    <row r="78">
      <c r="A78" s="20">
        <f>IF(F78="","",LEFT($D$3,3)&amp;"-"&amp;TEXT(COUNTIF(F$14:F78,"?*"),"00"))</f>
        <v/>
      </c>
      <c r="B78" s="4" t="n"/>
      <c r="C78" s="5">
        <f>IF(B78="","",IFERROR(INDEX(EqTypeCol,MATCH(B78,EqTag,0)),"Tag not in register"))</f>
        <v/>
      </c>
      <c r="D78" s="4" t="n"/>
      <c r="E78" s="4" t="n"/>
      <c r="F78" s="4" t="n"/>
      <c r="G78" s="4" t="n"/>
      <c r="H78" s="4" t="n"/>
      <c r="I78" s="4" t="n"/>
      <c r="J78" s="5">
        <f>_xlfn.TEXTJOIN(CHAR(10),TRUE,IF(G78="","","• "&amp;G78),IF(H78="","","• "&amp;H78),IF(I78="","","• "&amp;I78))</f>
        <v/>
      </c>
      <c r="K78" s="4" t="n"/>
      <c r="L78" s="4" t="n"/>
      <c r="M78" s="4" t="n"/>
      <c r="N78" s="16" t="n"/>
      <c r="O78" s="4" t="n"/>
      <c r="P78" s="16" t="n"/>
      <c r="Q78" s="4" t="n"/>
      <c r="R78" s="16" t="n"/>
      <c r="S78" s="20">
        <f>IF(OR(N78="",P78="",R78=""),"",(--TRIM(LEFT(N78,2)))*(--TRIM(LEFT(P78,2)))*(--TRIM(LEFT(R78,2))))</f>
        <v/>
      </c>
      <c r="T78" s="20">
        <f>IF(OR(N78="",P78="",R78=""),"",INDEX(APGrid,COUNTIF(APS,"&gt;"&amp;(--TRIM(LEFT(N78,2))))*5+COUNTIF(APO,"&gt;"&amp;(--TRIM(LEFT(P78,2))))+1,COUNTIF(APD,"&gt;"&amp;(--TRIM(LEFT(R78,2))))+1))</f>
        <v/>
      </c>
      <c r="U78" s="20">
        <f>IF(S78="","",IF(OR((--TRIM(LEFT(N78,2)))&gt;=SThr,S78&gt;=RPNThr,T78="H"),"Yes","No"))</f>
        <v/>
      </c>
      <c r="V78" s="4" t="n"/>
      <c r="W78" s="4" t="n"/>
      <c r="X78" s="4" t="n"/>
      <c r="Y78" s="29" t="n"/>
      <c r="Z78" s="16" t="n"/>
      <c r="AA78" s="16" t="n"/>
      <c r="AB78" s="16" t="n"/>
      <c r="AC78" s="20">
        <f>IF(OR(Z78="",AA78="",AB78=""),"",(--TRIM(LEFT(Z78,2)))*(--TRIM(LEFT(AA78,2)))*(--TRIM(LEFT(AB78,2))))</f>
        <v/>
      </c>
      <c r="AD78" s="20">
        <f>IF(OR(Z78="",AA78="",AB78=""),"",INDEX(APGrid,COUNTIF(APS,"&gt;"&amp;(--TRIM(LEFT(Z78,2))))*5+COUNTIF(APO,"&gt;"&amp;(--TRIM(LEFT(AA78,2))))+1,COUNTIF(APD,"&gt;"&amp;(--TRIM(LEFT(AB78,2))))+1))</f>
        <v/>
      </c>
      <c r="AE78" s="4" t="n"/>
      <c r="AF78" s="4" t="n"/>
      <c r="AH78">
        <f>IFERROR(INDEX(EqTag,_xlfn.AGGREGATE(15,6,(ROW(EqTag)-4)/((EqSys=$D$3)*(EqTag&lt;&gt;"")),ROWS($AH$14:AH78))),"")</f>
        <v/>
      </c>
    </row>
    <row r="79">
      <c r="A79" s="20">
        <f>IF(F79="","",LEFT($D$3,3)&amp;"-"&amp;TEXT(COUNTIF(F$14:F79,"?*"),"00"))</f>
        <v/>
      </c>
      <c r="B79" s="4" t="n"/>
      <c r="C79" s="5">
        <f>IF(B79="","",IFERROR(INDEX(EqTypeCol,MATCH(B79,EqTag,0)),"Tag not in register"))</f>
        <v/>
      </c>
      <c r="D79" s="4" t="n"/>
      <c r="E79" s="4" t="n"/>
      <c r="F79" s="4" t="n"/>
      <c r="G79" s="4" t="n"/>
      <c r="H79" s="4" t="n"/>
      <c r="I79" s="4" t="n"/>
      <c r="J79" s="5">
        <f>_xlfn.TEXTJOIN(CHAR(10),TRUE,IF(G79="","","• "&amp;G79),IF(H79="","","• "&amp;H79),IF(I79="","","• "&amp;I79))</f>
        <v/>
      </c>
      <c r="K79" s="4" t="n"/>
      <c r="L79" s="4" t="n"/>
      <c r="M79" s="4" t="n"/>
      <c r="N79" s="16" t="n"/>
      <c r="O79" s="4" t="n"/>
      <c r="P79" s="16" t="n"/>
      <c r="Q79" s="4" t="n"/>
      <c r="R79" s="16" t="n"/>
      <c r="S79" s="20">
        <f>IF(OR(N79="",P79="",R79=""),"",(--TRIM(LEFT(N79,2)))*(--TRIM(LEFT(P79,2)))*(--TRIM(LEFT(R79,2))))</f>
        <v/>
      </c>
      <c r="T79" s="20">
        <f>IF(OR(N79="",P79="",R79=""),"",INDEX(APGrid,COUNTIF(APS,"&gt;"&amp;(--TRIM(LEFT(N79,2))))*5+COUNTIF(APO,"&gt;"&amp;(--TRIM(LEFT(P79,2))))+1,COUNTIF(APD,"&gt;"&amp;(--TRIM(LEFT(R79,2))))+1))</f>
        <v/>
      </c>
      <c r="U79" s="20">
        <f>IF(S79="","",IF(OR((--TRIM(LEFT(N79,2)))&gt;=SThr,S79&gt;=RPNThr,T79="H"),"Yes","No"))</f>
        <v/>
      </c>
      <c r="V79" s="4" t="n"/>
      <c r="W79" s="4" t="n"/>
      <c r="X79" s="4" t="n"/>
      <c r="Y79" s="29" t="n"/>
      <c r="Z79" s="16" t="n"/>
      <c r="AA79" s="16" t="n"/>
      <c r="AB79" s="16" t="n"/>
      <c r="AC79" s="20">
        <f>IF(OR(Z79="",AA79="",AB79=""),"",(--TRIM(LEFT(Z79,2)))*(--TRIM(LEFT(AA79,2)))*(--TRIM(LEFT(AB79,2))))</f>
        <v/>
      </c>
      <c r="AD79" s="20">
        <f>IF(OR(Z79="",AA79="",AB79=""),"",INDEX(APGrid,COUNTIF(APS,"&gt;"&amp;(--TRIM(LEFT(Z79,2))))*5+COUNTIF(APO,"&gt;"&amp;(--TRIM(LEFT(AA79,2))))+1,COUNTIF(APD,"&gt;"&amp;(--TRIM(LEFT(AB79,2))))+1))</f>
        <v/>
      </c>
      <c r="AE79" s="4" t="n"/>
      <c r="AF79" s="4" t="n"/>
      <c r="AH79">
        <f>IFERROR(INDEX(EqTag,_xlfn.AGGREGATE(15,6,(ROW(EqTag)-4)/((EqSys=$D$3)*(EqTag&lt;&gt;"")),ROWS($AH$14:AH79))),"")</f>
        <v/>
      </c>
    </row>
    <row r="80">
      <c r="A80" s="20">
        <f>IF(F80="","",LEFT($D$3,3)&amp;"-"&amp;TEXT(COUNTIF(F$14:F80,"?*"),"00"))</f>
        <v/>
      </c>
      <c r="B80" s="4" t="n"/>
      <c r="C80" s="5">
        <f>IF(B80="","",IFERROR(INDEX(EqTypeCol,MATCH(B80,EqTag,0)),"Tag not in register"))</f>
        <v/>
      </c>
      <c r="D80" s="4" t="n"/>
      <c r="E80" s="4" t="n"/>
      <c r="F80" s="4" t="n"/>
      <c r="G80" s="4" t="n"/>
      <c r="H80" s="4" t="n"/>
      <c r="I80" s="4" t="n"/>
      <c r="J80" s="5">
        <f>_xlfn.TEXTJOIN(CHAR(10),TRUE,IF(G80="","","• "&amp;G80),IF(H80="","","• "&amp;H80),IF(I80="","","• "&amp;I80))</f>
        <v/>
      </c>
      <c r="K80" s="4" t="n"/>
      <c r="L80" s="4" t="n"/>
      <c r="M80" s="4" t="n"/>
      <c r="N80" s="16" t="n"/>
      <c r="O80" s="4" t="n"/>
      <c r="P80" s="16" t="n"/>
      <c r="Q80" s="4" t="n"/>
      <c r="R80" s="16" t="n"/>
      <c r="S80" s="20">
        <f>IF(OR(N80="",P80="",R80=""),"",(--TRIM(LEFT(N80,2)))*(--TRIM(LEFT(P80,2)))*(--TRIM(LEFT(R80,2))))</f>
        <v/>
      </c>
      <c r="T80" s="20">
        <f>IF(OR(N80="",P80="",R80=""),"",INDEX(APGrid,COUNTIF(APS,"&gt;"&amp;(--TRIM(LEFT(N80,2))))*5+COUNTIF(APO,"&gt;"&amp;(--TRIM(LEFT(P80,2))))+1,COUNTIF(APD,"&gt;"&amp;(--TRIM(LEFT(R80,2))))+1))</f>
        <v/>
      </c>
      <c r="U80" s="20">
        <f>IF(S80="","",IF(OR((--TRIM(LEFT(N80,2)))&gt;=SThr,S80&gt;=RPNThr,T80="H"),"Yes","No"))</f>
        <v/>
      </c>
      <c r="V80" s="4" t="n"/>
      <c r="W80" s="4" t="n"/>
      <c r="X80" s="4" t="n"/>
      <c r="Y80" s="29" t="n"/>
      <c r="Z80" s="16" t="n"/>
      <c r="AA80" s="16" t="n"/>
      <c r="AB80" s="16" t="n"/>
      <c r="AC80" s="20">
        <f>IF(OR(Z80="",AA80="",AB80=""),"",(--TRIM(LEFT(Z80,2)))*(--TRIM(LEFT(AA80,2)))*(--TRIM(LEFT(AB80,2))))</f>
        <v/>
      </c>
      <c r="AD80" s="20">
        <f>IF(OR(Z80="",AA80="",AB80=""),"",INDEX(APGrid,COUNTIF(APS,"&gt;"&amp;(--TRIM(LEFT(Z80,2))))*5+COUNTIF(APO,"&gt;"&amp;(--TRIM(LEFT(AA80,2))))+1,COUNTIF(APD,"&gt;"&amp;(--TRIM(LEFT(AB80,2))))+1))</f>
        <v/>
      </c>
      <c r="AE80" s="4" t="n"/>
      <c r="AF80" s="4" t="n"/>
      <c r="AH80">
        <f>IFERROR(INDEX(EqTag,_xlfn.AGGREGATE(15,6,(ROW(EqTag)-4)/((EqSys=$D$3)*(EqTag&lt;&gt;"")),ROWS($AH$14:AH80))),"")</f>
        <v/>
      </c>
    </row>
    <row r="81">
      <c r="A81" s="20">
        <f>IF(F81="","",LEFT($D$3,3)&amp;"-"&amp;TEXT(COUNTIF(F$14:F81,"?*"),"00"))</f>
        <v/>
      </c>
      <c r="B81" s="4" t="n"/>
      <c r="C81" s="5">
        <f>IF(B81="","",IFERROR(INDEX(EqTypeCol,MATCH(B81,EqTag,0)),"Tag not in register"))</f>
        <v/>
      </c>
      <c r="D81" s="4" t="n"/>
      <c r="E81" s="4" t="n"/>
      <c r="F81" s="4" t="n"/>
      <c r="G81" s="4" t="n"/>
      <c r="H81" s="4" t="n"/>
      <c r="I81" s="4" t="n"/>
      <c r="J81" s="5">
        <f>_xlfn.TEXTJOIN(CHAR(10),TRUE,IF(G81="","","• "&amp;G81),IF(H81="","","• "&amp;H81),IF(I81="","","• "&amp;I81))</f>
        <v/>
      </c>
      <c r="K81" s="4" t="n"/>
      <c r="L81" s="4" t="n"/>
      <c r="M81" s="4" t="n"/>
      <c r="N81" s="16" t="n"/>
      <c r="O81" s="4" t="n"/>
      <c r="P81" s="16" t="n"/>
      <c r="Q81" s="4" t="n"/>
      <c r="R81" s="16" t="n"/>
      <c r="S81" s="20">
        <f>IF(OR(N81="",P81="",R81=""),"",(--TRIM(LEFT(N81,2)))*(--TRIM(LEFT(P81,2)))*(--TRIM(LEFT(R81,2))))</f>
        <v/>
      </c>
      <c r="T81" s="20">
        <f>IF(OR(N81="",P81="",R81=""),"",INDEX(APGrid,COUNTIF(APS,"&gt;"&amp;(--TRIM(LEFT(N81,2))))*5+COUNTIF(APO,"&gt;"&amp;(--TRIM(LEFT(P81,2))))+1,COUNTIF(APD,"&gt;"&amp;(--TRIM(LEFT(R81,2))))+1))</f>
        <v/>
      </c>
      <c r="U81" s="20">
        <f>IF(S81="","",IF(OR((--TRIM(LEFT(N81,2)))&gt;=SThr,S81&gt;=RPNThr,T81="H"),"Yes","No"))</f>
        <v/>
      </c>
      <c r="V81" s="4" t="n"/>
      <c r="W81" s="4" t="n"/>
      <c r="X81" s="4" t="n"/>
      <c r="Y81" s="29" t="n"/>
      <c r="Z81" s="16" t="n"/>
      <c r="AA81" s="16" t="n"/>
      <c r="AB81" s="16" t="n"/>
      <c r="AC81" s="20">
        <f>IF(OR(Z81="",AA81="",AB81=""),"",(--TRIM(LEFT(Z81,2)))*(--TRIM(LEFT(AA81,2)))*(--TRIM(LEFT(AB81,2))))</f>
        <v/>
      </c>
      <c r="AD81" s="20">
        <f>IF(OR(Z81="",AA81="",AB81=""),"",INDEX(APGrid,COUNTIF(APS,"&gt;"&amp;(--TRIM(LEFT(Z81,2))))*5+COUNTIF(APO,"&gt;"&amp;(--TRIM(LEFT(AA81,2))))+1,COUNTIF(APD,"&gt;"&amp;(--TRIM(LEFT(AB81,2))))+1))</f>
        <v/>
      </c>
      <c r="AE81" s="4" t="n"/>
      <c r="AF81" s="4" t="n"/>
      <c r="AH81">
        <f>IFERROR(INDEX(EqTag,_xlfn.AGGREGATE(15,6,(ROW(EqTag)-4)/((EqSys=$D$3)*(EqTag&lt;&gt;"")),ROWS($AH$14:AH81))),"")</f>
        <v/>
      </c>
    </row>
    <row r="82">
      <c r="A82" s="20">
        <f>IF(F82="","",LEFT($D$3,3)&amp;"-"&amp;TEXT(COUNTIF(F$14:F82,"?*"),"00"))</f>
        <v/>
      </c>
      <c r="B82" s="4" t="n"/>
      <c r="C82" s="5">
        <f>IF(B82="","",IFERROR(INDEX(EqTypeCol,MATCH(B82,EqTag,0)),"Tag not in register"))</f>
        <v/>
      </c>
      <c r="D82" s="4" t="n"/>
      <c r="E82" s="4" t="n"/>
      <c r="F82" s="4" t="n"/>
      <c r="G82" s="4" t="n"/>
      <c r="H82" s="4" t="n"/>
      <c r="I82" s="4" t="n"/>
      <c r="J82" s="5">
        <f>_xlfn.TEXTJOIN(CHAR(10),TRUE,IF(G82="","","• "&amp;G82),IF(H82="","","• "&amp;H82),IF(I82="","","• "&amp;I82))</f>
        <v/>
      </c>
      <c r="K82" s="4" t="n"/>
      <c r="L82" s="4" t="n"/>
      <c r="M82" s="4" t="n"/>
      <c r="N82" s="16" t="n"/>
      <c r="O82" s="4" t="n"/>
      <c r="P82" s="16" t="n"/>
      <c r="Q82" s="4" t="n"/>
      <c r="R82" s="16" t="n"/>
      <c r="S82" s="20">
        <f>IF(OR(N82="",P82="",R82=""),"",(--TRIM(LEFT(N82,2)))*(--TRIM(LEFT(P82,2)))*(--TRIM(LEFT(R82,2))))</f>
        <v/>
      </c>
      <c r="T82" s="20">
        <f>IF(OR(N82="",P82="",R82=""),"",INDEX(APGrid,COUNTIF(APS,"&gt;"&amp;(--TRIM(LEFT(N82,2))))*5+COUNTIF(APO,"&gt;"&amp;(--TRIM(LEFT(P82,2))))+1,COUNTIF(APD,"&gt;"&amp;(--TRIM(LEFT(R82,2))))+1))</f>
        <v/>
      </c>
      <c r="U82" s="20">
        <f>IF(S82="","",IF(OR((--TRIM(LEFT(N82,2)))&gt;=SThr,S82&gt;=RPNThr,T82="H"),"Yes","No"))</f>
        <v/>
      </c>
      <c r="V82" s="4" t="n"/>
      <c r="W82" s="4" t="n"/>
      <c r="X82" s="4" t="n"/>
      <c r="Y82" s="29" t="n"/>
      <c r="Z82" s="16" t="n"/>
      <c r="AA82" s="16" t="n"/>
      <c r="AB82" s="16" t="n"/>
      <c r="AC82" s="20">
        <f>IF(OR(Z82="",AA82="",AB82=""),"",(--TRIM(LEFT(Z82,2)))*(--TRIM(LEFT(AA82,2)))*(--TRIM(LEFT(AB82,2))))</f>
        <v/>
      </c>
      <c r="AD82" s="20">
        <f>IF(OR(Z82="",AA82="",AB82=""),"",INDEX(APGrid,COUNTIF(APS,"&gt;"&amp;(--TRIM(LEFT(Z82,2))))*5+COUNTIF(APO,"&gt;"&amp;(--TRIM(LEFT(AA82,2))))+1,COUNTIF(APD,"&gt;"&amp;(--TRIM(LEFT(AB82,2))))+1))</f>
        <v/>
      </c>
      <c r="AE82" s="4" t="n"/>
      <c r="AF82" s="4" t="n"/>
      <c r="AH82">
        <f>IFERROR(INDEX(EqTag,_xlfn.AGGREGATE(15,6,(ROW(EqTag)-4)/((EqSys=$D$3)*(EqTag&lt;&gt;"")),ROWS($AH$14:AH82))),"")</f>
        <v/>
      </c>
    </row>
    <row r="83">
      <c r="A83" s="20">
        <f>IF(F83="","",LEFT($D$3,3)&amp;"-"&amp;TEXT(COUNTIF(F$14:F83,"?*"),"00"))</f>
        <v/>
      </c>
      <c r="B83" s="4" t="n"/>
      <c r="C83" s="5">
        <f>IF(B83="","",IFERROR(INDEX(EqTypeCol,MATCH(B83,EqTag,0)),"Tag not in register"))</f>
        <v/>
      </c>
      <c r="D83" s="4" t="n"/>
      <c r="E83" s="4" t="n"/>
      <c r="F83" s="4" t="n"/>
      <c r="G83" s="4" t="n"/>
      <c r="H83" s="4" t="n"/>
      <c r="I83" s="4" t="n"/>
      <c r="J83" s="5">
        <f>_xlfn.TEXTJOIN(CHAR(10),TRUE,IF(G83="","","• "&amp;G83),IF(H83="","","• "&amp;H83),IF(I83="","","• "&amp;I83))</f>
        <v/>
      </c>
      <c r="K83" s="4" t="n"/>
      <c r="L83" s="4" t="n"/>
      <c r="M83" s="4" t="n"/>
      <c r="N83" s="16" t="n"/>
      <c r="O83" s="4" t="n"/>
      <c r="P83" s="16" t="n"/>
      <c r="Q83" s="4" t="n"/>
      <c r="R83" s="16" t="n"/>
      <c r="S83" s="20">
        <f>IF(OR(N83="",P83="",R83=""),"",(--TRIM(LEFT(N83,2)))*(--TRIM(LEFT(P83,2)))*(--TRIM(LEFT(R83,2))))</f>
        <v/>
      </c>
      <c r="T83" s="20">
        <f>IF(OR(N83="",P83="",R83=""),"",INDEX(APGrid,COUNTIF(APS,"&gt;"&amp;(--TRIM(LEFT(N83,2))))*5+COUNTIF(APO,"&gt;"&amp;(--TRIM(LEFT(P83,2))))+1,COUNTIF(APD,"&gt;"&amp;(--TRIM(LEFT(R83,2))))+1))</f>
        <v/>
      </c>
      <c r="U83" s="20">
        <f>IF(S83="","",IF(OR((--TRIM(LEFT(N83,2)))&gt;=SThr,S83&gt;=RPNThr,T83="H"),"Yes","No"))</f>
        <v/>
      </c>
      <c r="V83" s="4" t="n"/>
      <c r="W83" s="4" t="n"/>
      <c r="X83" s="4" t="n"/>
      <c r="Y83" s="29" t="n"/>
      <c r="Z83" s="16" t="n"/>
      <c r="AA83" s="16" t="n"/>
      <c r="AB83" s="16" t="n"/>
      <c r="AC83" s="20">
        <f>IF(OR(Z83="",AA83="",AB83=""),"",(--TRIM(LEFT(Z83,2)))*(--TRIM(LEFT(AA83,2)))*(--TRIM(LEFT(AB83,2))))</f>
        <v/>
      </c>
      <c r="AD83" s="20">
        <f>IF(OR(Z83="",AA83="",AB83=""),"",INDEX(APGrid,COUNTIF(APS,"&gt;"&amp;(--TRIM(LEFT(Z83,2))))*5+COUNTIF(APO,"&gt;"&amp;(--TRIM(LEFT(AA83,2))))+1,COUNTIF(APD,"&gt;"&amp;(--TRIM(LEFT(AB83,2))))+1))</f>
        <v/>
      </c>
      <c r="AE83" s="4" t="n"/>
      <c r="AF83" s="4" t="n"/>
      <c r="AH83">
        <f>IFERROR(INDEX(EqTag,_xlfn.AGGREGATE(15,6,(ROW(EqTag)-4)/((EqSys=$D$3)*(EqTag&lt;&gt;"")),ROWS($AH$14:AH83))),"")</f>
        <v/>
      </c>
    </row>
    <row r="84">
      <c r="A84" s="20">
        <f>IF(F84="","",LEFT($D$3,3)&amp;"-"&amp;TEXT(COUNTIF(F$14:F84,"?*"),"00"))</f>
        <v/>
      </c>
      <c r="B84" s="4" t="n"/>
      <c r="C84" s="5">
        <f>IF(B84="","",IFERROR(INDEX(EqTypeCol,MATCH(B84,EqTag,0)),"Tag not in register"))</f>
        <v/>
      </c>
      <c r="D84" s="4" t="n"/>
      <c r="E84" s="4" t="n"/>
      <c r="F84" s="4" t="n"/>
      <c r="G84" s="4" t="n"/>
      <c r="H84" s="4" t="n"/>
      <c r="I84" s="4" t="n"/>
      <c r="J84" s="5">
        <f>_xlfn.TEXTJOIN(CHAR(10),TRUE,IF(G84="","","• "&amp;G84),IF(H84="","","• "&amp;H84),IF(I84="","","• "&amp;I84))</f>
        <v/>
      </c>
      <c r="K84" s="4" t="n"/>
      <c r="L84" s="4" t="n"/>
      <c r="M84" s="4" t="n"/>
      <c r="N84" s="16" t="n"/>
      <c r="O84" s="4" t="n"/>
      <c r="P84" s="16" t="n"/>
      <c r="Q84" s="4" t="n"/>
      <c r="R84" s="16" t="n"/>
      <c r="S84" s="20">
        <f>IF(OR(N84="",P84="",R84=""),"",(--TRIM(LEFT(N84,2)))*(--TRIM(LEFT(P84,2)))*(--TRIM(LEFT(R84,2))))</f>
        <v/>
      </c>
      <c r="T84" s="20">
        <f>IF(OR(N84="",P84="",R84=""),"",INDEX(APGrid,COUNTIF(APS,"&gt;"&amp;(--TRIM(LEFT(N84,2))))*5+COUNTIF(APO,"&gt;"&amp;(--TRIM(LEFT(P84,2))))+1,COUNTIF(APD,"&gt;"&amp;(--TRIM(LEFT(R84,2))))+1))</f>
        <v/>
      </c>
      <c r="U84" s="20">
        <f>IF(S84="","",IF(OR((--TRIM(LEFT(N84,2)))&gt;=SThr,S84&gt;=RPNThr,T84="H"),"Yes","No"))</f>
        <v/>
      </c>
      <c r="V84" s="4" t="n"/>
      <c r="W84" s="4" t="n"/>
      <c r="X84" s="4" t="n"/>
      <c r="Y84" s="29" t="n"/>
      <c r="Z84" s="16" t="n"/>
      <c r="AA84" s="16" t="n"/>
      <c r="AB84" s="16" t="n"/>
      <c r="AC84" s="20">
        <f>IF(OR(Z84="",AA84="",AB84=""),"",(--TRIM(LEFT(Z84,2)))*(--TRIM(LEFT(AA84,2)))*(--TRIM(LEFT(AB84,2))))</f>
        <v/>
      </c>
      <c r="AD84" s="20">
        <f>IF(OR(Z84="",AA84="",AB84=""),"",INDEX(APGrid,COUNTIF(APS,"&gt;"&amp;(--TRIM(LEFT(Z84,2))))*5+COUNTIF(APO,"&gt;"&amp;(--TRIM(LEFT(AA84,2))))+1,COUNTIF(APD,"&gt;"&amp;(--TRIM(LEFT(AB84,2))))+1))</f>
        <v/>
      </c>
      <c r="AE84" s="4" t="n"/>
      <c r="AF84" s="4" t="n"/>
      <c r="AH84">
        <f>IFERROR(INDEX(EqTag,_xlfn.AGGREGATE(15,6,(ROW(EqTag)-4)/((EqSys=$D$3)*(EqTag&lt;&gt;"")),ROWS($AH$14:AH84))),"")</f>
        <v/>
      </c>
    </row>
    <row r="85">
      <c r="A85" s="20">
        <f>IF(F85="","",LEFT($D$3,3)&amp;"-"&amp;TEXT(COUNTIF(F$14:F85,"?*"),"00"))</f>
        <v/>
      </c>
      <c r="B85" s="4" t="n"/>
      <c r="C85" s="5">
        <f>IF(B85="","",IFERROR(INDEX(EqTypeCol,MATCH(B85,EqTag,0)),"Tag not in register"))</f>
        <v/>
      </c>
      <c r="D85" s="4" t="n"/>
      <c r="E85" s="4" t="n"/>
      <c r="F85" s="4" t="n"/>
      <c r="G85" s="4" t="n"/>
      <c r="H85" s="4" t="n"/>
      <c r="I85" s="4" t="n"/>
      <c r="J85" s="5">
        <f>_xlfn.TEXTJOIN(CHAR(10),TRUE,IF(G85="","","• "&amp;G85),IF(H85="","","• "&amp;H85),IF(I85="","","• "&amp;I85))</f>
        <v/>
      </c>
      <c r="K85" s="4" t="n"/>
      <c r="L85" s="4" t="n"/>
      <c r="M85" s="4" t="n"/>
      <c r="N85" s="16" t="n"/>
      <c r="O85" s="4" t="n"/>
      <c r="P85" s="16" t="n"/>
      <c r="Q85" s="4" t="n"/>
      <c r="R85" s="16" t="n"/>
      <c r="S85" s="20">
        <f>IF(OR(N85="",P85="",R85=""),"",(--TRIM(LEFT(N85,2)))*(--TRIM(LEFT(P85,2)))*(--TRIM(LEFT(R85,2))))</f>
        <v/>
      </c>
      <c r="T85" s="20">
        <f>IF(OR(N85="",P85="",R85=""),"",INDEX(APGrid,COUNTIF(APS,"&gt;"&amp;(--TRIM(LEFT(N85,2))))*5+COUNTIF(APO,"&gt;"&amp;(--TRIM(LEFT(P85,2))))+1,COUNTIF(APD,"&gt;"&amp;(--TRIM(LEFT(R85,2))))+1))</f>
        <v/>
      </c>
      <c r="U85" s="20">
        <f>IF(S85="","",IF(OR((--TRIM(LEFT(N85,2)))&gt;=SThr,S85&gt;=RPNThr,T85="H"),"Yes","No"))</f>
        <v/>
      </c>
      <c r="V85" s="4" t="n"/>
      <c r="W85" s="4" t="n"/>
      <c r="X85" s="4" t="n"/>
      <c r="Y85" s="29" t="n"/>
      <c r="Z85" s="16" t="n"/>
      <c r="AA85" s="16" t="n"/>
      <c r="AB85" s="16" t="n"/>
      <c r="AC85" s="20">
        <f>IF(OR(Z85="",AA85="",AB85=""),"",(--TRIM(LEFT(Z85,2)))*(--TRIM(LEFT(AA85,2)))*(--TRIM(LEFT(AB85,2))))</f>
        <v/>
      </c>
      <c r="AD85" s="20">
        <f>IF(OR(Z85="",AA85="",AB85=""),"",INDEX(APGrid,COUNTIF(APS,"&gt;"&amp;(--TRIM(LEFT(Z85,2))))*5+COUNTIF(APO,"&gt;"&amp;(--TRIM(LEFT(AA85,2))))+1,COUNTIF(APD,"&gt;"&amp;(--TRIM(LEFT(AB85,2))))+1))</f>
        <v/>
      </c>
      <c r="AE85" s="4" t="n"/>
      <c r="AF85" s="4" t="n"/>
      <c r="AH85">
        <f>IFERROR(INDEX(EqTag,_xlfn.AGGREGATE(15,6,(ROW(EqTag)-4)/((EqSys=$D$3)*(EqTag&lt;&gt;"")),ROWS($AH$14:AH85))),"")</f>
        <v/>
      </c>
    </row>
    <row r="86">
      <c r="A86" s="20">
        <f>IF(F86="","",LEFT($D$3,3)&amp;"-"&amp;TEXT(COUNTIF(F$14:F86,"?*"),"00"))</f>
        <v/>
      </c>
      <c r="B86" s="4" t="n"/>
      <c r="C86" s="5">
        <f>IF(B86="","",IFERROR(INDEX(EqTypeCol,MATCH(B86,EqTag,0)),"Tag not in register"))</f>
        <v/>
      </c>
      <c r="D86" s="4" t="n"/>
      <c r="E86" s="4" t="n"/>
      <c r="F86" s="4" t="n"/>
      <c r="G86" s="4" t="n"/>
      <c r="H86" s="4" t="n"/>
      <c r="I86" s="4" t="n"/>
      <c r="J86" s="5">
        <f>_xlfn.TEXTJOIN(CHAR(10),TRUE,IF(G86="","","• "&amp;G86),IF(H86="","","• "&amp;H86),IF(I86="","","• "&amp;I86))</f>
        <v/>
      </c>
      <c r="K86" s="4" t="n"/>
      <c r="L86" s="4" t="n"/>
      <c r="M86" s="4" t="n"/>
      <c r="N86" s="16" t="n"/>
      <c r="O86" s="4" t="n"/>
      <c r="P86" s="16" t="n"/>
      <c r="Q86" s="4" t="n"/>
      <c r="R86" s="16" t="n"/>
      <c r="S86" s="20">
        <f>IF(OR(N86="",P86="",R86=""),"",(--TRIM(LEFT(N86,2)))*(--TRIM(LEFT(P86,2)))*(--TRIM(LEFT(R86,2))))</f>
        <v/>
      </c>
      <c r="T86" s="20">
        <f>IF(OR(N86="",P86="",R86=""),"",INDEX(APGrid,COUNTIF(APS,"&gt;"&amp;(--TRIM(LEFT(N86,2))))*5+COUNTIF(APO,"&gt;"&amp;(--TRIM(LEFT(P86,2))))+1,COUNTIF(APD,"&gt;"&amp;(--TRIM(LEFT(R86,2))))+1))</f>
        <v/>
      </c>
      <c r="U86" s="20">
        <f>IF(S86="","",IF(OR((--TRIM(LEFT(N86,2)))&gt;=SThr,S86&gt;=RPNThr,T86="H"),"Yes","No"))</f>
        <v/>
      </c>
      <c r="V86" s="4" t="n"/>
      <c r="W86" s="4" t="n"/>
      <c r="X86" s="4" t="n"/>
      <c r="Y86" s="29" t="n"/>
      <c r="Z86" s="16" t="n"/>
      <c r="AA86" s="16" t="n"/>
      <c r="AB86" s="16" t="n"/>
      <c r="AC86" s="20">
        <f>IF(OR(Z86="",AA86="",AB86=""),"",(--TRIM(LEFT(Z86,2)))*(--TRIM(LEFT(AA86,2)))*(--TRIM(LEFT(AB86,2))))</f>
        <v/>
      </c>
      <c r="AD86" s="20">
        <f>IF(OR(Z86="",AA86="",AB86=""),"",INDEX(APGrid,COUNTIF(APS,"&gt;"&amp;(--TRIM(LEFT(Z86,2))))*5+COUNTIF(APO,"&gt;"&amp;(--TRIM(LEFT(AA86,2))))+1,COUNTIF(APD,"&gt;"&amp;(--TRIM(LEFT(AB86,2))))+1))</f>
        <v/>
      </c>
      <c r="AE86" s="4" t="n"/>
      <c r="AF86" s="4" t="n"/>
      <c r="AH86">
        <f>IFERROR(INDEX(EqTag,_xlfn.AGGREGATE(15,6,(ROW(EqTag)-4)/((EqSys=$D$3)*(EqTag&lt;&gt;"")),ROWS($AH$14:AH86))),"")</f>
        <v/>
      </c>
    </row>
    <row r="87">
      <c r="A87" s="20">
        <f>IF(F87="","",LEFT($D$3,3)&amp;"-"&amp;TEXT(COUNTIF(F$14:F87,"?*"),"00"))</f>
        <v/>
      </c>
      <c r="B87" s="4" t="n"/>
      <c r="C87" s="5">
        <f>IF(B87="","",IFERROR(INDEX(EqTypeCol,MATCH(B87,EqTag,0)),"Tag not in register"))</f>
        <v/>
      </c>
      <c r="D87" s="4" t="n"/>
      <c r="E87" s="4" t="n"/>
      <c r="F87" s="4" t="n"/>
      <c r="G87" s="4" t="n"/>
      <c r="H87" s="4" t="n"/>
      <c r="I87" s="4" t="n"/>
      <c r="J87" s="5">
        <f>_xlfn.TEXTJOIN(CHAR(10),TRUE,IF(G87="","","• "&amp;G87),IF(H87="","","• "&amp;H87),IF(I87="","","• "&amp;I87))</f>
        <v/>
      </c>
      <c r="K87" s="4" t="n"/>
      <c r="L87" s="4" t="n"/>
      <c r="M87" s="4" t="n"/>
      <c r="N87" s="16" t="n"/>
      <c r="O87" s="4" t="n"/>
      <c r="P87" s="16" t="n"/>
      <c r="Q87" s="4" t="n"/>
      <c r="R87" s="16" t="n"/>
      <c r="S87" s="20">
        <f>IF(OR(N87="",P87="",R87=""),"",(--TRIM(LEFT(N87,2)))*(--TRIM(LEFT(P87,2)))*(--TRIM(LEFT(R87,2))))</f>
        <v/>
      </c>
      <c r="T87" s="20">
        <f>IF(OR(N87="",P87="",R87=""),"",INDEX(APGrid,COUNTIF(APS,"&gt;"&amp;(--TRIM(LEFT(N87,2))))*5+COUNTIF(APO,"&gt;"&amp;(--TRIM(LEFT(P87,2))))+1,COUNTIF(APD,"&gt;"&amp;(--TRIM(LEFT(R87,2))))+1))</f>
        <v/>
      </c>
      <c r="U87" s="20">
        <f>IF(S87="","",IF(OR((--TRIM(LEFT(N87,2)))&gt;=SThr,S87&gt;=RPNThr,T87="H"),"Yes","No"))</f>
        <v/>
      </c>
      <c r="V87" s="4" t="n"/>
      <c r="W87" s="4" t="n"/>
      <c r="X87" s="4" t="n"/>
      <c r="Y87" s="29" t="n"/>
      <c r="Z87" s="16" t="n"/>
      <c r="AA87" s="16" t="n"/>
      <c r="AB87" s="16" t="n"/>
      <c r="AC87" s="20">
        <f>IF(OR(Z87="",AA87="",AB87=""),"",(--TRIM(LEFT(Z87,2)))*(--TRIM(LEFT(AA87,2)))*(--TRIM(LEFT(AB87,2))))</f>
        <v/>
      </c>
      <c r="AD87" s="20">
        <f>IF(OR(Z87="",AA87="",AB87=""),"",INDEX(APGrid,COUNTIF(APS,"&gt;"&amp;(--TRIM(LEFT(Z87,2))))*5+COUNTIF(APO,"&gt;"&amp;(--TRIM(LEFT(AA87,2))))+1,COUNTIF(APD,"&gt;"&amp;(--TRIM(LEFT(AB87,2))))+1))</f>
        <v/>
      </c>
      <c r="AE87" s="4" t="n"/>
      <c r="AF87" s="4" t="n"/>
      <c r="AH87">
        <f>IFERROR(INDEX(EqTag,_xlfn.AGGREGATE(15,6,(ROW(EqTag)-4)/((EqSys=$D$3)*(EqTag&lt;&gt;"")),ROWS($AH$14:AH87))),"")</f>
        <v/>
      </c>
    </row>
    <row r="88">
      <c r="A88" s="20">
        <f>IF(F88="","",LEFT($D$3,3)&amp;"-"&amp;TEXT(COUNTIF(F$14:F88,"?*"),"00"))</f>
        <v/>
      </c>
      <c r="B88" s="4" t="n"/>
      <c r="C88" s="5">
        <f>IF(B88="","",IFERROR(INDEX(EqTypeCol,MATCH(B88,EqTag,0)),"Tag not in register"))</f>
        <v/>
      </c>
      <c r="D88" s="4" t="n"/>
      <c r="E88" s="4" t="n"/>
      <c r="F88" s="4" t="n"/>
      <c r="G88" s="4" t="n"/>
      <c r="H88" s="4" t="n"/>
      <c r="I88" s="4" t="n"/>
      <c r="J88" s="5">
        <f>_xlfn.TEXTJOIN(CHAR(10),TRUE,IF(G88="","","• "&amp;G88),IF(H88="","","• "&amp;H88),IF(I88="","","• "&amp;I88))</f>
        <v/>
      </c>
      <c r="K88" s="4" t="n"/>
      <c r="L88" s="4" t="n"/>
      <c r="M88" s="4" t="n"/>
      <c r="N88" s="16" t="n"/>
      <c r="O88" s="4" t="n"/>
      <c r="P88" s="16" t="n"/>
      <c r="Q88" s="4" t="n"/>
      <c r="R88" s="16" t="n"/>
      <c r="S88" s="20">
        <f>IF(OR(N88="",P88="",R88=""),"",(--TRIM(LEFT(N88,2)))*(--TRIM(LEFT(P88,2)))*(--TRIM(LEFT(R88,2))))</f>
        <v/>
      </c>
      <c r="T88" s="20">
        <f>IF(OR(N88="",P88="",R88=""),"",INDEX(APGrid,COUNTIF(APS,"&gt;"&amp;(--TRIM(LEFT(N88,2))))*5+COUNTIF(APO,"&gt;"&amp;(--TRIM(LEFT(P88,2))))+1,COUNTIF(APD,"&gt;"&amp;(--TRIM(LEFT(R88,2))))+1))</f>
        <v/>
      </c>
      <c r="U88" s="20">
        <f>IF(S88="","",IF(OR((--TRIM(LEFT(N88,2)))&gt;=SThr,S88&gt;=RPNThr,T88="H"),"Yes","No"))</f>
        <v/>
      </c>
      <c r="V88" s="4" t="n"/>
      <c r="W88" s="4" t="n"/>
      <c r="X88" s="4" t="n"/>
      <c r="Y88" s="29" t="n"/>
      <c r="Z88" s="16" t="n"/>
      <c r="AA88" s="16" t="n"/>
      <c r="AB88" s="16" t="n"/>
      <c r="AC88" s="20">
        <f>IF(OR(Z88="",AA88="",AB88=""),"",(--TRIM(LEFT(Z88,2)))*(--TRIM(LEFT(AA88,2)))*(--TRIM(LEFT(AB88,2))))</f>
        <v/>
      </c>
      <c r="AD88" s="20">
        <f>IF(OR(Z88="",AA88="",AB88=""),"",INDEX(APGrid,COUNTIF(APS,"&gt;"&amp;(--TRIM(LEFT(Z88,2))))*5+COUNTIF(APO,"&gt;"&amp;(--TRIM(LEFT(AA88,2))))+1,COUNTIF(APD,"&gt;"&amp;(--TRIM(LEFT(AB88,2))))+1))</f>
        <v/>
      </c>
      <c r="AE88" s="4" t="n"/>
      <c r="AF88" s="4" t="n"/>
      <c r="AH88">
        <f>IFERROR(INDEX(EqTag,_xlfn.AGGREGATE(15,6,(ROW(EqTag)-4)/((EqSys=$D$3)*(EqTag&lt;&gt;"")),ROWS($AH$14:AH88))),"")</f>
        <v/>
      </c>
    </row>
    <row r="89">
      <c r="A89" s="20">
        <f>IF(F89="","",LEFT($D$3,3)&amp;"-"&amp;TEXT(COUNTIF(F$14:F89,"?*"),"00"))</f>
        <v/>
      </c>
      <c r="B89" s="4" t="n"/>
      <c r="C89" s="5">
        <f>IF(B89="","",IFERROR(INDEX(EqTypeCol,MATCH(B89,EqTag,0)),"Tag not in register"))</f>
        <v/>
      </c>
      <c r="D89" s="4" t="n"/>
      <c r="E89" s="4" t="n"/>
      <c r="F89" s="4" t="n"/>
      <c r="G89" s="4" t="n"/>
      <c r="H89" s="4" t="n"/>
      <c r="I89" s="4" t="n"/>
      <c r="J89" s="5">
        <f>_xlfn.TEXTJOIN(CHAR(10),TRUE,IF(G89="","","• "&amp;G89),IF(H89="","","• "&amp;H89),IF(I89="","","• "&amp;I89))</f>
        <v/>
      </c>
      <c r="K89" s="4" t="n"/>
      <c r="L89" s="4" t="n"/>
      <c r="M89" s="4" t="n"/>
      <c r="N89" s="16" t="n"/>
      <c r="O89" s="4" t="n"/>
      <c r="P89" s="16" t="n"/>
      <c r="Q89" s="4" t="n"/>
      <c r="R89" s="16" t="n"/>
      <c r="S89" s="20">
        <f>IF(OR(N89="",P89="",R89=""),"",(--TRIM(LEFT(N89,2)))*(--TRIM(LEFT(P89,2)))*(--TRIM(LEFT(R89,2))))</f>
        <v/>
      </c>
      <c r="T89" s="20">
        <f>IF(OR(N89="",P89="",R89=""),"",INDEX(APGrid,COUNTIF(APS,"&gt;"&amp;(--TRIM(LEFT(N89,2))))*5+COUNTIF(APO,"&gt;"&amp;(--TRIM(LEFT(P89,2))))+1,COUNTIF(APD,"&gt;"&amp;(--TRIM(LEFT(R89,2))))+1))</f>
        <v/>
      </c>
      <c r="U89" s="20">
        <f>IF(S89="","",IF(OR((--TRIM(LEFT(N89,2)))&gt;=SThr,S89&gt;=RPNThr,T89="H"),"Yes","No"))</f>
        <v/>
      </c>
      <c r="V89" s="4" t="n"/>
      <c r="W89" s="4" t="n"/>
      <c r="X89" s="4" t="n"/>
      <c r="Y89" s="29" t="n"/>
      <c r="Z89" s="16" t="n"/>
      <c r="AA89" s="16" t="n"/>
      <c r="AB89" s="16" t="n"/>
      <c r="AC89" s="20">
        <f>IF(OR(Z89="",AA89="",AB89=""),"",(--TRIM(LEFT(Z89,2)))*(--TRIM(LEFT(AA89,2)))*(--TRIM(LEFT(AB89,2))))</f>
        <v/>
      </c>
      <c r="AD89" s="20">
        <f>IF(OR(Z89="",AA89="",AB89=""),"",INDEX(APGrid,COUNTIF(APS,"&gt;"&amp;(--TRIM(LEFT(Z89,2))))*5+COUNTIF(APO,"&gt;"&amp;(--TRIM(LEFT(AA89,2))))+1,COUNTIF(APD,"&gt;"&amp;(--TRIM(LEFT(AB89,2))))+1))</f>
        <v/>
      </c>
      <c r="AE89" s="4" t="n"/>
      <c r="AF89" s="4" t="n"/>
      <c r="AH89">
        <f>IFERROR(INDEX(EqTag,_xlfn.AGGREGATE(15,6,(ROW(EqTag)-4)/((EqSys=$D$3)*(EqTag&lt;&gt;"")),ROWS($AH$14:AH89))),"")</f>
        <v/>
      </c>
    </row>
    <row r="90">
      <c r="A90" s="20">
        <f>IF(F90="","",LEFT($D$3,3)&amp;"-"&amp;TEXT(COUNTIF(F$14:F90,"?*"),"00"))</f>
        <v/>
      </c>
      <c r="B90" s="4" t="n"/>
      <c r="C90" s="5">
        <f>IF(B90="","",IFERROR(INDEX(EqTypeCol,MATCH(B90,EqTag,0)),"Tag not in register"))</f>
        <v/>
      </c>
      <c r="D90" s="4" t="n"/>
      <c r="E90" s="4" t="n"/>
      <c r="F90" s="4" t="n"/>
      <c r="G90" s="4" t="n"/>
      <c r="H90" s="4" t="n"/>
      <c r="I90" s="4" t="n"/>
      <c r="J90" s="5">
        <f>_xlfn.TEXTJOIN(CHAR(10),TRUE,IF(G90="","","• "&amp;G90),IF(H90="","","• "&amp;H90),IF(I90="","","• "&amp;I90))</f>
        <v/>
      </c>
      <c r="K90" s="4" t="n"/>
      <c r="L90" s="4" t="n"/>
      <c r="M90" s="4" t="n"/>
      <c r="N90" s="16" t="n"/>
      <c r="O90" s="4" t="n"/>
      <c r="P90" s="16" t="n"/>
      <c r="Q90" s="4" t="n"/>
      <c r="R90" s="16" t="n"/>
      <c r="S90" s="20">
        <f>IF(OR(N90="",P90="",R90=""),"",(--TRIM(LEFT(N90,2)))*(--TRIM(LEFT(P90,2)))*(--TRIM(LEFT(R90,2))))</f>
        <v/>
      </c>
      <c r="T90" s="20">
        <f>IF(OR(N90="",P90="",R90=""),"",INDEX(APGrid,COUNTIF(APS,"&gt;"&amp;(--TRIM(LEFT(N90,2))))*5+COUNTIF(APO,"&gt;"&amp;(--TRIM(LEFT(P90,2))))+1,COUNTIF(APD,"&gt;"&amp;(--TRIM(LEFT(R90,2))))+1))</f>
        <v/>
      </c>
      <c r="U90" s="20">
        <f>IF(S90="","",IF(OR((--TRIM(LEFT(N90,2)))&gt;=SThr,S90&gt;=RPNThr,T90="H"),"Yes","No"))</f>
        <v/>
      </c>
      <c r="V90" s="4" t="n"/>
      <c r="W90" s="4" t="n"/>
      <c r="X90" s="4" t="n"/>
      <c r="Y90" s="29" t="n"/>
      <c r="Z90" s="16" t="n"/>
      <c r="AA90" s="16" t="n"/>
      <c r="AB90" s="16" t="n"/>
      <c r="AC90" s="20">
        <f>IF(OR(Z90="",AA90="",AB90=""),"",(--TRIM(LEFT(Z90,2)))*(--TRIM(LEFT(AA90,2)))*(--TRIM(LEFT(AB90,2))))</f>
        <v/>
      </c>
      <c r="AD90" s="20">
        <f>IF(OR(Z90="",AA90="",AB90=""),"",INDEX(APGrid,COUNTIF(APS,"&gt;"&amp;(--TRIM(LEFT(Z90,2))))*5+COUNTIF(APO,"&gt;"&amp;(--TRIM(LEFT(AA90,2))))+1,COUNTIF(APD,"&gt;"&amp;(--TRIM(LEFT(AB90,2))))+1))</f>
        <v/>
      </c>
      <c r="AE90" s="4" t="n"/>
      <c r="AF90" s="4" t="n"/>
      <c r="AH90">
        <f>IFERROR(INDEX(EqTag,_xlfn.AGGREGATE(15,6,(ROW(EqTag)-4)/((EqSys=$D$3)*(EqTag&lt;&gt;"")),ROWS($AH$14:AH90))),"")</f>
        <v/>
      </c>
    </row>
    <row r="91">
      <c r="A91" s="20">
        <f>IF(F91="","",LEFT($D$3,3)&amp;"-"&amp;TEXT(COUNTIF(F$14:F91,"?*"),"00"))</f>
        <v/>
      </c>
      <c r="B91" s="4" t="n"/>
      <c r="C91" s="5">
        <f>IF(B91="","",IFERROR(INDEX(EqTypeCol,MATCH(B91,EqTag,0)),"Tag not in register"))</f>
        <v/>
      </c>
      <c r="D91" s="4" t="n"/>
      <c r="E91" s="4" t="n"/>
      <c r="F91" s="4" t="n"/>
      <c r="G91" s="4" t="n"/>
      <c r="H91" s="4" t="n"/>
      <c r="I91" s="4" t="n"/>
      <c r="J91" s="5">
        <f>_xlfn.TEXTJOIN(CHAR(10),TRUE,IF(G91="","","• "&amp;G91),IF(H91="","","• "&amp;H91),IF(I91="","","• "&amp;I91))</f>
        <v/>
      </c>
      <c r="K91" s="4" t="n"/>
      <c r="L91" s="4" t="n"/>
      <c r="M91" s="4" t="n"/>
      <c r="N91" s="16" t="n"/>
      <c r="O91" s="4" t="n"/>
      <c r="P91" s="16" t="n"/>
      <c r="Q91" s="4" t="n"/>
      <c r="R91" s="16" t="n"/>
      <c r="S91" s="20">
        <f>IF(OR(N91="",P91="",R91=""),"",(--TRIM(LEFT(N91,2)))*(--TRIM(LEFT(P91,2)))*(--TRIM(LEFT(R91,2))))</f>
        <v/>
      </c>
      <c r="T91" s="20">
        <f>IF(OR(N91="",P91="",R91=""),"",INDEX(APGrid,COUNTIF(APS,"&gt;"&amp;(--TRIM(LEFT(N91,2))))*5+COUNTIF(APO,"&gt;"&amp;(--TRIM(LEFT(P91,2))))+1,COUNTIF(APD,"&gt;"&amp;(--TRIM(LEFT(R91,2))))+1))</f>
        <v/>
      </c>
      <c r="U91" s="20">
        <f>IF(S91="","",IF(OR((--TRIM(LEFT(N91,2)))&gt;=SThr,S91&gt;=RPNThr,T91="H"),"Yes","No"))</f>
        <v/>
      </c>
      <c r="V91" s="4" t="n"/>
      <c r="W91" s="4" t="n"/>
      <c r="X91" s="4" t="n"/>
      <c r="Y91" s="29" t="n"/>
      <c r="Z91" s="16" t="n"/>
      <c r="AA91" s="16" t="n"/>
      <c r="AB91" s="16" t="n"/>
      <c r="AC91" s="20">
        <f>IF(OR(Z91="",AA91="",AB91=""),"",(--TRIM(LEFT(Z91,2)))*(--TRIM(LEFT(AA91,2)))*(--TRIM(LEFT(AB91,2))))</f>
        <v/>
      </c>
      <c r="AD91" s="20">
        <f>IF(OR(Z91="",AA91="",AB91=""),"",INDEX(APGrid,COUNTIF(APS,"&gt;"&amp;(--TRIM(LEFT(Z91,2))))*5+COUNTIF(APO,"&gt;"&amp;(--TRIM(LEFT(AA91,2))))+1,COUNTIF(APD,"&gt;"&amp;(--TRIM(LEFT(AB91,2))))+1))</f>
        <v/>
      </c>
      <c r="AE91" s="4" t="n"/>
      <c r="AF91" s="4" t="n"/>
      <c r="AH91">
        <f>IFERROR(INDEX(EqTag,_xlfn.AGGREGATE(15,6,(ROW(EqTag)-4)/((EqSys=$D$3)*(EqTag&lt;&gt;"")),ROWS($AH$14:AH91))),"")</f>
        <v/>
      </c>
    </row>
    <row r="92">
      <c r="A92" s="20">
        <f>IF(F92="","",LEFT($D$3,3)&amp;"-"&amp;TEXT(COUNTIF(F$14:F92,"?*"),"00"))</f>
        <v/>
      </c>
      <c r="B92" s="4" t="n"/>
      <c r="C92" s="5">
        <f>IF(B92="","",IFERROR(INDEX(EqTypeCol,MATCH(B92,EqTag,0)),"Tag not in register"))</f>
        <v/>
      </c>
      <c r="D92" s="4" t="n"/>
      <c r="E92" s="4" t="n"/>
      <c r="F92" s="4" t="n"/>
      <c r="G92" s="4" t="n"/>
      <c r="H92" s="4" t="n"/>
      <c r="I92" s="4" t="n"/>
      <c r="J92" s="5">
        <f>_xlfn.TEXTJOIN(CHAR(10),TRUE,IF(G92="","","• "&amp;G92),IF(H92="","","• "&amp;H92),IF(I92="","","• "&amp;I92))</f>
        <v/>
      </c>
      <c r="K92" s="4" t="n"/>
      <c r="L92" s="4" t="n"/>
      <c r="M92" s="4" t="n"/>
      <c r="N92" s="16" t="n"/>
      <c r="O92" s="4" t="n"/>
      <c r="P92" s="16" t="n"/>
      <c r="Q92" s="4" t="n"/>
      <c r="R92" s="16" t="n"/>
      <c r="S92" s="20">
        <f>IF(OR(N92="",P92="",R92=""),"",(--TRIM(LEFT(N92,2)))*(--TRIM(LEFT(P92,2)))*(--TRIM(LEFT(R92,2))))</f>
        <v/>
      </c>
      <c r="T92" s="20">
        <f>IF(OR(N92="",P92="",R92=""),"",INDEX(APGrid,COUNTIF(APS,"&gt;"&amp;(--TRIM(LEFT(N92,2))))*5+COUNTIF(APO,"&gt;"&amp;(--TRIM(LEFT(P92,2))))+1,COUNTIF(APD,"&gt;"&amp;(--TRIM(LEFT(R92,2))))+1))</f>
        <v/>
      </c>
      <c r="U92" s="20">
        <f>IF(S92="","",IF(OR((--TRIM(LEFT(N92,2)))&gt;=SThr,S92&gt;=RPNThr,T92="H"),"Yes","No"))</f>
        <v/>
      </c>
      <c r="V92" s="4" t="n"/>
      <c r="W92" s="4" t="n"/>
      <c r="X92" s="4" t="n"/>
      <c r="Y92" s="29" t="n"/>
      <c r="Z92" s="16" t="n"/>
      <c r="AA92" s="16" t="n"/>
      <c r="AB92" s="16" t="n"/>
      <c r="AC92" s="20">
        <f>IF(OR(Z92="",AA92="",AB92=""),"",(--TRIM(LEFT(Z92,2)))*(--TRIM(LEFT(AA92,2)))*(--TRIM(LEFT(AB92,2))))</f>
        <v/>
      </c>
      <c r="AD92" s="20">
        <f>IF(OR(Z92="",AA92="",AB92=""),"",INDEX(APGrid,COUNTIF(APS,"&gt;"&amp;(--TRIM(LEFT(Z92,2))))*5+COUNTIF(APO,"&gt;"&amp;(--TRIM(LEFT(AA92,2))))+1,COUNTIF(APD,"&gt;"&amp;(--TRIM(LEFT(AB92,2))))+1))</f>
        <v/>
      </c>
      <c r="AE92" s="4" t="n"/>
      <c r="AF92" s="4" t="n"/>
      <c r="AH92">
        <f>IFERROR(INDEX(EqTag,_xlfn.AGGREGATE(15,6,(ROW(EqTag)-4)/((EqSys=$D$3)*(EqTag&lt;&gt;"")),ROWS($AH$14:AH92))),"")</f>
        <v/>
      </c>
    </row>
    <row r="93">
      <c r="A93" s="20">
        <f>IF(F93="","",LEFT($D$3,3)&amp;"-"&amp;TEXT(COUNTIF(F$14:F93,"?*"),"00"))</f>
        <v/>
      </c>
      <c r="B93" s="4" t="n"/>
      <c r="C93" s="5">
        <f>IF(B93="","",IFERROR(INDEX(EqTypeCol,MATCH(B93,EqTag,0)),"Tag not in register"))</f>
        <v/>
      </c>
      <c r="D93" s="4" t="n"/>
      <c r="E93" s="4" t="n"/>
      <c r="F93" s="4" t="n"/>
      <c r="G93" s="4" t="n"/>
      <c r="H93" s="4" t="n"/>
      <c r="I93" s="4" t="n"/>
      <c r="J93" s="5">
        <f>_xlfn.TEXTJOIN(CHAR(10),TRUE,IF(G93="","","• "&amp;G93),IF(H93="","","• "&amp;H93),IF(I93="","","• "&amp;I93))</f>
        <v/>
      </c>
      <c r="K93" s="4" t="n"/>
      <c r="L93" s="4" t="n"/>
      <c r="M93" s="4" t="n"/>
      <c r="N93" s="16" t="n"/>
      <c r="O93" s="4" t="n"/>
      <c r="P93" s="16" t="n"/>
      <c r="Q93" s="4" t="n"/>
      <c r="R93" s="16" t="n"/>
      <c r="S93" s="20">
        <f>IF(OR(N93="",P93="",R93=""),"",(--TRIM(LEFT(N93,2)))*(--TRIM(LEFT(P93,2)))*(--TRIM(LEFT(R93,2))))</f>
        <v/>
      </c>
      <c r="T93" s="20">
        <f>IF(OR(N93="",P93="",R93=""),"",INDEX(APGrid,COUNTIF(APS,"&gt;"&amp;(--TRIM(LEFT(N93,2))))*5+COUNTIF(APO,"&gt;"&amp;(--TRIM(LEFT(P93,2))))+1,COUNTIF(APD,"&gt;"&amp;(--TRIM(LEFT(R93,2))))+1))</f>
        <v/>
      </c>
      <c r="U93" s="20">
        <f>IF(S93="","",IF(OR((--TRIM(LEFT(N93,2)))&gt;=SThr,S93&gt;=RPNThr,T93="H"),"Yes","No"))</f>
        <v/>
      </c>
      <c r="V93" s="4" t="n"/>
      <c r="W93" s="4" t="n"/>
      <c r="X93" s="4" t="n"/>
      <c r="Y93" s="29" t="n"/>
      <c r="Z93" s="16" t="n"/>
      <c r="AA93" s="16" t="n"/>
      <c r="AB93" s="16" t="n"/>
      <c r="AC93" s="20">
        <f>IF(OR(Z93="",AA93="",AB93=""),"",(--TRIM(LEFT(Z93,2)))*(--TRIM(LEFT(AA93,2)))*(--TRIM(LEFT(AB93,2))))</f>
        <v/>
      </c>
      <c r="AD93" s="20">
        <f>IF(OR(Z93="",AA93="",AB93=""),"",INDEX(APGrid,COUNTIF(APS,"&gt;"&amp;(--TRIM(LEFT(Z93,2))))*5+COUNTIF(APO,"&gt;"&amp;(--TRIM(LEFT(AA93,2))))+1,COUNTIF(APD,"&gt;"&amp;(--TRIM(LEFT(AB93,2))))+1))</f>
        <v/>
      </c>
      <c r="AE93" s="4" t="n"/>
      <c r="AF93" s="4" t="n"/>
      <c r="AH93">
        <f>IFERROR(INDEX(EqTag,_xlfn.AGGREGATE(15,6,(ROW(EqTag)-4)/((EqSys=$D$3)*(EqTag&lt;&gt;"")),ROWS($AH$14:AH93))),"")</f>
        <v/>
      </c>
    </row>
    <row r="94">
      <c r="A94" s="20">
        <f>IF(F94="","",LEFT($D$3,3)&amp;"-"&amp;TEXT(COUNTIF(F$14:F94,"?*"),"00"))</f>
        <v/>
      </c>
      <c r="B94" s="4" t="n"/>
      <c r="C94" s="5">
        <f>IF(B94="","",IFERROR(INDEX(EqTypeCol,MATCH(B94,EqTag,0)),"Tag not in register"))</f>
        <v/>
      </c>
      <c r="D94" s="4" t="n"/>
      <c r="E94" s="4" t="n"/>
      <c r="F94" s="4" t="n"/>
      <c r="G94" s="4" t="n"/>
      <c r="H94" s="4" t="n"/>
      <c r="I94" s="4" t="n"/>
      <c r="J94" s="5">
        <f>_xlfn.TEXTJOIN(CHAR(10),TRUE,IF(G94="","","• "&amp;G94),IF(H94="","","• "&amp;H94),IF(I94="","","• "&amp;I94))</f>
        <v/>
      </c>
      <c r="K94" s="4" t="n"/>
      <c r="L94" s="4" t="n"/>
      <c r="M94" s="4" t="n"/>
      <c r="N94" s="16" t="n"/>
      <c r="O94" s="4" t="n"/>
      <c r="P94" s="16" t="n"/>
      <c r="Q94" s="4" t="n"/>
      <c r="R94" s="16" t="n"/>
      <c r="S94" s="20">
        <f>IF(OR(N94="",P94="",R94=""),"",(--TRIM(LEFT(N94,2)))*(--TRIM(LEFT(P94,2)))*(--TRIM(LEFT(R94,2))))</f>
        <v/>
      </c>
      <c r="T94" s="20">
        <f>IF(OR(N94="",P94="",R94=""),"",INDEX(APGrid,COUNTIF(APS,"&gt;"&amp;(--TRIM(LEFT(N94,2))))*5+COUNTIF(APO,"&gt;"&amp;(--TRIM(LEFT(P94,2))))+1,COUNTIF(APD,"&gt;"&amp;(--TRIM(LEFT(R94,2))))+1))</f>
        <v/>
      </c>
      <c r="U94" s="20">
        <f>IF(S94="","",IF(OR((--TRIM(LEFT(N94,2)))&gt;=SThr,S94&gt;=RPNThr,T94="H"),"Yes","No"))</f>
        <v/>
      </c>
      <c r="V94" s="4" t="n"/>
      <c r="W94" s="4" t="n"/>
      <c r="X94" s="4" t="n"/>
      <c r="Y94" s="29" t="n"/>
      <c r="Z94" s="16" t="n"/>
      <c r="AA94" s="16" t="n"/>
      <c r="AB94" s="16" t="n"/>
      <c r="AC94" s="20">
        <f>IF(OR(Z94="",AA94="",AB94=""),"",(--TRIM(LEFT(Z94,2)))*(--TRIM(LEFT(AA94,2)))*(--TRIM(LEFT(AB94,2))))</f>
        <v/>
      </c>
      <c r="AD94" s="20">
        <f>IF(OR(Z94="",AA94="",AB94=""),"",INDEX(APGrid,COUNTIF(APS,"&gt;"&amp;(--TRIM(LEFT(Z94,2))))*5+COUNTIF(APO,"&gt;"&amp;(--TRIM(LEFT(AA94,2))))+1,COUNTIF(APD,"&gt;"&amp;(--TRIM(LEFT(AB94,2))))+1))</f>
        <v/>
      </c>
      <c r="AE94" s="4" t="n"/>
      <c r="AF94" s="4" t="n"/>
      <c r="AH94">
        <f>IFERROR(INDEX(EqTag,_xlfn.AGGREGATE(15,6,(ROW(EqTag)-4)/((EqSys=$D$3)*(EqTag&lt;&gt;"")),ROWS($AH$14:AH94))),"")</f>
        <v/>
      </c>
    </row>
    <row r="95">
      <c r="A95" s="20">
        <f>IF(F95="","",LEFT($D$3,3)&amp;"-"&amp;TEXT(COUNTIF(F$14:F95,"?*"),"00"))</f>
        <v/>
      </c>
      <c r="B95" s="4" t="n"/>
      <c r="C95" s="5">
        <f>IF(B95="","",IFERROR(INDEX(EqTypeCol,MATCH(B95,EqTag,0)),"Tag not in register"))</f>
        <v/>
      </c>
      <c r="D95" s="4" t="n"/>
      <c r="E95" s="4" t="n"/>
      <c r="F95" s="4" t="n"/>
      <c r="G95" s="4" t="n"/>
      <c r="H95" s="4" t="n"/>
      <c r="I95" s="4" t="n"/>
      <c r="J95" s="5">
        <f>_xlfn.TEXTJOIN(CHAR(10),TRUE,IF(G95="","","• "&amp;G95),IF(H95="","","• "&amp;H95),IF(I95="","","• "&amp;I95))</f>
        <v/>
      </c>
      <c r="K95" s="4" t="n"/>
      <c r="L95" s="4" t="n"/>
      <c r="M95" s="4" t="n"/>
      <c r="N95" s="16" t="n"/>
      <c r="O95" s="4" t="n"/>
      <c r="P95" s="16" t="n"/>
      <c r="Q95" s="4" t="n"/>
      <c r="R95" s="16" t="n"/>
      <c r="S95" s="20">
        <f>IF(OR(N95="",P95="",R95=""),"",(--TRIM(LEFT(N95,2)))*(--TRIM(LEFT(P95,2)))*(--TRIM(LEFT(R95,2))))</f>
        <v/>
      </c>
      <c r="T95" s="20">
        <f>IF(OR(N95="",P95="",R95=""),"",INDEX(APGrid,COUNTIF(APS,"&gt;"&amp;(--TRIM(LEFT(N95,2))))*5+COUNTIF(APO,"&gt;"&amp;(--TRIM(LEFT(P95,2))))+1,COUNTIF(APD,"&gt;"&amp;(--TRIM(LEFT(R95,2))))+1))</f>
        <v/>
      </c>
      <c r="U95" s="20">
        <f>IF(S95="","",IF(OR((--TRIM(LEFT(N95,2)))&gt;=SThr,S95&gt;=RPNThr,T95="H"),"Yes","No"))</f>
        <v/>
      </c>
      <c r="V95" s="4" t="n"/>
      <c r="W95" s="4" t="n"/>
      <c r="X95" s="4" t="n"/>
      <c r="Y95" s="29" t="n"/>
      <c r="Z95" s="16" t="n"/>
      <c r="AA95" s="16" t="n"/>
      <c r="AB95" s="16" t="n"/>
      <c r="AC95" s="20">
        <f>IF(OR(Z95="",AA95="",AB95=""),"",(--TRIM(LEFT(Z95,2)))*(--TRIM(LEFT(AA95,2)))*(--TRIM(LEFT(AB95,2))))</f>
        <v/>
      </c>
      <c r="AD95" s="20">
        <f>IF(OR(Z95="",AA95="",AB95=""),"",INDEX(APGrid,COUNTIF(APS,"&gt;"&amp;(--TRIM(LEFT(Z95,2))))*5+COUNTIF(APO,"&gt;"&amp;(--TRIM(LEFT(AA95,2))))+1,COUNTIF(APD,"&gt;"&amp;(--TRIM(LEFT(AB95,2))))+1))</f>
        <v/>
      </c>
      <c r="AE95" s="4" t="n"/>
      <c r="AF95" s="4" t="n"/>
      <c r="AH95">
        <f>IFERROR(INDEX(EqTag,_xlfn.AGGREGATE(15,6,(ROW(EqTag)-4)/((EqSys=$D$3)*(EqTag&lt;&gt;"")),ROWS($AH$14:AH95))),"")</f>
        <v/>
      </c>
    </row>
    <row r="96">
      <c r="A96" s="20">
        <f>IF(F96="","",LEFT($D$3,3)&amp;"-"&amp;TEXT(COUNTIF(F$14:F96,"?*"),"00"))</f>
        <v/>
      </c>
      <c r="B96" s="4" t="n"/>
      <c r="C96" s="5">
        <f>IF(B96="","",IFERROR(INDEX(EqTypeCol,MATCH(B96,EqTag,0)),"Tag not in register"))</f>
        <v/>
      </c>
      <c r="D96" s="4" t="n"/>
      <c r="E96" s="4" t="n"/>
      <c r="F96" s="4" t="n"/>
      <c r="G96" s="4" t="n"/>
      <c r="H96" s="4" t="n"/>
      <c r="I96" s="4" t="n"/>
      <c r="J96" s="5">
        <f>_xlfn.TEXTJOIN(CHAR(10),TRUE,IF(G96="","","• "&amp;G96),IF(H96="","","• "&amp;H96),IF(I96="","","• "&amp;I96))</f>
        <v/>
      </c>
      <c r="K96" s="4" t="n"/>
      <c r="L96" s="4" t="n"/>
      <c r="M96" s="4" t="n"/>
      <c r="N96" s="16" t="n"/>
      <c r="O96" s="4" t="n"/>
      <c r="P96" s="16" t="n"/>
      <c r="Q96" s="4" t="n"/>
      <c r="R96" s="16" t="n"/>
      <c r="S96" s="20">
        <f>IF(OR(N96="",P96="",R96=""),"",(--TRIM(LEFT(N96,2)))*(--TRIM(LEFT(P96,2)))*(--TRIM(LEFT(R96,2))))</f>
        <v/>
      </c>
      <c r="T96" s="20">
        <f>IF(OR(N96="",P96="",R96=""),"",INDEX(APGrid,COUNTIF(APS,"&gt;"&amp;(--TRIM(LEFT(N96,2))))*5+COUNTIF(APO,"&gt;"&amp;(--TRIM(LEFT(P96,2))))+1,COUNTIF(APD,"&gt;"&amp;(--TRIM(LEFT(R96,2))))+1))</f>
        <v/>
      </c>
      <c r="U96" s="20">
        <f>IF(S96="","",IF(OR((--TRIM(LEFT(N96,2)))&gt;=SThr,S96&gt;=RPNThr,T96="H"),"Yes","No"))</f>
        <v/>
      </c>
      <c r="V96" s="4" t="n"/>
      <c r="W96" s="4" t="n"/>
      <c r="X96" s="4" t="n"/>
      <c r="Y96" s="29" t="n"/>
      <c r="Z96" s="16" t="n"/>
      <c r="AA96" s="16" t="n"/>
      <c r="AB96" s="16" t="n"/>
      <c r="AC96" s="20">
        <f>IF(OR(Z96="",AA96="",AB96=""),"",(--TRIM(LEFT(Z96,2)))*(--TRIM(LEFT(AA96,2)))*(--TRIM(LEFT(AB96,2))))</f>
        <v/>
      </c>
      <c r="AD96" s="20">
        <f>IF(OR(Z96="",AA96="",AB96=""),"",INDEX(APGrid,COUNTIF(APS,"&gt;"&amp;(--TRIM(LEFT(Z96,2))))*5+COUNTIF(APO,"&gt;"&amp;(--TRIM(LEFT(AA96,2))))+1,COUNTIF(APD,"&gt;"&amp;(--TRIM(LEFT(AB96,2))))+1))</f>
        <v/>
      </c>
      <c r="AE96" s="4" t="n"/>
      <c r="AF96" s="4" t="n"/>
      <c r="AH96">
        <f>IFERROR(INDEX(EqTag,_xlfn.AGGREGATE(15,6,(ROW(EqTag)-4)/((EqSys=$D$3)*(EqTag&lt;&gt;"")),ROWS($AH$14:AH96))),"")</f>
        <v/>
      </c>
    </row>
    <row r="97">
      <c r="A97" s="20">
        <f>IF(F97="","",LEFT($D$3,3)&amp;"-"&amp;TEXT(COUNTIF(F$14:F97,"?*"),"00"))</f>
        <v/>
      </c>
      <c r="B97" s="4" t="n"/>
      <c r="C97" s="5">
        <f>IF(B97="","",IFERROR(INDEX(EqTypeCol,MATCH(B97,EqTag,0)),"Tag not in register"))</f>
        <v/>
      </c>
      <c r="D97" s="4" t="n"/>
      <c r="E97" s="4" t="n"/>
      <c r="F97" s="4" t="n"/>
      <c r="G97" s="4" t="n"/>
      <c r="H97" s="4" t="n"/>
      <c r="I97" s="4" t="n"/>
      <c r="J97" s="5">
        <f>_xlfn.TEXTJOIN(CHAR(10),TRUE,IF(G97="","","• "&amp;G97),IF(H97="","","• "&amp;H97),IF(I97="","","• "&amp;I97))</f>
        <v/>
      </c>
      <c r="K97" s="4" t="n"/>
      <c r="L97" s="4" t="n"/>
      <c r="M97" s="4" t="n"/>
      <c r="N97" s="16" t="n"/>
      <c r="O97" s="4" t="n"/>
      <c r="P97" s="16" t="n"/>
      <c r="Q97" s="4" t="n"/>
      <c r="R97" s="16" t="n"/>
      <c r="S97" s="20">
        <f>IF(OR(N97="",P97="",R97=""),"",(--TRIM(LEFT(N97,2)))*(--TRIM(LEFT(P97,2)))*(--TRIM(LEFT(R97,2))))</f>
        <v/>
      </c>
      <c r="T97" s="20">
        <f>IF(OR(N97="",P97="",R97=""),"",INDEX(APGrid,COUNTIF(APS,"&gt;"&amp;(--TRIM(LEFT(N97,2))))*5+COUNTIF(APO,"&gt;"&amp;(--TRIM(LEFT(P97,2))))+1,COUNTIF(APD,"&gt;"&amp;(--TRIM(LEFT(R97,2))))+1))</f>
        <v/>
      </c>
      <c r="U97" s="20">
        <f>IF(S97="","",IF(OR((--TRIM(LEFT(N97,2)))&gt;=SThr,S97&gt;=RPNThr,T97="H"),"Yes","No"))</f>
        <v/>
      </c>
      <c r="V97" s="4" t="n"/>
      <c r="W97" s="4" t="n"/>
      <c r="X97" s="4" t="n"/>
      <c r="Y97" s="29" t="n"/>
      <c r="Z97" s="16" t="n"/>
      <c r="AA97" s="16" t="n"/>
      <c r="AB97" s="16" t="n"/>
      <c r="AC97" s="20">
        <f>IF(OR(Z97="",AA97="",AB97=""),"",(--TRIM(LEFT(Z97,2)))*(--TRIM(LEFT(AA97,2)))*(--TRIM(LEFT(AB97,2))))</f>
        <v/>
      </c>
      <c r="AD97" s="20">
        <f>IF(OR(Z97="",AA97="",AB97=""),"",INDEX(APGrid,COUNTIF(APS,"&gt;"&amp;(--TRIM(LEFT(Z97,2))))*5+COUNTIF(APO,"&gt;"&amp;(--TRIM(LEFT(AA97,2))))+1,COUNTIF(APD,"&gt;"&amp;(--TRIM(LEFT(AB97,2))))+1))</f>
        <v/>
      </c>
      <c r="AE97" s="4" t="n"/>
      <c r="AF97" s="4" t="n"/>
      <c r="AH97">
        <f>IFERROR(INDEX(EqTag,_xlfn.AGGREGATE(15,6,(ROW(EqTag)-4)/((EqSys=$D$3)*(EqTag&lt;&gt;"")),ROWS($AH$14:AH97))),"")</f>
        <v/>
      </c>
    </row>
    <row r="98">
      <c r="A98" s="20">
        <f>IF(F98="","",LEFT($D$3,3)&amp;"-"&amp;TEXT(COUNTIF(F$14:F98,"?*"),"00"))</f>
        <v/>
      </c>
      <c r="B98" s="4" t="n"/>
      <c r="C98" s="5">
        <f>IF(B98="","",IFERROR(INDEX(EqTypeCol,MATCH(B98,EqTag,0)),"Tag not in register"))</f>
        <v/>
      </c>
      <c r="D98" s="4" t="n"/>
      <c r="E98" s="4" t="n"/>
      <c r="F98" s="4" t="n"/>
      <c r="G98" s="4" t="n"/>
      <c r="H98" s="4" t="n"/>
      <c r="I98" s="4" t="n"/>
      <c r="J98" s="5">
        <f>_xlfn.TEXTJOIN(CHAR(10),TRUE,IF(G98="","","• "&amp;G98),IF(H98="","","• "&amp;H98),IF(I98="","","• "&amp;I98))</f>
        <v/>
      </c>
      <c r="K98" s="4" t="n"/>
      <c r="L98" s="4" t="n"/>
      <c r="M98" s="4" t="n"/>
      <c r="N98" s="16" t="n"/>
      <c r="O98" s="4" t="n"/>
      <c r="P98" s="16" t="n"/>
      <c r="Q98" s="4" t="n"/>
      <c r="R98" s="16" t="n"/>
      <c r="S98" s="20">
        <f>IF(OR(N98="",P98="",R98=""),"",(--TRIM(LEFT(N98,2)))*(--TRIM(LEFT(P98,2)))*(--TRIM(LEFT(R98,2))))</f>
        <v/>
      </c>
      <c r="T98" s="20">
        <f>IF(OR(N98="",P98="",R98=""),"",INDEX(APGrid,COUNTIF(APS,"&gt;"&amp;(--TRIM(LEFT(N98,2))))*5+COUNTIF(APO,"&gt;"&amp;(--TRIM(LEFT(P98,2))))+1,COUNTIF(APD,"&gt;"&amp;(--TRIM(LEFT(R98,2))))+1))</f>
        <v/>
      </c>
      <c r="U98" s="20">
        <f>IF(S98="","",IF(OR((--TRIM(LEFT(N98,2)))&gt;=SThr,S98&gt;=RPNThr,T98="H"),"Yes","No"))</f>
        <v/>
      </c>
      <c r="V98" s="4" t="n"/>
      <c r="W98" s="4" t="n"/>
      <c r="X98" s="4" t="n"/>
      <c r="Y98" s="29" t="n"/>
      <c r="Z98" s="16" t="n"/>
      <c r="AA98" s="16" t="n"/>
      <c r="AB98" s="16" t="n"/>
      <c r="AC98" s="20">
        <f>IF(OR(Z98="",AA98="",AB98=""),"",(--TRIM(LEFT(Z98,2)))*(--TRIM(LEFT(AA98,2)))*(--TRIM(LEFT(AB98,2))))</f>
        <v/>
      </c>
      <c r="AD98" s="20">
        <f>IF(OR(Z98="",AA98="",AB98=""),"",INDEX(APGrid,COUNTIF(APS,"&gt;"&amp;(--TRIM(LEFT(Z98,2))))*5+COUNTIF(APO,"&gt;"&amp;(--TRIM(LEFT(AA98,2))))+1,COUNTIF(APD,"&gt;"&amp;(--TRIM(LEFT(AB98,2))))+1))</f>
        <v/>
      </c>
      <c r="AE98" s="4" t="n"/>
      <c r="AF98" s="4" t="n"/>
      <c r="AH98">
        <f>IFERROR(INDEX(EqTag,_xlfn.AGGREGATE(15,6,(ROW(EqTag)-4)/((EqSys=$D$3)*(EqTag&lt;&gt;"")),ROWS($AH$14:AH98))),"")</f>
        <v/>
      </c>
    </row>
    <row r="99">
      <c r="A99" s="20">
        <f>IF(F99="","",LEFT($D$3,3)&amp;"-"&amp;TEXT(COUNTIF(F$14:F99,"?*"),"00"))</f>
        <v/>
      </c>
      <c r="B99" s="4" t="n"/>
      <c r="C99" s="5">
        <f>IF(B99="","",IFERROR(INDEX(EqTypeCol,MATCH(B99,EqTag,0)),"Tag not in register"))</f>
        <v/>
      </c>
      <c r="D99" s="4" t="n"/>
      <c r="E99" s="4" t="n"/>
      <c r="F99" s="4" t="n"/>
      <c r="G99" s="4" t="n"/>
      <c r="H99" s="4" t="n"/>
      <c r="I99" s="4" t="n"/>
      <c r="J99" s="5">
        <f>_xlfn.TEXTJOIN(CHAR(10),TRUE,IF(G99="","","• "&amp;G99),IF(H99="","","• "&amp;H99),IF(I99="","","• "&amp;I99))</f>
        <v/>
      </c>
      <c r="K99" s="4" t="n"/>
      <c r="L99" s="4" t="n"/>
      <c r="M99" s="4" t="n"/>
      <c r="N99" s="16" t="n"/>
      <c r="O99" s="4" t="n"/>
      <c r="P99" s="16" t="n"/>
      <c r="Q99" s="4" t="n"/>
      <c r="R99" s="16" t="n"/>
      <c r="S99" s="20">
        <f>IF(OR(N99="",P99="",R99=""),"",(--TRIM(LEFT(N99,2)))*(--TRIM(LEFT(P99,2)))*(--TRIM(LEFT(R99,2))))</f>
        <v/>
      </c>
      <c r="T99" s="20">
        <f>IF(OR(N99="",P99="",R99=""),"",INDEX(APGrid,COUNTIF(APS,"&gt;"&amp;(--TRIM(LEFT(N99,2))))*5+COUNTIF(APO,"&gt;"&amp;(--TRIM(LEFT(P99,2))))+1,COUNTIF(APD,"&gt;"&amp;(--TRIM(LEFT(R99,2))))+1))</f>
        <v/>
      </c>
      <c r="U99" s="20">
        <f>IF(S99="","",IF(OR((--TRIM(LEFT(N99,2)))&gt;=SThr,S99&gt;=RPNThr,T99="H"),"Yes","No"))</f>
        <v/>
      </c>
      <c r="V99" s="4" t="n"/>
      <c r="W99" s="4" t="n"/>
      <c r="X99" s="4" t="n"/>
      <c r="Y99" s="29" t="n"/>
      <c r="Z99" s="16" t="n"/>
      <c r="AA99" s="16" t="n"/>
      <c r="AB99" s="16" t="n"/>
      <c r="AC99" s="20">
        <f>IF(OR(Z99="",AA99="",AB99=""),"",(--TRIM(LEFT(Z99,2)))*(--TRIM(LEFT(AA99,2)))*(--TRIM(LEFT(AB99,2))))</f>
        <v/>
      </c>
      <c r="AD99" s="20">
        <f>IF(OR(Z99="",AA99="",AB99=""),"",INDEX(APGrid,COUNTIF(APS,"&gt;"&amp;(--TRIM(LEFT(Z99,2))))*5+COUNTIF(APO,"&gt;"&amp;(--TRIM(LEFT(AA99,2))))+1,COUNTIF(APD,"&gt;"&amp;(--TRIM(LEFT(AB99,2))))+1))</f>
        <v/>
      </c>
      <c r="AE99" s="4" t="n"/>
      <c r="AF99" s="4" t="n"/>
      <c r="AH99">
        <f>IFERROR(INDEX(EqTag,_xlfn.AGGREGATE(15,6,(ROW(EqTag)-4)/((EqSys=$D$3)*(EqTag&lt;&gt;"")),ROWS($AH$14:AH99))),"")</f>
        <v/>
      </c>
    </row>
    <row r="100">
      <c r="A100" s="20">
        <f>IF(F100="","",LEFT($D$3,3)&amp;"-"&amp;TEXT(COUNTIF(F$14:F100,"?*"),"00"))</f>
        <v/>
      </c>
      <c r="B100" s="4" t="n"/>
      <c r="C100" s="5">
        <f>IF(B100="","",IFERROR(INDEX(EqTypeCol,MATCH(B100,EqTag,0)),"Tag not in register"))</f>
        <v/>
      </c>
      <c r="D100" s="4" t="n"/>
      <c r="E100" s="4" t="n"/>
      <c r="F100" s="4" t="n"/>
      <c r="G100" s="4" t="n"/>
      <c r="H100" s="4" t="n"/>
      <c r="I100" s="4" t="n"/>
      <c r="J100" s="5">
        <f>_xlfn.TEXTJOIN(CHAR(10),TRUE,IF(G100="","","• "&amp;G100),IF(H100="","","• "&amp;H100),IF(I100="","","• "&amp;I100))</f>
        <v/>
      </c>
      <c r="K100" s="4" t="n"/>
      <c r="L100" s="4" t="n"/>
      <c r="M100" s="4" t="n"/>
      <c r="N100" s="16" t="n"/>
      <c r="O100" s="4" t="n"/>
      <c r="P100" s="16" t="n"/>
      <c r="Q100" s="4" t="n"/>
      <c r="R100" s="16" t="n"/>
      <c r="S100" s="20">
        <f>IF(OR(N100="",P100="",R100=""),"",(--TRIM(LEFT(N100,2)))*(--TRIM(LEFT(P100,2)))*(--TRIM(LEFT(R100,2))))</f>
        <v/>
      </c>
      <c r="T100" s="20">
        <f>IF(OR(N100="",P100="",R100=""),"",INDEX(APGrid,COUNTIF(APS,"&gt;"&amp;(--TRIM(LEFT(N100,2))))*5+COUNTIF(APO,"&gt;"&amp;(--TRIM(LEFT(P100,2))))+1,COUNTIF(APD,"&gt;"&amp;(--TRIM(LEFT(R100,2))))+1))</f>
        <v/>
      </c>
      <c r="U100" s="20">
        <f>IF(S100="","",IF(OR((--TRIM(LEFT(N100,2)))&gt;=SThr,S100&gt;=RPNThr,T100="H"),"Yes","No"))</f>
        <v/>
      </c>
      <c r="V100" s="4" t="n"/>
      <c r="W100" s="4" t="n"/>
      <c r="X100" s="4" t="n"/>
      <c r="Y100" s="29" t="n"/>
      <c r="Z100" s="16" t="n"/>
      <c r="AA100" s="16" t="n"/>
      <c r="AB100" s="16" t="n"/>
      <c r="AC100" s="20">
        <f>IF(OR(Z100="",AA100="",AB100=""),"",(--TRIM(LEFT(Z100,2)))*(--TRIM(LEFT(AA100,2)))*(--TRIM(LEFT(AB100,2))))</f>
        <v/>
      </c>
      <c r="AD100" s="20">
        <f>IF(OR(Z100="",AA100="",AB100=""),"",INDEX(APGrid,COUNTIF(APS,"&gt;"&amp;(--TRIM(LEFT(Z100,2))))*5+COUNTIF(APO,"&gt;"&amp;(--TRIM(LEFT(AA100,2))))+1,COUNTIF(APD,"&gt;"&amp;(--TRIM(LEFT(AB100,2))))+1))</f>
        <v/>
      </c>
      <c r="AE100" s="4" t="n"/>
      <c r="AF100" s="4" t="n"/>
      <c r="AH100">
        <f>IFERROR(INDEX(EqTag,_xlfn.AGGREGATE(15,6,(ROW(EqTag)-4)/((EqSys=$D$3)*(EqTag&lt;&gt;"")),ROWS($AH$14:AH100))),"")</f>
        <v/>
      </c>
    </row>
    <row r="101">
      <c r="A101" s="20">
        <f>IF(F101="","",LEFT($D$3,3)&amp;"-"&amp;TEXT(COUNTIF(F$14:F101,"?*"),"00"))</f>
        <v/>
      </c>
      <c r="B101" s="4" t="n"/>
      <c r="C101" s="5">
        <f>IF(B101="","",IFERROR(INDEX(EqTypeCol,MATCH(B101,EqTag,0)),"Tag not in register"))</f>
        <v/>
      </c>
      <c r="D101" s="4" t="n"/>
      <c r="E101" s="4" t="n"/>
      <c r="F101" s="4" t="n"/>
      <c r="G101" s="4" t="n"/>
      <c r="H101" s="4" t="n"/>
      <c r="I101" s="4" t="n"/>
      <c r="J101" s="5">
        <f>_xlfn.TEXTJOIN(CHAR(10),TRUE,IF(G101="","","• "&amp;G101),IF(H101="","","• "&amp;H101),IF(I101="","","• "&amp;I101))</f>
        <v/>
      </c>
      <c r="K101" s="4" t="n"/>
      <c r="L101" s="4" t="n"/>
      <c r="M101" s="4" t="n"/>
      <c r="N101" s="16" t="n"/>
      <c r="O101" s="4" t="n"/>
      <c r="P101" s="16" t="n"/>
      <c r="Q101" s="4" t="n"/>
      <c r="R101" s="16" t="n"/>
      <c r="S101" s="20">
        <f>IF(OR(N101="",P101="",R101=""),"",(--TRIM(LEFT(N101,2)))*(--TRIM(LEFT(P101,2)))*(--TRIM(LEFT(R101,2))))</f>
        <v/>
      </c>
      <c r="T101" s="20">
        <f>IF(OR(N101="",P101="",R101=""),"",INDEX(APGrid,COUNTIF(APS,"&gt;"&amp;(--TRIM(LEFT(N101,2))))*5+COUNTIF(APO,"&gt;"&amp;(--TRIM(LEFT(P101,2))))+1,COUNTIF(APD,"&gt;"&amp;(--TRIM(LEFT(R101,2))))+1))</f>
        <v/>
      </c>
      <c r="U101" s="20">
        <f>IF(S101="","",IF(OR((--TRIM(LEFT(N101,2)))&gt;=SThr,S101&gt;=RPNThr,T101="H"),"Yes","No"))</f>
        <v/>
      </c>
      <c r="V101" s="4" t="n"/>
      <c r="W101" s="4" t="n"/>
      <c r="X101" s="4" t="n"/>
      <c r="Y101" s="29" t="n"/>
      <c r="Z101" s="16" t="n"/>
      <c r="AA101" s="16" t="n"/>
      <c r="AB101" s="16" t="n"/>
      <c r="AC101" s="20">
        <f>IF(OR(Z101="",AA101="",AB101=""),"",(--TRIM(LEFT(Z101,2)))*(--TRIM(LEFT(AA101,2)))*(--TRIM(LEFT(AB101,2))))</f>
        <v/>
      </c>
      <c r="AD101" s="20">
        <f>IF(OR(Z101="",AA101="",AB101=""),"",INDEX(APGrid,COUNTIF(APS,"&gt;"&amp;(--TRIM(LEFT(Z101,2))))*5+COUNTIF(APO,"&gt;"&amp;(--TRIM(LEFT(AA101,2))))+1,COUNTIF(APD,"&gt;"&amp;(--TRIM(LEFT(AB101,2))))+1))</f>
        <v/>
      </c>
      <c r="AE101" s="4" t="n"/>
      <c r="AF101" s="4" t="n"/>
      <c r="AH101">
        <f>IFERROR(INDEX(EqTag,_xlfn.AGGREGATE(15,6,(ROW(EqTag)-4)/((EqSys=$D$3)*(EqTag&lt;&gt;"")),ROWS($AH$14:AH101))),"")</f>
        <v/>
      </c>
    </row>
    <row r="102">
      <c r="A102" s="20">
        <f>IF(F102="","",LEFT($D$3,3)&amp;"-"&amp;TEXT(COUNTIF(F$14:F102,"?*"),"00"))</f>
        <v/>
      </c>
      <c r="B102" s="4" t="n"/>
      <c r="C102" s="5">
        <f>IF(B102="","",IFERROR(INDEX(EqTypeCol,MATCH(B102,EqTag,0)),"Tag not in register"))</f>
        <v/>
      </c>
      <c r="D102" s="4" t="n"/>
      <c r="E102" s="4" t="n"/>
      <c r="F102" s="4" t="n"/>
      <c r="G102" s="4" t="n"/>
      <c r="H102" s="4" t="n"/>
      <c r="I102" s="4" t="n"/>
      <c r="J102" s="5">
        <f>_xlfn.TEXTJOIN(CHAR(10),TRUE,IF(G102="","","• "&amp;G102),IF(H102="","","• "&amp;H102),IF(I102="","","• "&amp;I102))</f>
        <v/>
      </c>
      <c r="K102" s="4" t="n"/>
      <c r="L102" s="4" t="n"/>
      <c r="M102" s="4" t="n"/>
      <c r="N102" s="16" t="n"/>
      <c r="O102" s="4" t="n"/>
      <c r="P102" s="16" t="n"/>
      <c r="Q102" s="4" t="n"/>
      <c r="R102" s="16" t="n"/>
      <c r="S102" s="20">
        <f>IF(OR(N102="",P102="",R102=""),"",(--TRIM(LEFT(N102,2)))*(--TRIM(LEFT(P102,2)))*(--TRIM(LEFT(R102,2))))</f>
        <v/>
      </c>
      <c r="T102" s="20">
        <f>IF(OR(N102="",P102="",R102=""),"",INDEX(APGrid,COUNTIF(APS,"&gt;"&amp;(--TRIM(LEFT(N102,2))))*5+COUNTIF(APO,"&gt;"&amp;(--TRIM(LEFT(P102,2))))+1,COUNTIF(APD,"&gt;"&amp;(--TRIM(LEFT(R102,2))))+1))</f>
        <v/>
      </c>
      <c r="U102" s="20">
        <f>IF(S102="","",IF(OR((--TRIM(LEFT(N102,2)))&gt;=SThr,S102&gt;=RPNThr,T102="H"),"Yes","No"))</f>
        <v/>
      </c>
      <c r="V102" s="4" t="n"/>
      <c r="W102" s="4" t="n"/>
      <c r="X102" s="4" t="n"/>
      <c r="Y102" s="29" t="n"/>
      <c r="Z102" s="16" t="n"/>
      <c r="AA102" s="16" t="n"/>
      <c r="AB102" s="16" t="n"/>
      <c r="AC102" s="20">
        <f>IF(OR(Z102="",AA102="",AB102=""),"",(--TRIM(LEFT(Z102,2)))*(--TRIM(LEFT(AA102,2)))*(--TRIM(LEFT(AB102,2))))</f>
        <v/>
      </c>
      <c r="AD102" s="20">
        <f>IF(OR(Z102="",AA102="",AB102=""),"",INDEX(APGrid,COUNTIF(APS,"&gt;"&amp;(--TRIM(LEFT(Z102,2))))*5+COUNTIF(APO,"&gt;"&amp;(--TRIM(LEFT(AA102,2))))+1,COUNTIF(APD,"&gt;"&amp;(--TRIM(LEFT(AB102,2))))+1))</f>
        <v/>
      </c>
      <c r="AE102" s="4" t="n"/>
      <c r="AF102" s="4" t="n"/>
      <c r="AH102">
        <f>IFERROR(INDEX(EqTag,_xlfn.AGGREGATE(15,6,(ROW(EqTag)-4)/((EqSys=$D$3)*(EqTag&lt;&gt;"")),ROWS($AH$14:AH102))),"")</f>
        <v/>
      </c>
    </row>
    <row r="103">
      <c r="A103" s="20">
        <f>IF(F103="","",LEFT($D$3,3)&amp;"-"&amp;TEXT(COUNTIF(F$14:F103,"?*"),"00"))</f>
        <v/>
      </c>
      <c r="B103" s="4" t="n"/>
      <c r="C103" s="5">
        <f>IF(B103="","",IFERROR(INDEX(EqTypeCol,MATCH(B103,EqTag,0)),"Tag not in register"))</f>
        <v/>
      </c>
      <c r="D103" s="4" t="n"/>
      <c r="E103" s="4" t="n"/>
      <c r="F103" s="4" t="n"/>
      <c r="G103" s="4" t="n"/>
      <c r="H103" s="4" t="n"/>
      <c r="I103" s="4" t="n"/>
      <c r="J103" s="5">
        <f>_xlfn.TEXTJOIN(CHAR(10),TRUE,IF(G103="","","• "&amp;G103),IF(H103="","","• "&amp;H103),IF(I103="","","• "&amp;I103))</f>
        <v/>
      </c>
      <c r="K103" s="4" t="n"/>
      <c r="L103" s="4" t="n"/>
      <c r="M103" s="4" t="n"/>
      <c r="N103" s="16" t="n"/>
      <c r="O103" s="4" t="n"/>
      <c r="P103" s="16" t="n"/>
      <c r="Q103" s="4" t="n"/>
      <c r="R103" s="16" t="n"/>
      <c r="S103" s="20">
        <f>IF(OR(N103="",P103="",R103=""),"",(--TRIM(LEFT(N103,2)))*(--TRIM(LEFT(P103,2)))*(--TRIM(LEFT(R103,2))))</f>
        <v/>
      </c>
      <c r="T103" s="20">
        <f>IF(OR(N103="",P103="",R103=""),"",INDEX(APGrid,COUNTIF(APS,"&gt;"&amp;(--TRIM(LEFT(N103,2))))*5+COUNTIF(APO,"&gt;"&amp;(--TRIM(LEFT(P103,2))))+1,COUNTIF(APD,"&gt;"&amp;(--TRIM(LEFT(R103,2))))+1))</f>
        <v/>
      </c>
      <c r="U103" s="20">
        <f>IF(S103="","",IF(OR((--TRIM(LEFT(N103,2)))&gt;=SThr,S103&gt;=RPNThr,T103="H"),"Yes","No"))</f>
        <v/>
      </c>
      <c r="V103" s="4" t="n"/>
      <c r="W103" s="4" t="n"/>
      <c r="X103" s="4" t="n"/>
      <c r="Y103" s="29" t="n"/>
      <c r="Z103" s="16" t="n"/>
      <c r="AA103" s="16" t="n"/>
      <c r="AB103" s="16" t="n"/>
      <c r="AC103" s="20">
        <f>IF(OR(Z103="",AA103="",AB103=""),"",(--TRIM(LEFT(Z103,2)))*(--TRIM(LEFT(AA103,2)))*(--TRIM(LEFT(AB103,2))))</f>
        <v/>
      </c>
      <c r="AD103" s="20">
        <f>IF(OR(Z103="",AA103="",AB103=""),"",INDEX(APGrid,COUNTIF(APS,"&gt;"&amp;(--TRIM(LEFT(Z103,2))))*5+COUNTIF(APO,"&gt;"&amp;(--TRIM(LEFT(AA103,2))))+1,COUNTIF(APD,"&gt;"&amp;(--TRIM(LEFT(AB103,2))))+1))</f>
        <v/>
      </c>
      <c r="AE103" s="4" t="n"/>
      <c r="AF103" s="4" t="n"/>
      <c r="AH103">
        <f>IFERROR(INDEX(EqTag,_xlfn.AGGREGATE(15,6,(ROW(EqTag)-4)/((EqSys=$D$3)*(EqTag&lt;&gt;"")),ROWS($AH$14:AH103))),"")</f>
        <v/>
      </c>
    </row>
    <row r="104">
      <c r="A104" s="20">
        <f>IF(F104="","",LEFT($D$3,3)&amp;"-"&amp;TEXT(COUNTIF(F$14:F104,"?*"),"00"))</f>
        <v/>
      </c>
      <c r="B104" s="4" t="n"/>
      <c r="C104" s="5">
        <f>IF(B104="","",IFERROR(INDEX(EqTypeCol,MATCH(B104,EqTag,0)),"Tag not in register"))</f>
        <v/>
      </c>
      <c r="D104" s="4" t="n"/>
      <c r="E104" s="4" t="n"/>
      <c r="F104" s="4" t="n"/>
      <c r="G104" s="4" t="n"/>
      <c r="H104" s="4" t="n"/>
      <c r="I104" s="4" t="n"/>
      <c r="J104" s="5">
        <f>_xlfn.TEXTJOIN(CHAR(10),TRUE,IF(G104="","","• "&amp;G104),IF(H104="","","• "&amp;H104),IF(I104="","","• "&amp;I104))</f>
        <v/>
      </c>
      <c r="K104" s="4" t="n"/>
      <c r="L104" s="4" t="n"/>
      <c r="M104" s="4" t="n"/>
      <c r="N104" s="16" t="n"/>
      <c r="O104" s="4" t="n"/>
      <c r="P104" s="16" t="n"/>
      <c r="Q104" s="4" t="n"/>
      <c r="R104" s="16" t="n"/>
      <c r="S104" s="20">
        <f>IF(OR(N104="",P104="",R104=""),"",(--TRIM(LEFT(N104,2)))*(--TRIM(LEFT(P104,2)))*(--TRIM(LEFT(R104,2))))</f>
        <v/>
      </c>
      <c r="T104" s="20">
        <f>IF(OR(N104="",P104="",R104=""),"",INDEX(APGrid,COUNTIF(APS,"&gt;"&amp;(--TRIM(LEFT(N104,2))))*5+COUNTIF(APO,"&gt;"&amp;(--TRIM(LEFT(P104,2))))+1,COUNTIF(APD,"&gt;"&amp;(--TRIM(LEFT(R104,2))))+1))</f>
        <v/>
      </c>
      <c r="U104" s="20">
        <f>IF(S104="","",IF(OR((--TRIM(LEFT(N104,2)))&gt;=SThr,S104&gt;=RPNThr,T104="H"),"Yes","No"))</f>
        <v/>
      </c>
      <c r="V104" s="4" t="n"/>
      <c r="W104" s="4" t="n"/>
      <c r="X104" s="4" t="n"/>
      <c r="Y104" s="29" t="n"/>
      <c r="Z104" s="16" t="n"/>
      <c r="AA104" s="16" t="n"/>
      <c r="AB104" s="16" t="n"/>
      <c r="AC104" s="20">
        <f>IF(OR(Z104="",AA104="",AB104=""),"",(--TRIM(LEFT(Z104,2)))*(--TRIM(LEFT(AA104,2)))*(--TRIM(LEFT(AB104,2))))</f>
        <v/>
      </c>
      <c r="AD104" s="20">
        <f>IF(OR(Z104="",AA104="",AB104=""),"",INDEX(APGrid,COUNTIF(APS,"&gt;"&amp;(--TRIM(LEFT(Z104,2))))*5+COUNTIF(APO,"&gt;"&amp;(--TRIM(LEFT(AA104,2))))+1,COUNTIF(APD,"&gt;"&amp;(--TRIM(LEFT(AB104,2))))+1))</f>
        <v/>
      </c>
      <c r="AE104" s="4" t="n"/>
      <c r="AF104" s="4" t="n"/>
      <c r="AH104">
        <f>IFERROR(INDEX(EqTag,_xlfn.AGGREGATE(15,6,(ROW(EqTag)-4)/((EqSys=$D$3)*(EqTag&lt;&gt;"")),ROWS($AH$14:AH104))),"")</f>
        <v/>
      </c>
    </row>
    <row r="105">
      <c r="A105" s="20">
        <f>IF(F105="","",LEFT($D$3,3)&amp;"-"&amp;TEXT(COUNTIF(F$14:F105,"?*"),"00"))</f>
        <v/>
      </c>
      <c r="B105" s="4" t="n"/>
      <c r="C105" s="5">
        <f>IF(B105="","",IFERROR(INDEX(EqTypeCol,MATCH(B105,EqTag,0)),"Tag not in register"))</f>
        <v/>
      </c>
      <c r="D105" s="4" t="n"/>
      <c r="E105" s="4" t="n"/>
      <c r="F105" s="4" t="n"/>
      <c r="G105" s="4" t="n"/>
      <c r="H105" s="4" t="n"/>
      <c r="I105" s="4" t="n"/>
      <c r="J105" s="5">
        <f>_xlfn.TEXTJOIN(CHAR(10),TRUE,IF(G105="","","• "&amp;G105),IF(H105="","","• "&amp;H105),IF(I105="","","• "&amp;I105))</f>
        <v/>
      </c>
      <c r="K105" s="4" t="n"/>
      <c r="L105" s="4" t="n"/>
      <c r="M105" s="4" t="n"/>
      <c r="N105" s="16" t="n"/>
      <c r="O105" s="4" t="n"/>
      <c r="P105" s="16" t="n"/>
      <c r="Q105" s="4" t="n"/>
      <c r="R105" s="16" t="n"/>
      <c r="S105" s="20">
        <f>IF(OR(N105="",P105="",R105=""),"",(--TRIM(LEFT(N105,2)))*(--TRIM(LEFT(P105,2)))*(--TRIM(LEFT(R105,2))))</f>
        <v/>
      </c>
      <c r="T105" s="20">
        <f>IF(OR(N105="",P105="",R105=""),"",INDEX(APGrid,COUNTIF(APS,"&gt;"&amp;(--TRIM(LEFT(N105,2))))*5+COUNTIF(APO,"&gt;"&amp;(--TRIM(LEFT(P105,2))))+1,COUNTIF(APD,"&gt;"&amp;(--TRIM(LEFT(R105,2))))+1))</f>
        <v/>
      </c>
      <c r="U105" s="20">
        <f>IF(S105="","",IF(OR((--TRIM(LEFT(N105,2)))&gt;=SThr,S105&gt;=RPNThr,T105="H"),"Yes","No"))</f>
        <v/>
      </c>
      <c r="V105" s="4" t="n"/>
      <c r="W105" s="4" t="n"/>
      <c r="X105" s="4" t="n"/>
      <c r="Y105" s="29" t="n"/>
      <c r="Z105" s="16" t="n"/>
      <c r="AA105" s="16" t="n"/>
      <c r="AB105" s="16" t="n"/>
      <c r="AC105" s="20">
        <f>IF(OR(Z105="",AA105="",AB105=""),"",(--TRIM(LEFT(Z105,2)))*(--TRIM(LEFT(AA105,2)))*(--TRIM(LEFT(AB105,2))))</f>
        <v/>
      </c>
      <c r="AD105" s="20">
        <f>IF(OR(Z105="",AA105="",AB105=""),"",INDEX(APGrid,COUNTIF(APS,"&gt;"&amp;(--TRIM(LEFT(Z105,2))))*5+COUNTIF(APO,"&gt;"&amp;(--TRIM(LEFT(AA105,2))))+1,COUNTIF(APD,"&gt;"&amp;(--TRIM(LEFT(AB105,2))))+1))</f>
        <v/>
      </c>
      <c r="AE105" s="4" t="n"/>
      <c r="AF105" s="4" t="n"/>
      <c r="AH105">
        <f>IFERROR(INDEX(EqTag,_xlfn.AGGREGATE(15,6,(ROW(EqTag)-4)/((EqSys=$D$3)*(EqTag&lt;&gt;"")),ROWS($AH$14:AH105))),"")</f>
        <v/>
      </c>
    </row>
    <row r="106">
      <c r="A106" s="20">
        <f>IF(F106="","",LEFT($D$3,3)&amp;"-"&amp;TEXT(COUNTIF(F$14:F106,"?*"),"00"))</f>
        <v/>
      </c>
      <c r="B106" s="4" t="n"/>
      <c r="C106" s="5">
        <f>IF(B106="","",IFERROR(INDEX(EqTypeCol,MATCH(B106,EqTag,0)),"Tag not in register"))</f>
        <v/>
      </c>
      <c r="D106" s="4" t="n"/>
      <c r="E106" s="4" t="n"/>
      <c r="F106" s="4" t="n"/>
      <c r="G106" s="4" t="n"/>
      <c r="H106" s="4" t="n"/>
      <c r="I106" s="4" t="n"/>
      <c r="J106" s="5">
        <f>_xlfn.TEXTJOIN(CHAR(10),TRUE,IF(G106="","","• "&amp;G106),IF(H106="","","• "&amp;H106),IF(I106="","","• "&amp;I106))</f>
        <v/>
      </c>
      <c r="K106" s="4" t="n"/>
      <c r="L106" s="4" t="n"/>
      <c r="M106" s="4" t="n"/>
      <c r="N106" s="16" t="n"/>
      <c r="O106" s="4" t="n"/>
      <c r="P106" s="16" t="n"/>
      <c r="Q106" s="4" t="n"/>
      <c r="R106" s="16" t="n"/>
      <c r="S106" s="20">
        <f>IF(OR(N106="",P106="",R106=""),"",(--TRIM(LEFT(N106,2)))*(--TRIM(LEFT(P106,2)))*(--TRIM(LEFT(R106,2))))</f>
        <v/>
      </c>
      <c r="T106" s="20">
        <f>IF(OR(N106="",P106="",R106=""),"",INDEX(APGrid,COUNTIF(APS,"&gt;"&amp;(--TRIM(LEFT(N106,2))))*5+COUNTIF(APO,"&gt;"&amp;(--TRIM(LEFT(P106,2))))+1,COUNTIF(APD,"&gt;"&amp;(--TRIM(LEFT(R106,2))))+1))</f>
        <v/>
      </c>
      <c r="U106" s="20">
        <f>IF(S106="","",IF(OR((--TRIM(LEFT(N106,2)))&gt;=SThr,S106&gt;=RPNThr,T106="H"),"Yes","No"))</f>
        <v/>
      </c>
      <c r="V106" s="4" t="n"/>
      <c r="W106" s="4" t="n"/>
      <c r="X106" s="4" t="n"/>
      <c r="Y106" s="29" t="n"/>
      <c r="Z106" s="16" t="n"/>
      <c r="AA106" s="16" t="n"/>
      <c r="AB106" s="16" t="n"/>
      <c r="AC106" s="20">
        <f>IF(OR(Z106="",AA106="",AB106=""),"",(--TRIM(LEFT(Z106,2)))*(--TRIM(LEFT(AA106,2)))*(--TRIM(LEFT(AB106,2))))</f>
        <v/>
      </c>
      <c r="AD106" s="20">
        <f>IF(OR(Z106="",AA106="",AB106=""),"",INDEX(APGrid,COUNTIF(APS,"&gt;"&amp;(--TRIM(LEFT(Z106,2))))*5+COUNTIF(APO,"&gt;"&amp;(--TRIM(LEFT(AA106,2))))+1,COUNTIF(APD,"&gt;"&amp;(--TRIM(LEFT(AB106,2))))+1))</f>
        <v/>
      </c>
      <c r="AE106" s="4" t="n"/>
      <c r="AF106" s="4" t="n"/>
      <c r="AH106">
        <f>IFERROR(INDEX(EqTag,_xlfn.AGGREGATE(15,6,(ROW(EqTag)-4)/((EqSys=$D$3)*(EqTag&lt;&gt;"")),ROWS($AH$14:AH106))),"")</f>
        <v/>
      </c>
    </row>
    <row r="107">
      <c r="A107" s="20">
        <f>IF(F107="","",LEFT($D$3,3)&amp;"-"&amp;TEXT(COUNTIF(F$14:F107,"?*"),"00"))</f>
        <v/>
      </c>
      <c r="B107" s="4" t="n"/>
      <c r="C107" s="5">
        <f>IF(B107="","",IFERROR(INDEX(EqTypeCol,MATCH(B107,EqTag,0)),"Tag not in register"))</f>
        <v/>
      </c>
      <c r="D107" s="4" t="n"/>
      <c r="E107" s="4" t="n"/>
      <c r="F107" s="4" t="n"/>
      <c r="G107" s="4" t="n"/>
      <c r="H107" s="4" t="n"/>
      <c r="I107" s="4" t="n"/>
      <c r="J107" s="5">
        <f>_xlfn.TEXTJOIN(CHAR(10),TRUE,IF(G107="","","• "&amp;G107),IF(H107="","","• "&amp;H107),IF(I107="","","• "&amp;I107))</f>
        <v/>
      </c>
      <c r="K107" s="4" t="n"/>
      <c r="L107" s="4" t="n"/>
      <c r="M107" s="4" t="n"/>
      <c r="N107" s="16" t="n"/>
      <c r="O107" s="4" t="n"/>
      <c r="P107" s="16" t="n"/>
      <c r="Q107" s="4" t="n"/>
      <c r="R107" s="16" t="n"/>
      <c r="S107" s="20">
        <f>IF(OR(N107="",P107="",R107=""),"",(--TRIM(LEFT(N107,2)))*(--TRIM(LEFT(P107,2)))*(--TRIM(LEFT(R107,2))))</f>
        <v/>
      </c>
      <c r="T107" s="20">
        <f>IF(OR(N107="",P107="",R107=""),"",INDEX(APGrid,COUNTIF(APS,"&gt;"&amp;(--TRIM(LEFT(N107,2))))*5+COUNTIF(APO,"&gt;"&amp;(--TRIM(LEFT(P107,2))))+1,COUNTIF(APD,"&gt;"&amp;(--TRIM(LEFT(R107,2))))+1))</f>
        <v/>
      </c>
      <c r="U107" s="20">
        <f>IF(S107="","",IF(OR((--TRIM(LEFT(N107,2)))&gt;=SThr,S107&gt;=RPNThr,T107="H"),"Yes","No"))</f>
        <v/>
      </c>
      <c r="V107" s="4" t="n"/>
      <c r="W107" s="4" t="n"/>
      <c r="X107" s="4" t="n"/>
      <c r="Y107" s="29" t="n"/>
      <c r="Z107" s="16" t="n"/>
      <c r="AA107" s="16" t="n"/>
      <c r="AB107" s="16" t="n"/>
      <c r="AC107" s="20">
        <f>IF(OR(Z107="",AA107="",AB107=""),"",(--TRIM(LEFT(Z107,2)))*(--TRIM(LEFT(AA107,2)))*(--TRIM(LEFT(AB107,2))))</f>
        <v/>
      </c>
      <c r="AD107" s="20">
        <f>IF(OR(Z107="",AA107="",AB107=""),"",INDEX(APGrid,COUNTIF(APS,"&gt;"&amp;(--TRIM(LEFT(Z107,2))))*5+COUNTIF(APO,"&gt;"&amp;(--TRIM(LEFT(AA107,2))))+1,COUNTIF(APD,"&gt;"&amp;(--TRIM(LEFT(AB107,2))))+1))</f>
        <v/>
      </c>
      <c r="AE107" s="4" t="n"/>
      <c r="AF107" s="4" t="n"/>
      <c r="AH107">
        <f>IFERROR(INDEX(EqTag,_xlfn.AGGREGATE(15,6,(ROW(EqTag)-4)/((EqSys=$D$3)*(EqTag&lt;&gt;"")),ROWS($AH$14:AH107))),"")</f>
        <v/>
      </c>
    </row>
    <row r="108">
      <c r="A108" s="20">
        <f>IF(F108="","",LEFT($D$3,3)&amp;"-"&amp;TEXT(COUNTIF(F$14:F108,"?*"),"00"))</f>
        <v/>
      </c>
      <c r="B108" s="4" t="n"/>
      <c r="C108" s="5">
        <f>IF(B108="","",IFERROR(INDEX(EqTypeCol,MATCH(B108,EqTag,0)),"Tag not in register"))</f>
        <v/>
      </c>
      <c r="D108" s="4" t="n"/>
      <c r="E108" s="4" t="n"/>
      <c r="F108" s="4" t="n"/>
      <c r="G108" s="4" t="n"/>
      <c r="H108" s="4" t="n"/>
      <c r="I108" s="4" t="n"/>
      <c r="J108" s="5">
        <f>_xlfn.TEXTJOIN(CHAR(10),TRUE,IF(G108="","","• "&amp;G108),IF(H108="","","• "&amp;H108),IF(I108="","","• "&amp;I108))</f>
        <v/>
      </c>
      <c r="K108" s="4" t="n"/>
      <c r="L108" s="4" t="n"/>
      <c r="M108" s="4" t="n"/>
      <c r="N108" s="16" t="n"/>
      <c r="O108" s="4" t="n"/>
      <c r="P108" s="16" t="n"/>
      <c r="Q108" s="4" t="n"/>
      <c r="R108" s="16" t="n"/>
      <c r="S108" s="20">
        <f>IF(OR(N108="",P108="",R108=""),"",(--TRIM(LEFT(N108,2)))*(--TRIM(LEFT(P108,2)))*(--TRIM(LEFT(R108,2))))</f>
        <v/>
      </c>
      <c r="T108" s="20">
        <f>IF(OR(N108="",P108="",R108=""),"",INDEX(APGrid,COUNTIF(APS,"&gt;"&amp;(--TRIM(LEFT(N108,2))))*5+COUNTIF(APO,"&gt;"&amp;(--TRIM(LEFT(P108,2))))+1,COUNTIF(APD,"&gt;"&amp;(--TRIM(LEFT(R108,2))))+1))</f>
        <v/>
      </c>
      <c r="U108" s="20">
        <f>IF(S108="","",IF(OR((--TRIM(LEFT(N108,2)))&gt;=SThr,S108&gt;=RPNThr,T108="H"),"Yes","No"))</f>
        <v/>
      </c>
      <c r="V108" s="4" t="n"/>
      <c r="W108" s="4" t="n"/>
      <c r="X108" s="4" t="n"/>
      <c r="Y108" s="29" t="n"/>
      <c r="Z108" s="16" t="n"/>
      <c r="AA108" s="16" t="n"/>
      <c r="AB108" s="16" t="n"/>
      <c r="AC108" s="20">
        <f>IF(OR(Z108="",AA108="",AB108=""),"",(--TRIM(LEFT(Z108,2)))*(--TRIM(LEFT(AA108,2)))*(--TRIM(LEFT(AB108,2))))</f>
        <v/>
      </c>
      <c r="AD108" s="20">
        <f>IF(OR(Z108="",AA108="",AB108=""),"",INDEX(APGrid,COUNTIF(APS,"&gt;"&amp;(--TRIM(LEFT(Z108,2))))*5+COUNTIF(APO,"&gt;"&amp;(--TRIM(LEFT(AA108,2))))+1,COUNTIF(APD,"&gt;"&amp;(--TRIM(LEFT(AB108,2))))+1))</f>
        <v/>
      </c>
      <c r="AE108" s="4" t="n"/>
      <c r="AF108" s="4" t="n"/>
      <c r="AH108">
        <f>IFERROR(INDEX(EqTag,_xlfn.AGGREGATE(15,6,(ROW(EqTag)-4)/((EqSys=$D$3)*(EqTag&lt;&gt;"")),ROWS($AH$14:AH108))),"")</f>
        <v/>
      </c>
    </row>
    <row r="109">
      <c r="A109" s="20">
        <f>IF(F109="","",LEFT($D$3,3)&amp;"-"&amp;TEXT(COUNTIF(F$14:F109,"?*"),"00"))</f>
        <v/>
      </c>
      <c r="B109" s="4" t="n"/>
      <c r="C109" s="5">
        <f>IF(B109="","",IFERROR(INDEX(EqTypeCol,MATCH(B109,EqTag,0)),"Tag not in register"))</f>
        <v/>
      </c>
      <c r="D109" s="4" t="n"/>
      <c r="E109" s="4" t="n"/>
      <c r="F109" s="4" t="n"/>
      <c r="G109" s="4" t="n"/>
      <c r="H109" s="4" t="n"/>
      <c r="I109" s="4" t="n"/>
      <c r="J109" s="5">
        <f>_xlfn.TEXTJOIN(CHAR(10),TRUE,IF(G109="","","• "&amp;G109),IF(H109="","","• "&amp;H109),IF(I109="","","• "&amp;I109))</f>
        <v/>
      </c>
      <c r="K109" s="4" t="n"/>
      <c r="L109" s="4" t="n"/>
      <c r="M109" s="4" t="n"/>
      <c r="N109" s="16" t="n"/>
      <c r="O109" s="4" t="n"/>
      <c r="P109" s="16" t="n"/>
      <c r="Q109" s="4" t="n"/>
      <c r="R109" s="16" t="n"/>
      <c r="S109" s="20">
        <f>IF(OR(N109="",P109="",R109=""),"",(--TRIM(LEFT(N109,2)))*(--TRIM(LEFT(P109,2)))*(--TRIM(LEFT(R109,2))))</f>
        <v/>
      </c>
      <c r="T109" s="20">
        <f>IF(OR(N109="",P109="",R109=""),"",INDEX(APGrid,COUNTIF(APS,"&gt;"&amp;(--TRIM(LEFT(N109,2))))*5+COUNTIF(APO,"&gt;"&amp;(--TRIM(LEFT(P109,2))))+1,COUNTIF(APD,"&gt;"&amp;(--TRIM(LEFT(R109,2))))+1))</f>
        <v/>
      </c>
      <c r="U109" s="20">
        <f>IF(S109="","",IF(OR((--TRIM(LEFT(N109,2)))&gt;=SThr,S109&gt;=RPNThr,T109="H"),"Yes","No"))</f>
        <v/>
      </c>
      <c r="V109" s="4" t="n"/>
      <c r="W109" s="4" t="n"/>
      <c r="X109" s="4" t="n"/>
      <c r="Y109" s="29" t="n"/>
      <c r="Z109" s="16" t="n"/>
      <c r="AA109" s="16" t="n"/>
      <c r="AB109" s="16" t="n"/>
      <c r="AC109" s="20">
        <f>IF(OR(Z109="",AA109="",AB109=""),"",(--TRIM(LEFT(Z109,2)))*(--TRIM(LEFT(AA109,2)))*(--TRIM(LEFT(AB109,2))))</f>
        <v/>
      </c>
      <c r="AD109" s="20">
        <f>IF(OR(Z109="",AA109="",AB109=""),"",INDEX(APGrid,COUNTIF(APS,"&gt;"&amp;(--TRIM(LEFT(Z109,2))))*5+COUNTIF(APO,"&gt;"&amp;(--TRIM(LEFT(AA109,2))))+1,COUNTIF(APD,"&gt;"&amp;(--TRIM(LEFT(AB109,2))))+1))</f>
        <v/>
      </c>
      <c r="AE109" s="4" t="n"/>
      <c r="AF109" s="4" t="n"/>
      <c r="AH109">
        <f>IFERROR(INDEX(EqTag,_xlfn.AGGREGATE(15,6,(ROW(EqTag)-4)/((EqSys=$D$3)*(EqTag&lt;&gt;"")),ROWS($AH$14:AH109))),"")</f>
        <v/>
      </c>
    </row>
    <row r="110">
      <c r="A110" s="20">
        <f>IF(F110="","",LEFT($D$3,3)&amp;"-"&amp;TEXT(COUNTIF(F$14:F110,"?*"),"00"))</f>
        <v/>
      </c>
      <c r="B110" s="4" t="n"/>
      <c r="C110" s="5">
        <f>IF(B110="","",IFERROR(INDEX(EqTypeCol,MATCH(B110,EqTag,0)),"Tag not in register"))</f>
        <v/>
      </c>
      <c r="D110" s="4" t="n"/>
      <c r="E110" s="4" t="n"/>
      <c r="F110" s="4" t="n"/>
      <c r="G110" s="4" t="n"/>
      <c r="H110" s="4" t="n"/>
      <c r="I110" s="4" t="n"/>
      <c r="J110" s="5">
        <f>_xlfn.TEXTJOIN(CHAR(10),TRUE,IF(G110="","","• "&amp;G110),IF(H110="","","• "&amp;H110),IF(I110="","","• "&amp;I110))</f>
        <v/>
      </c>
      <c r="K110" s="4" t="n"/>
      <c r="L110" s="4" t="n"/>
      <c r="M110" s="4" t="n"/>
      <c r="N110" s="16" t="n"/>
      <c r="O110" s="4" t="n"/>
      <c r="P110" s="16" t="n"/>
      <c r="Q110" s="4" t="n"/>
      <c r="R110" s="16" t="n"/>
      <c r="S110" s="20">
        <f>IF(OR(N110="",P110="",R110=""),"",(--TRIM(LEFT(N110,2)))*(--TRIM(LEFT(P110,2)))*(--TRIM(LEFT(R110,2))))</f>
        <v/>
      </c>
      <c r="T110" s="20">
        <f>IF(OR(N110="",P110="",R110=""),"",INDEX(APGrid,COUNTIF(APS,"&gt;"&amp;(--TRIM(LEFT(N110,2))))*5+COUNTIF(APO,"&gt;"&amp;(--TRIM(LEFT(P110,2))))+1,COUNTIF(APD,"&gt;"&amp;(--TRIM(LEFT(R110,2))))+1))</f>
        <v/>
      </c>
      <c r="U110" s="20">
        <f>IF(S110="","",IF(OR((--TRIM(LEFT(N110,2)))&gt;=SThr,S110&gt;=RPNThr,T110="H"),"Yes","No"))</f>
        <v/>
      </c>
      <c r="V110" s="4" t="n"/>
      <c r="W110" s="4" t="n"/>
      <c r="X110" s="4" t="n"/>
      <c r="Y110" s="29" t="n"/>
      <c r="Z110" s="16" t="n"/>
      <c r="AA110" s="16" t="n"/>
      <c r="AB110" s="16" t="n"/>
      <c r="AC110" s="20">
        <f>IF(OR(Z110="",AA110="",AB110=""),"",(--TRIM(LEFT(Z110,2)))*(--TRIM(LEFT(AA110,2)))*(--TRIM(LEFT(AB110,2))))</f>
        <v/>
      </c>
      <c r="AD110" s="20">
        <f>IF(OR(Z110="",AA110="",AB110=""),"",INDEX(APGrid,COUNTIF(APS,"&gt;"&amp;(--TRIM(LEFT(Z110,2))))*5+COUNTIF(APO,"&gt;"&amp;(--TRIM(LEFT(AA110,2))))+1,COUNTIF(APD,"&gt;"&amp;(--TRIM(LEFT(AB110,2))))+1))</f>
        <v/>
      </c>
      <c r="AE110" s="4" t="n"/>
      <c r="AF110" s="4" t="n"/>
      <c r="AH110">
        <f>IFERROR(INDEX(EqTag,_xlfn.AGGREGATE(15,6,(ROW(EqTag)-4)/((EqSys=$D$3)*(EqTag&lt;&gt;"")),ROWS($AH$14:AH110))),"")</f>
        <v/>
      </c>
    </row>
    <row r="111">
      <c r="A111" s="20">
        <f>IF(F111="","",LEFT($D$3,3)&amp;"-"&amp;TEXT(COUNTIF(F$14:F111,"?*"),"00"))</f>
        <v/>
      </c>
      <c r="B111" s="4" t="n"/>
      <c r="C111" s="5">
        <f>IF(B111="","",IFERROR(INDEX(EqTypeCol,MATCH(B111,EqTag,0)),"Tag not in register"))</f>
        <v/>
      </c>
      <c r="D111" s="4" t="n"/>
      <c r="E111" s="4" t="n"/>
      <c r="F111" s="4" t="n"/>
      <c r="G111" s="4" t="n"/>
      <c r="H111" s="4" t="n"/>
      <c r="I111" s="4" t="n"/>
      <c r="J111" s="5">
        <f>_xlfn.TEXTJOIN(CHAR(10),TRUE,IF(G111="","","• "&amp;G111),IF(H111="","","• "&amp;H111),IF(I111="","","• "&amp;I111))</f>
        <v/>
      </c>
      <c r="K111" s="4" t="n"/>
      <c r="L111" s="4" t="n"/>
      <c r="M111" s="4" t="n"/>
      <c r="N111" s="16" t="n"/>
      <c r="O111" s="4" t="n"/>
      <c r="P111" s="16" t="n"/>
      <c r="Q111" s="4" t="n"/>
      <c r="R111" s="16" t="n"/>
      <c r="S111" s="20">
        <f>IF(OR(N111="",P111="",R111=""),"",(--TRIM(LEFT(N111,2)))*(--TRIM(LEFT(P111,2)))*(--TRIM(LEFT(R111,2))))</f>
        <v/>
      </c>
      <c r="T111" s="20">
        <f>IF(OR(N111="",P111="",R111=""),"",INDEX(APGrid,COUNTIF(APS,"&gt;"&amp;(--TRIM(LEFT(N111,2))))*5+COUNTIF(APO,"&gt;"&amp;(--TRIM(LEFT(P111,2))))+1,COUNTIF(APD,"&gt;"&amp;(--TRIM(LEFT(R111,2))))+1))</f>
        <v/>
      </c>
      <c r="U111" s="20">
        <f>IF(S111="","",IF(OR((--TRIM(LEFT(N111,2)))&gt;=SThr,S111&gt;=RPNThr,T111="H"),"Yes","No"))</f>
        <v/>
      </c>
      <c r="V111" s="4" t="n"/>
      <c r="W111" s="4" t="n"/>
      <c r="X111" s="4" t="n"/>
      <c r="Y111" s="29" t="n"/>
      <c r="Z111" s="16" t="n"/>
      <c r="AA111" s="16" t="n"/>
      <c r="AB111" s="16" t="n"/>
      <c r="AC111" s="20">
        <f>IF(OR(Z111="",AA111="",AB111=""),"",(--TRIM(LEFT(Z111,2)))*(--TRIM(LEFT(AA111,2)))*(--TRIM(LEFT(AB111,2))))</f>
        <v/>
      </c>
      <c r="AD111" s="20">
        <f>IF(OR(Z111="",AA111="",AB111=""),"",INDEX(APGrid,COUNTIF(APS,"&gt;"&amp;(--TRIM(LEFT(Z111,2))))*5+COUNTIF(APO,"&gt;"&amp;(--TRIM(LEFT(AA111,2))))+1,COUNTIF(APD,"&gt;"&amp;(--TRIM(LEFT(AB111,2))))+1))</f>
        <v/>
      </c>
      <c r="AE111" s="4" t="n"/>
      <c r="AF111" s="4" t="n"/>
      <c r="AH111">
        <f>IFERROR(INDEX(EqTag,_xlfn.AGGREGATE(15,6,(ROW(EqTag)-4)/((EqSys=$D$3)*(EqTag&lt;&gt;"")),ROWS($AH$14:AH111))),"")</f>
        <v/>
      </c>
    </row>
    <row r="112">
      <c r="A112" s="20">
        <f>IF(F112="","",LEFT($D$3,3)&amp;"-"&amp;TEXT(COUNTIF(F$14:F112,"?*"),"00"))</f>
        <v/>
      </c>
      <c r="B112" s="4" t="n"/>
      <c r="C112" s="5">
        <f>IF(B112="","",IFERROR(INDEX(EqTypeCol,MATCH(B112,EqTag,0)),"Tag not in register"))</f>
        <v/>
      </c>
      <c r="D112" s="4" t="n"/>
      <c r="E112" s="4" t="n"/>
      <c r="F112" s="4" t="n"/>
      <c r="G112" s="4" t="n"/>
      <c r="H112" s="4" t="n"/>
      <c r="I112" s="4" t="n"/>
      <c r="J112" s="5">
        <f>_xlfn.TEXTJOIN(CHAR(10),TRUE,IF(G112="","","• "&amp;G112),IF(H112="","","• "&amp;H112),IF(I112="","","• "&amp;I112))</f>
        <v/>
      </c>
      <c r="K112" s="4" t="n"/>
      <c r="L112" s="4" t="n"/>
      <c r="M112" s="4" t="n"/>
      <c r="N112" s="16" t="n"/>
      <c r="O112" s="4" t="n"/>
      <c r="P112" s="16" t="n"/>
      <c r="Q112" s="4" t="n"/>
      <c r="R112" s="16" t="n"/>
      <c r="S112" s="20">
        <f>IF(OR(N112="",P112="",R112=""),"",(--TRIM(LEFT(N112,2)))*(--TRIM(LEFT(P112,2)))*(--TRIM(LEFT(R112,2))))</f>
        <v/>
      </c>
      <c r="T112" s="20">
        <f>IF(OR(N112="",P112="",R112=""),"",INDEX(APGrid,COUNTIF(APS,"&gt;"&amp;(--TRIM(LEFT(N112,2))))*5+COUNTIF(APO,"&gt;"&amp;(--TRIM(LEFT(P112,2))))+1,COUNTIF(APD,"&gt;"&amp;(--TRIM(LEFT(R112,2))))+1))</f>
        <v/>
      </c>
      <c r="U112" s="20">
        <f>IF(S112="","",IF(OR((--TRIM(LEFT(N112,2)))&gt;=SThr,S112&gt;=RPNThr,T112="H"),"Yes","No"))</f>
        <v/>
      </c>
      <c r="V112" s="4" t="n"/>
      <c r="W112" s="4" t="n"/>
      <c r="X112" s="4" t="n"/>
      <c r="Y112" s="29" t="n"/>
      <c r="Z112" s="16" t="n"/>
      <c r="AA112" s="16" t="n"/>
      <c r="AB112" s="16" t="n"/>
      <c r="AC112" s="20">
        <f>IF(OR(Z112="",AA112="",AB112=""),"",(--TRIM(LEFT(Z112,2)))*(--TRIM(LEFT(AA112,2)))*(--TRIM(LEFT(AB112,2))))</f>
        <v/>
      </c>
      <c r="AD112" s="20">
        <f>IF(OR(Z112="",AA112="",AB112=""),"",INDEX(APGrid,COUNTIF(APS,"&gt;"&amp;(--TRIM(LEFT(Z112,2))))*5+COUNTIF(APO,"&gt;"&amp;(--TRIM(LEFT(AA112,2))))+1,COUNTIF(APD,"&gt;"&amp;(--TRIM(LEFT(AB112,2))))+1))</f>
        <v/>
      </c>
      <c r="AE112" s="4" t="n"/>
      <c r="AF112" s="4" t="n"/>
      <c r="AH112">
        <f>IFERROR(INDEX(EqTag,_xlfn.AGGREGATE(15,6,(ROW(EqTag)-4)/((EqSys=$D$3)*(EqTag&lt;&gt;"")),ROWS($AH$14:AH112))),"")</f>
        <v/>
      </c>
    </row>
    <row r="113">
      <c r="A113" s="20">
        <f>IF(F113="","",LEFT($D$3,3)&amp;"-"&amp;TEXT(COUNTIF(F$14:F113,"?*"),"00"))</f>
        <v/>
      </c>
      <c r="B113" s="4" t="n"/>
      <c r="C113" s="5">
        <f>IF(B113="","",IFERROR(INDEX(EqTypeCol,MATCH(B113,EqTag,0)),"Tag not in register"))</f>
        <v/>
      </c>
      <c r="D113" s="4" t="n"/>
      <c r="E113" s="4" t="n"/>
      <c r="F113" s="4" t="n"/>
      <c r="G113" s="4" t="n"/>
      <c r="H113" s="4" t="n"/>
      <c r="I113" s="4" t="n"/>
      <c r="J113" s="5">
        <f>_xlfn.TEXTJOIN(CHAR(10),TRUE,IF(G113="","","• "&amp;G113),IF(H113="","","• "&amp;H113),IF(I113="","","• "&amp;I113))</f>
        <v/>
      </c>
      <c r="K113" s="4" t="n"/>
      <c r="L113" s="4" t="n"/>
      <c r="M113" s="4" t="n"/>
      <c r="N113" s="16" t="n"/>
      <c r="O113" s="4" t="n"/>
      <c r="P113" s="16" t="n"/>
      <c r="Q113" s="4" t="n"/>
      <c r="R113" s="16" t="n"/>
      <c r="S113" s="20">
        <f>IF(OR(N113="",P113="",R113=""),"",(--TRIM(LEFT(N113,2)))*(--TRIM(LEFT(P113,2)))*(--TRIM(LEFT(R113,2))))</f>
        <v/>
      </c>
      <c r="T113" s="20">
        <f>IF(OR(N113="",P113="",R113=""),"",INDEX(APGrid,COUNTIF(APS,"&gt;"&amp;(--TRIM(LEFT(N113,2))))*5+COUNTIF(APO,"&gt;"&amp;(--TRIM(LEFT(P113,2))))+1,COUNTIF(APD,"&gt;"&amp;(--TRIM(LEFT(R113,2))))+1))</f>
        <v/>
      </c>
      <c r="U113" s="20">
        <f>IF(S113="","",IF(OR((--TRIM(LEFT(N113,2)))&gt;=SThr,S113&gt;=RPNThr,T113="H"),"Yes","No"))</f>
        <v/>
      </c>
      <c r="V113" s="4" t="n"/>
      <c r="W113" s="4" t="n"/>
      <c r="X113" s="4" t="n"/>
      <c r="Y113" s="29" t="n"/>
      <c r="Z113" s="16" t="n"/>
      <c r="AA113" s="16" t="n"/>
      <c r="AB113" s="16" t="n"/>
      <c r="AC113" s="20">
        <f>IF(OR(Z113="",AA113="",AB113=""),"",(--TRIM(LEFT(Z113,2)))*(--TRIM(LEFT(AA113,2)))*(--TRIM(LEFT(AB113,2))))</f>
        <v/>
      </c>
      <c r="AD113" s="20">
        <f>IF(OR(Z113="",AA113="",AB113=""),"",INDEX(APGrid,COUNTIF(APS,"&gt;"&amp;(--TRIM(LEFT(Z113,2))))*5+COUNTIF(APO,"&gt;"&amp;(--TRIM(LEFT(AA113,2))))+1,COUNTIF(APD,"&gt;"&amp;(--TRIM(LEFT(AB113,2))))+1))</f>
        <v/>
      </c>
      <c r="AE113" s="4" t="n"/>
      <c r="AF113" s="4" t="n"/>
      <c r="AH113">
        <f>IFERROR(INDEX(EqTag,_xlfn.AGGREGATE(15,6,(ROW(EqTag)-4)/((EqSys=$D$3)*(EqTag&lt;&gt;"")),ROWS($AH$14:AH113))),"")</f>
        <v/>
      </c>
    </row>
  </sheetData>
  <mergeCells count="23">
    <mergeCell ref="D3:J3"/>
    <mergeCell ref="J12:M12"/>
    <mergeCell ref="A3:C3"/>
    <mergeCell ref="A11:N11"/>
    <mergeCell ref="A12:F12"/>
    <mergeCell ref="L3:M3"/>
    <mergeCell ref="AE12:AF12"/>
    <mergeCell ref="D6:N6"/>
    <mergeCell ref="A5:C5"/>
    <mergeCell ref="N12:U12"/>
    <mergeCell ref="A8:C8"/>
    <mergeCell ref="V12:Y12"/>
    <mergeCell ref="A4:C4"/>
    <mergeCell ref="Z12:AD12"/>
    <mergeCell ref="D7:N7"/>
    <mergeCell ref="A9:C9"/>
    <mergeCell ref="G12:I12"/>
    <mergeCell ref="D4:N4"/>
    <mergeCell ref="D9:N9"/>
    <mergeCell ref="D8:N8"/>
    <mergeCell ref="A6:C6"/>
    <mergeCell ref="D5:N5"/>
    <mergeCell ref="A7:C7"/>
  </mergeCells>
  <conditionalFormatting sqref="T14:T113">
    <cfRule type="expression" priority="1" dxfId="0">
      <formula>T14="H"</formula>
    </cfRule>
    <cfRule type="expression" priority="3" dxfId="1">
      <formula>T14="M"</formula>
    </cfRule>
    <cfRule type="expression" priority="5" dxfId="2">
      <formula>T14="L"</formula>
    </cfRule>
  </conditionalFormatting>
  <conditionalFormatting sqref="AD14:AD113">
    <cfRule type="expression" priority="2" dxfId="0">
      <formula>AD14="H"</formula>
    </cfRule>
    <cfRule type="expression" priority="4" dxfId="1">
      <formula>AD14="M"</formula>
    </cfRule>
    <cfRule type="expression" priority="6" dxfId="2">
      <formula>AD14="L"</formula>
    </cfRule>
  </conditionalFormatting>
  <conditionalFormatting sqref="U14:U113">
    <cfRule type="expression" priority="7" dxfId="3">
      <formula>U14="Yes"</formula>
    </cfRule>
  </conditionalFormatting>
  <conditionalFormatting sqref="S14:S113">
    <cfRule type="expression" priority="8" dxfId="4">
      <formula>AND(ISNUMBER(S14),S14&gt;=RPNThr)</formula>
    </cfRule>
  </conditionalFormatting>
  <conditionalFormatting sqref="AC14:AC113">
    <cfRule type="expression" priority="9" dxfId="4">
      <formula>AND(ISNUMBER(AC14),AC14&gt;=RPNThr)</formula>
    </cfRule>
  </conditionalFormatting>
  <dataValidations count="13">
    <dataValidation sqref="D3" showDropDown="0" showInputMessage="1" showErrorMessage="1" allowBlank="1" promptTitle="Select" prompt="Choose the system analysed on this sheet" type="list">
      <formula1>=SystemList</formula1>
    </dataValidation>
    <dataValidation sqref="B14:B113" showDropDown="0" showInputMessage="1" showErrorMessage="1" allowBlank="1" errorTitle="Not in list" error="Entry is not in the list – it will be accepted as free text." promptTitle="Select" prompt="Equipment tags of the selected system (from the Equipment Register)" type="list" errorStyle="information">
      <formula1>=OFFSET($AH$14,0,0,MAX(1,COUNTIFS(EqSys,$D$3,EqTag,"?*")),1)</formula1>
    </dataValidation>
    <dataValidation sqref="D14:D113" showDropDown="0" showInputMessage="1" showErrorMessage="1" allowBlank="1" errorTitle="Not in list" error="Entry is not in the list – it will be accepted as free text." promptTitle="Select" prompt="Components for this equipment type – or type your own" type="list" errorStyle="information">
      <formula1>=OFFSET(CompStart,MATCH($C14,CompType,0)-1,0,MAX(1,COUNTIF(CompType,$C14)),1)</formula1>
    </dataValidation>
    <dataValidation sqref="F14:F113" showDropDown="0" showInputMessage="1" showErrorMessage="1" allowBlank="1" errorTitle="Not in list" error="Entry is not in the list – it will be accepted as free text." promptTitle="Select" prompt="Failure modes for this equipment type – or type your own" type="list" errorStyle="information">
      <formula1>=OFFSET(FMStart,MATCH($C14,FMType,0)-1,0,MAX(1,COUNTIF(FMType,$C14)),1)</formula1>
    </dataValidation>
    <dataValidation sqref="G14:I113" showDropDown="0" showInputMessage="1" showErrorMessage="1" allowBlank="1" errorTitle="Not in list" error="Entry is not in the list – it will be accepted as free text." promptTitle="Select" prompt="Failure cause / mechanism – or type your own" type="list" errorStyle="information">
      <formula1>=MechList</formula1>
    </dataValidation>
    <dataValidation sqref="Q14:Q113" showDropDown="0" showInputMessage="1" showErrorMessage="1" allowBlank="1" errorTitle="Not in list" error="Entry is not in the list – it will be accepted as free text." promptTitle="Select" prompt="Detection method – or type your own" type="list" errorStyle="information">
      <formula1>=DetList</formula1>
    </dataValidation>
    <dataValidation sqref="W14:W113" showDropDown="0" showInputMessage="0" showErrorMessage="1" allowBlank="1" errorTitle="Not in list" error="Entry is not in the list – it will be accepted as free text." type="list" errorStyle="information">
      <formula1>=TaskList</formula1>
    </dataValidation>
    <dataValidation sqref="N14:N113" showDropDown="0" showInputMessage="0" showErrorMessage="1" allowBlank="1" type="list">
      <formula1>=SevList</formula1>
    </dataValidation>
    <dataValidation sqref="P14:P113" showDropDown="0" showInputMessage="0" showErrorMessage="1" allowBlank="1" type="list">
      <formula1>=OccList</formula1>
    </dataValidation>
    <dataValidation sqref="R14:R113" showDropDown="0" showInputMessage="0" showErrorMessage="1" allowBlank="1" type="list">
      <formula1>=DetScaleList</formula1>
    </dataValidation>
    <dataValidation sqref="Z14:Z113" showDropDown="0" showInputMessage="0" showErrorMessage="1" allowBlank="1" type="list">
      <formula1>=SevList</formula1>
    </dataValidation>
    <dataValidation sqref="AA14:AA113" showDropDown="0" showInputMessage="0" showErrorMessage="1" allowBlank="1" type="list">
      <formula1>=OccList</formula1>
    </dataValidation>
    <dataValidation sqref="AB14:AB113" showDropDown="0" showInputMessage="0" showErrorMessage="1" allowBlank="1" type="list">
      <formula1>=DetScaleList</formula1>
    </dataValidation>
  </dataValidations>
  <pageMargins left="0.75" right="0.75" top="1" bottom="1" header="0.5" footer="0.5"/>
  <pageSetup orientation="landscape" paperSize="8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H113"/>
  <sheetViews>
    <sheetView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22" customWidth="1" min="4" max="4"/>
    <col width="26" customWidth="1" min="5" max="5"/>
    <col width="26" customWidth="1" min="6" max="6"/>
    <col outlineLevel="1" width="26" customWidth="1" min="7" max="9"/>
    <col width="38" customWidth="1" min="10" max="10"/>
    <col width="28" customWidth="1" min="11" max="11"/>
    <col width="28" customWidth="1" min="12" max="12"/>
    <col width="32" customWidth="1" min="13" max="13"/>
    <col width="18" customWidth="1" min="14" max="14"/>
    <col width="30" customWidth="1" min="15" max="15"/>
    <col width="18" customWidth="1" min="16" max="16"/>
    <col width="28" customWidth="1" min="17" max="17"/>
    <col width="18" customWidth="1" min="18" max="18"/>
    <col width="7" customWidth="1" min="19" max="19"/>
    <col width="6" customWidth="1" min="20" max="20"/>
    <col width="9" customWidth="1" min="21" max="21"/>
    <col width="34" customWidth="1" min="22" max="22"/>
    <col width="22" customWidth="1" min="23" max="23"/>
    <col width="14" customWidth="1" min="24" max="24"/>
    <col width="12" customWidth="1" min="25" max="25"/>
    <col width="18" customWidth="1" min="26" max="26"/>
    <col width="18" customWidth="1" min="27" max="27"/>
    <col width="18" customWidth="1" min="28" max="28"/>
    <col width="7" customWidth="1" min="29" max="29"/>
    <col width="6" customWidth="1" min="30" max="30"/>
    <col width="12" customWidth="1" min="31" max="31"/>
    <col width="24" customWidth="1" min="32" max="32"/>
    <col hidden="1" width="13" customWidth="1" min="34" max="34"/>
  </cols>
  <sheetData>
    <row r="1">
      <c r="A1" s="22" t="inlineStr">
        <is>
          <t>FMECA WORKSHEET</t>
        </is>
      </c>
      <c r="F1" s="23">
        <f>Cover!B7</f>
        <v/>
      </c>
    </row>
    <row r="3">
      <c r="A3" s="24" t="inlineStr">
        <is>
          <t>Select system ▸</t>
        </is>
      </c>
      <c r="B3" s="8" t="n"/>
      <c r="C3" s="9" t="n"/>
      <c r="D3" s="25" t="n"/>
      <c r="K3" s="24" t="inlineStr">
        <is>
          <t>Session date</t>
        </is>
      </c>
      <c r="L3" s="13" t="n"/>
      <c r="N3" s="24" t="inlineStr">
        <is>
          <t>Equipment items</t>
        </is>
      </c>
      <c r="O3" s="20">
        <f>IF($D$3="","",COUNTIFS(EqSys,$D$3,EqTag,"?*"))</f>
        <v/>
      </c>
    </row>
    <row r="4" ht="16" customHeight="1">
      <c r="A4" s="10" t="inlineStr">
        <is>
          <t>System title</t>
        </is>
      </c>
      <c r="D4" s="6">
        <f>IF($D$3="","",IFERROR(INDEX(Systems!$B$5:$B$34,MATCH($D$3,Systems!$C$5:$C$34,0))&amp;"",""))</f>
        <v/>
      </c>
    </row>
    <row r="5" ht="30" customHeight="1">
      <c r="A5" s="10" t="inlineStr">
        <is>
          <t>Function / performance standard</t>
        </is>
      </c>
      <c r="D5" s="6">
        <f>IF($D$3="","",IFERROR(INDEX(Systems!$D$5:$D$34,MATCH($D$3,Systems!$C$5:$C$34,0))&amp;"",""))</f>
        <v/>
      </c>
    </row>
    <row r="6" ht="30" customHeight="1">
      <c r="A6" s="10" t="inlineStr">
        <is>
          <t>Operating context</t>
        </is>
      </c>
      <c r="D6" s="6">
        <f>IF($D$3="","",IFERROR(INDEX(Systems!$E$5:$E$34,MATCH($D$3,Systems!$C$5:$C$34,0))&amp;"",""))</f>
        <v/>
      </c>
    </row>
    <row r="7" ht="30" customHeight="1">
      <c r="A7" s="10" t="inlineStr">
        <is>
          <t>System boundaries</t>
        </is>
      </c>
      <c r="D7" s="6">
        <f>IF($D$3="","",IFERROR(INDEX(Systems!$F$5:$F$34,MATCH($D$3,Systems!$C$5:$C$34,0))&amp;"",""))</f>
        <v/>
      </c>
    </row>
    <row r="8" ht="16" customHeight="1">
      <c r="A8" s="10" t="inlineStr">
        <is>
          <t>P&amp;IDs / drawings</t>
        </is>
      </c>
      <c r="D8" s="6">
        <f>IF($D$3="","",IFERROR(INDEX(Systems!$G$5:$G$34,MATCH($D$3,Systems!$C$5:$C$34,0))&amp;"",""))</f>
        <v/>
      </c>
    </row>
    <row r="9" ht="16" customHeight="1">
      <c r="A9" s="10" t="inlineStr">
        <is>
          <t>Related HAZOP node(s)</t>
        </is>
      </c>
      <c r="D9" s="6">
        <f>IF($D$3="","",IFERROR(INDEX(Systems!$H$5:$H$34,MATCH($D$3,Systems!$C$5:$C$34,0))&amp;"",""))</f>
        <v/>
      </c>
    </row>
    <row r="11" ht="26" customHeight="1">
      <c r="A11" s="26" t="inlineStr">
        <is>
          <t>ONE ROW PER FAILURE MODE. Pick the equipment tag (tags of the selected system), component and failure mode; pick up to 3 causes (listed line by line in 'Failure causes / mechanisms'). Rate S, O, D – RPN, Action Priority and 'Action required?' are calculated. Rate again after the recommended action. Use the [–] button above the Cause columns to collapse them.</t>
        </is>
      </c>
    </row>
    <row r="12">
      <c r="A12" s="7" t="inlineStr">
        <is>
          <t>ITEM / FAILURE MODE</t>
        </is>
      </c>
      <c r="B12" s="27" t="n"/>
      <c r="C12" s="27" t="n"/>
      <c r="D12" s="27" t="n"/>
      <c r="E12" s="27" t="n"/>
      <c r="F12" s="27" t="n"/>
      <c r="G12" s="7" t="inlineStr">
        <is>
          <t>CAUSE PICK-LIST</t>
        </is>
      </c>
      <c r="H12" s="27" t="n"/>
      <c r="I12" s="27" t="n"/>
      <c r="J12" s="7" t="inlineStr">
        <is>
          <t>CAUSES &amp; EFFECTS</t>
        </is>
      </c>
      <c r="K12" s="27" t="n"/>
      <c r="L12" s="27" t="n"/>
      <c r="M12" s="27" t="n"/>
      <c r="N12" s="7" t="inlineStr">
        <is>
          <t>CRITICALITY – CURRENT</t>
        </is>
      </c>
      <c r="O12" s="27" t="n"/>
      <c r="P12" s="27" t="n"/>
      <c r="Q12" s="27" t="n"/>
      <c r="R12" s="27" t="n"/>
      <c r="S12" s="27" t="n"/>
      <c r="T12" s="27" t="n"/>
      <c r="U12" s="27" t="n"/>
      <c r="V12" s="7" t="inlineStr">
        <is>
          <t>RECOMMENDED ACTIONS</t>
        </is>
      </c>
      <c r="W12" s="27" t="n"/>
      <c r="X12" s="27" t="n"/>
      <c r="Y12" s="27" t="n"/>
      <c r="Z12" s="7" t="inlineStr">
        <is>
          <t>CRITICALITY – AFTER ACTION</t>
        </is>
      </c>
      <c r="AA12" s="27" t="n"/>
      <c r="AB12" s="27" t="n"/>
      <c r="AC12" s="27" t="n"/>
      <c r="AD12" s="27" t="n"/>
      <c r="AE12" s="7" t="inlineStr">
        <is>
          <t>LINKS</t>
        </is>
      </c>
      <c r="AF12" s="27" t="n"/>
    </row>
    <row r="13" ht="42" customHeight="1">
      <c r="A13" s="7" t="inlineStr">
        <is>
          <t>Ref</t>
        </is>
      </c>
      <c r="B13" s="7" t="inlineStr">
        <is>
          <t>Equipment tag</t>
        </is>
      </c>
      <c r="C13" s="7" t="inlineStr">
        <is>
          <t>Equipment type (auto)</t>
        </is>
      </c>
      <c r="D13" s="7" t="inlineStr">
        <is>
          <t>Component / maintainable item</t>
        </is>
      </c>
      <c r="E13" s="7" t="inlineStr">
        <is>
          <t>Function of item</t>
        </is>
      </c>
      <c r="F13" s="7" t="inlineStr">
        <is>
          <t>Failure mode</t>
        </is>
      </c>
      <c r="G13" s="28" t="inlineStr">
        <is>
          <t>Cause 1</t>
        </is>
      </c>
      <c r="H13" s="28" t="inlineStr">
        <is>
          <t>Cause 2</t>
        </is>
      </c>
      <c r="I13" s="28" t="inlineStr">
        <is>
          <t>Cause 3</t>
        </is>
      </c>
      <c r="J13" s="7" t="inlineStr">
        <is>
          <t>Failure causes / mechanisms</t>
        </is>
      </c>
      <c r="K13" s="7" t="inlineStr">
        <is>
          <t>Local effect</t>
        </is>
      </c>
      <c r="L13" s="7" t="inlineStr">
        <is>
          <t>System effect</t>
        </is>
      </c>
      <c r="M13" s="7" t="inlineStr">
        <is>
          <t>End effect (safety / environment / production)</t>
        </is>
      </c>
      <c r="N13" s="7" t="inlineStr">
        <is>
          <t>Severity (S)</t>
        </is>
      </c>
      <c r="O13" s="7" t="inlineStr">
        <is>
          <t>Current prevention controls</t>
        </is>
      </c>
      <c r="P13" s="7" t="inlineStr">
        <is>
          <t>Occurrence (O)</t>
        </is>
      </c>
      <c r="Q13" s="7" t="inlineStr">
        <is>
          <t>Current detection method</t>
        </is>
      </c>
      <c r="R13" s="7" t="inlineStr">
        <is>
          <t>Detection (D)</t>
        </is>
      </c>
      <c r="S13" s="7" t="inlineStr">
        <is>
          <t>RPN</t>
        </is>
      </c>
      <c r="T13" s="7" t="inlineStr">
        <is>
          <t>AP</t>
        </is>
      </c>
      <c r="U13" s="7" t="inlineStr">
        <is>
          <t>Action required?</t>
        </is>
      </c>
      <c r="V13" s="7" t="inlineStr">
        <is>
          <t>Recommended action</t>
        </is>
      </c>
      <c r="W13" s="7" t="inlineStr">
        <is>
          <t>Action / task type</t>
        </is>
      </c>
      <c r="X13" s="7" t="inlineStr">
        <is>
          <t>Action by</t>
        </is>
      </c>
      <c r="Y13" s="7" t="inlineStr">
        <is>
          <t>Due date</t>
        </is>
      </c>
      <c r="Z13" s="7" t="inlineStr">
        <is>
          <t>Severity (S)</t>
        </is>
      </c>
      <c r="AA13" s="7" t="inlineStr">
        <is>
          <t>Occurrence (O)</t>
        </is>
      </c>
      <c r="AB13" s="7" t="inlineStr">
        <is>
          <t>Detection (D)</t>
        </is>
      </c>
      <c r="AC13" s="7" t="inlineStr">
        <is>
          <t>RPN after</t>
        </is>
      </c>
      <c r="AD13" s="7" t="inlineStr">
        <is>
          <t>AP after</t>
        </is>
      </c>
      <c r="AE13" s="7" t="inlineStr">
        <is>
          <t>HAZOP ref.</t>
        </is>
      </c>
      <c r="AF13" s="7" t="inlineStr">
        <is>
          <t>Comments</t>
        </is>
      </c>
    </row>
    <row r="14">
      <c r="A14" s="20">
        <f>IF(F14="","",LEFT($D$3,3)&amp;"-"&amp;TEXT(COUNTIF(F$14:F14,"?*"),"00"))</f>
        <v/>
      </c>
      <c r="B14" s="4" t="n"/>
      <c r="C14" s="5">
        <f>IF(B14="","",IFERROR(INDEX(EqTypeCol,MATCH(B14,EqTag,0)),"Tag not in register"))</f>
        <v/>
      </c>
      <c r="D14" s="4" t="n"/>
      <c r="E14" s="4" t="n"/>
      <c r="F14" s="4" t="n"/>
      <c r="G14" s="4" t="n"/>
      <c r="H14" s="4" t="n"/>
      <c r="I14" s="4" t="n"/>
      <c r="J14" s="5">
        <f>_xlfn.TEXTJOIN(CHAR(10),TRUE,IF(G14="","","• "&amp;G14),IF(H14="","","• "&amp;H14),IF(I14="","","• "&amp;I14))</f>
        <v/>
      </c>
      <c r="K14" s="4" t="n"/>
      <c r="L14" s="4" t="n"/>
      <c r="M14" s="4" t="n"/>
      <c r="N14" s="16" t="n"/>
      <c r="O14" s="4" t="n"/>
      <c r="P14" s="16" t="n"/>
      <c r="Q14" s="4" t="n"/>
      <c r="R14" s="16" t="n"/>
      <c r="S14" s="20">
        <f>IF(OR(N14="",P14="",R14=""),"",(--TRIM(LEFT(N14,2)))*(--TRIM(LEFT(P14,2)))*(--TRIM(LEFT(R14,2))))</f>
        <v/>
      </c>
      <c r="T14" s="20">
        <f>IF(OR(N14="",P14="",R14=""),"",INDEX(APGrid,COUNTIF(APS,"&gt;"&amp;(--TRIM(LEFT(N14,2))))*5+COUNTIF(APO,"&gt;"&amp;(--TRIM(LEFT(P14,2))))+1,COUNTIF(APD,"&gt;"&amp;(--TRIM(LEFT(R14,2))))+1))</f>
        <v/>
      </c>
      <c r="U14" s="20">
        <f>IF(S14="","",IF(OR((--TRIM(LEFT(N14,2)))&gt;=SThr,S14&gt;=RPNThr,T14="H"),"Yes","No"))</f>
        <v/>
      </c>
      <c r="V14" s="4" t="n"/>
      <c r="W14" s="4" t="n"/>
      <c r="X14" s="4" t="n"/>
      <c r="Y14" s="29" t="n"/>
      <c r="Z14" s="16" t="n"/>
      <c r="AA14" s="16" t="n"/>
      <c r="AB14" s="16" t="n"/>
      <c r="AC14" s="20">
        <f>IF(OR(Z14="",AA14="",AB14=""),"",(--TRIM(LEFT(Z14,2)))*(--TRIM(LEFT(AA14,2)))*(--TRIM(LEFT(AB14,2))))</f>
        <v/>
      </c>
      <c r="AD14" s="20">
        <f>IF(OR(Z14="",AA14="",AB14=""),"",INDEX(APGrid,COUNTIF(APS,"&gt;"&amp;(--TRIM(LEFT(Z14,2))))*5+COUNTIF(APO,"&gt;"&amp;(--TRIM(LEFT(AA14,2))))+1,COUNTIF(APD,"&gt;"&amp;(--TRIM(LEFT(AB14,2))))+1))</f>
        <v/>
      </c>
      <c r="AE14" s="4" t="n"/>
      <c r="AF14" s="4" t="n"/>
      <c r="AH14">
        <f>IFERROR(INDEX(EqTag,_xlfn.AGGREGATE(15,6,(ROW(EqTag)-4)/((EqSys=$D$3)*(EqTag&lt;&gt;"")),ROWS($AH$14:AH14))),"")</f>
        <v/>
      </c>
    </row>
    <row r="15">
      <c r="A15" s="20">
        <f>IF(F15="","",LEFT($D$3,3)&amp;"-"&amp;TEXT(COUNTIF(F$14:F15,"?*"),"00"))</f>
        <v/>
      </c>
      <c r="B15" s="4" t="n"/>
      <c r="C15" s="5">
        <f>IF(B15="","",IFERROR(INDEX(EqTypeCol,MATCH(B15,EqTag,0)),"Tag not in register"))</f>
        <v/>
      </c>
      <c r="D15" s="4" t="n"/>
      <c r="E15" s="4" t="n"/>
      <c r="F15" s="4" t="n"/>
      <c r="G15" s="4" t="n"/>
      <c r="H15" s="4" t="n"/>
      <c r="I15" s="4" t="n"/>
      <c r="J15" s="5">
        <f>_xlfn.TEXTJOIN(CHAR(10),TRUE,IF(G15="","","• "&amp;G15),IF(H15="","","• "&amp;H15),IF(I15="","","• "&amp;I15))</f>
        <v/>
      </c>
      <c r="K15" s="4" t="n"/>
      <c r="L15" s="4" t="n"/>
      <c r="M15" s="4" t="n"/>
      <c r="N15" s="16" t="n"/>
      <c r="O15" s="4" t="n"/>
      <c r="P15" s="16" t="n"/>
      <c r="Q15" s="4" t="n"/>
      <c r="R15" s="16" t="n"/>
      <c r="S15" s="20">
        <f>IF(OR(N15="",P15="",R15=""),"",(--TRIM(LEFT(N15,2)))*(--TRIM(LEFT(P15,2)))*(--TRIM(LEFT(R15,2))))</f>
        <v/>
      </c>
      <c r="T15" s="20">
        <f>IF(OR(N15="",P15="",R15=""),"",INDEX(APGrid,COUNTIF(APS,"&gt;"&amp;(--TRIM(LEFT(N15,2))))*5+COUNTIF(APO,"&gt;"&amp;(--TRIM(LEFT(P15,2))))+1,COUNTIF(APD,"&gt;"&amp;(--TRIM(LEFT(R15,2))))+1))</f>
        <v/>
      </c>
      <c r="U15" s="20">
        <f>IF(S15="","",IF(OR((--TRIM(LEFT(N15,2)))&gt;=SThr,S15&gt;=RPNThr,T15="H"),"Yes","No"))</f>
        <v/>
      </c>
      <c r="V15" s="4" t="n"/>
      <c r="W15" s="4" t="n"/>
      <c r="X15" s="4" t="n"/>
      <c r="Y15" s="29" t="n"/>
      <c r="Z15" s="16" t="n"/>
      <c r="AA15" s="16" t="n"/>
      <c r="AB15" s="16" t="n"/>
      <c r="AC15" s="20">
        <f>IF(OR(Z15="",AA15="",AB15=""),"",(--TRIM(LEFT(Z15,2)))*(--TRIM(LEFT(AA15,2)))*(--TRIM(LEFT(AB15,2))))</f>
        <v/>
      </c>
      <c r="AD15" s="20">
        <f>IF(OR(Z15="",AA15="",AB15=""),"",INDEX(APGrid,COUNTIF(APS,"&gt;"&amp;(--TRIM(LEFT(Z15,2))))*5+COUNTIF(APO,"&gt;"&amp;(--TRIM(LEFT(AA15,2))))+1,COUNTIF(APD,"&gt;"&amp;(--TRIM(LEFT(AB15,2))))+1))</f>
        <v/>
      </c>
      <c r="AE15" s="4" t="n"/>
      <c r="AF15" s="4" t="n"/>
      <c r="AH15">
        <f>IFERROR(INDEX(EqTag,_xlfn.AGGREGATE(15,6,(ROW(EqTag)-4)/((EqSys=$D$3)*(EqTag&lt;&gt;"")),ROWS($AH$14:AH15))),"")</f>
        <v/>
      </c>
    </row>
    <row r="16">
      <c r="A16" s="20">
        <f>IF(F16="","",LEFT($D$3,3)&amp;"-"&amp;TEXT(COUNTIF(F$14:F16,"?*"),"00"))</f>
        <v/>
      </c>
      <c r="B16" s="4" t="n"/>
      <c r="C16" s="5">
        <f>IF(B16="","",IFERROR(INDEX(EqTypeCol,MATCH(B16,EqTag,0)),"Tag not in register"))</f>
        <v/>
      </c>
      <c r="D16" s="4" t="n"/>
      <c r="E16" s="4" t="n"/>
      <c r="F16" s="4" t="n"/>
      <c r="G16" s="4" t="n"/>
      <c r="H16" s="4" t="n"/>
      <c r="I16" s="4" t="n"/>
      <c r="J16" s="5">
        <f>_xlfn.TEXTJOIN(CHAR(10),TRUE,IF(G16="","","• "&amp;G16),IF(H16="","","• "&amp;H16),IF(I16="","","• "&amp;I16))</f>
        <v/>
      </c>
      <c r="K16" s="4" t="n"/>
      <c r="L16" s="4" t="n"/>
      <c r="M16" s="4" t="n"/>
      <c r="N16" s="16" t="n"/>
      <c r="O16" s="4" t="n"/>
      <c r="P16" s="16" t="n"/>
      <c r="Q16" s="4" t="n"/>
      <c r="R16" s="16" t="n"/>
      <c r="S16" s="20">
        <f>IF(OR(N16="",P16="",R16=""),"",(--TRIM(LEFT(N16,2)))*(--TRIM(LEFT(P16,2)))*(--TRIM(LEFT(R16,2))))</f>
        <v/>
      </c>
      <c r="T16" s="20">
        <f>IF(OR(N16="",P16="",R16=""),"",INDEX(APGrid,COUNTIF(APS,"&gt;"&amp;(--TRIM(LEFT(N16,2))))*5+COUNTIF(APO,"&gt;"&amp;(--TRIM(LEFT(P16,2))))+1,COUNTIF(APD,"&gt;"&amp;(--TRIM(LEFT(R16,2))))+1))</f>
        <v/>
      </c>
      <c r="U16" s="20">
        <f>IF(S16="","",IF(OR((--TRIM(LEFT(N16,2)))&gt;=SThr,S16&gt;=RPNThr,T16="H"),"Yes","No"))</f>
        <v/>
      </c>
      <c r="V16" s="4" t="n"/>
      <c r="W16" s="4" t="n"/>
      <c r="X16" s="4" t="n"/>
      <c r="Y16" s="29" t="n"/>
      <c r="Z16" s="16" t="n"/>
      <c r="AA16" s="16" t="n"/>
      <c r="AB16" s="16" t="n"/>
      <c r="AC16" s="20">
        <f>IF(OR(Z16="",AA16="",AB16=""),"",(--TRIM(LEFT(Z16,2)))*(--TRIM(LEFT(AA16,2)))*(--TRIM(LEFT(AB16,2))))</f>
        <v/>
      </c>
      <c r="AD16" s="20">
        <f>IF(OR(Z16="",AA16="",AB16=""),"",INDEX(APGrid,COUNTIF(APS,"&gt;"&amp;(--TRIM(LEFT(Z16,2))))*5+COUNTIF(APO,"&gt;"&amp;(--TRIM(LEFT(AA16,2))))+1,COUNTIF(APD,"&gt;"&amp;(--TRIM(LEFT(AB16,2))))+1))</f>
        <v/>
      </c>
      <c r="AE16" s="4" t="n"/>
      <c r="AF16" s="4" t="n"/>
      <c r="AH16">
        <f>IFERROR(INDEX(EqTag,_xlfn.AGGREGATE(15,6,(ROW(EqTag)-4)/((EqSys=$D$3)*(EqTag&lt;&gt;"")),ROWS($AH$14:AH16))),"")</f>
        <v/>
      </c>
    </row>
    <row r="17">
      <c r="A17" s="20">
        <f>IF(F17="","",LEFT($D$3,3)&amp;"-"&amp;TEXT(COUNTIF(F$14:F17,"?*"),"00"))</f>
        <v/>
      </c>
      <c r="B17" s="4" t="n"/>
      <c r="C17" s="5">
        <f>IF(B17="","",IFERROR(INDEX(EqTypeCol,MATCH(B17,EqTag,0)),"Tag not in register"))</f>
        <v/>
      </c>
      <c r="D17" s="4" t="n"/>
      <c r="E17" s="4" t="n"/>
      <c r="F17" s="4" t="n"/>
      <c r="G17" s="4" t="n"/>
      <c r="H17" s="4" t="n"/>
      <c r="I17" s="4" t="n"/>
      <c r="J17" s="5">
        <f>_xlfn.TEXTJOIN(CHAR(10),TRUE,IF(G17="","","• "&amp;G17),IF(H17="","","• "&amp;H17),IF(I17="","","• "&amp;I17))</f>
        <v/>
      </c>
      <c r="K17" s="4" t="n"/>
      <c r="L17" s="4" t="n"/>
      <c r="M17" s="4" t="n"/>
      <c r="N17" s="16" t="n"/>
      <c r="O17" s="4" t="n"/>
      <c r="P17" s="16" t="n"/>
      <c r="Q17" s="4" t="n"/>
      <c r="R17" s="16" t="n"/>
      <c r="S17" s="20">
        <f>IF(OR(N17="",P17="",R17=""),"",(--TRIM(LEFT(N17,2)))*(--TRIM(LEFT(P17,2)))*(--TRIM(LEFT(R17,2))))</f>
        <v/>
      </c>
      <c r="T17" s="20">
        <f>IF(OR(N17="",P17="",R17=""),"",INDEX(APGrid,COUNTIF(APS,"&gt;"&amp;(--TRIM(LEFT(N17,2))))*5+COUNTIF(APO,"&gt;"&amp;(--TRIM(LEFT(P17,2))))+1,COUNTIF(APD,"&gt;"&amp;(--TRIM(LEFT(R17,2))))+1))</f>
        <v/>
      </c>
      <c r="U17" s="20">
        <f>IF(S17="","",IF(OR((--TRIM(LEFT(N17,2)))&gt;=SThr,S17&gt;=RPNThr,T17="H"),"Yes","No"))</f>
        <v/>
      </c>
      <c r="V17" s="4" t="n"/>
      <c r="W17" s="4" t="n"/>
      <c r="X17" s="4" t="n"/>
      <c r="Y17" s="29" t="n"/>
      <c r="Z17" s="16" t="n"/>
      <c r="AA17" s="16" t="n"/>
      <c r="AB17" s="16" t="n"/>
      <c r="AC17" s="20">
        <f>IF(OR(Z17="",AA17="",AB17=""),"",(--TRIM(LEFT(Z17,2)))*(--TRIM(LEFT(AA17,2)))*(--TRIM(LEFT(AB17,2))))</f>
        <v/>
      </c>
      <c r="AD17" s="20">
        <f>IF(OR(Z17="",AA17="",AB17=""),"",INDEX(APGrid,COUNTIF(APS,"&gt;"&amp;(--TRIM(LEFT(Z17,2))))*5+COUNTIF(APO,"&gt;"&amp;(--TRIM(LEFT(AA17,2))))+1,COUNTIF(APD,"&gt;"&amp;(--TRIM(LEFT(AB17,2))))+1))</f>
        <v/>
      </c>
      <c r="AE17" s="4" t="n"/>
      <c r="AF17" s="4" t="n"/>
      <c r="AH17">
        <f>IFERROR(INDEX(EqTag,_xlfn.AGGREGATE(15,6,(ROW(EqTag)-4)/((EqSys=$D$3)*(EqTag&lt;&gt;"")),ROWS($AH$14:AH17))),"")</f>
        <v/>
      </c>
    </row>
    <row r="18">
      <c r="A18" s="20">
        <f>IF(F18="","",LEFT($D$3,3)&amp;"-"&amp;TEXT(COUNTIF(F$14:F18,"?*"),"00"))</f>
        <v/>
      </c>
      <c r="B18" s="4" t="n"/>
      <c r="C18" s="5">
        <f>IF(B18="","",IFERROR(INDEX(EqTypeCol,MATCH(B18,EqTag,0)),"Tag not in register"))</f>
        <v/>
      </c>
      <c r="D18" s="4" t="n"/>
      <c r="E18" s="4" t="n"/>
      <c r="F18" s="4" t="n"/>
      <c r="G18" s="4" t="n"/>
      <c r="H18" s="4" t="n"/>
      <c r="I18" s="4" t="n"/>
      <c r="J18" s="5">
        <f>_xlfn.TEXTJOIN(CHAR(10),TRUE,IF(G18="","","• "&amp;G18),IF(H18="","","• "&amp;H18),IF(I18="","","• "&amp;I18))</f>
        <v/>
      </c>
      <c r="K18" s="4" t="n"/>
      <c r="L18" s="4" t="n"/>
      <c r="M18" s="4" t="n"/>
      <c r="N18" s="16" t="n"/>
      <c r="O18" s="4" t="n"/>
      <c r="P18" s="16" t="n"/>
      <c r="Q18" s="4" t="n"/>
      <c r="R18" s="16" t="n"/>
      <c r="S18" s="20">
        <f>IF(OR(N18="",P18="",R18=""),"",(--TRIM(LEFT(N18,2)))*(--TRIM(LEFT(P18,2)))*(--TRIM(LEFT(R18,2))))</f>
        <v/>
      </c>
      <c r="T18" s="20">
        <f>IF(OR(N18="",P18="",R18=""),"",INDEX(APGrid,COUNTIF(APS,"&gt;"&amp;(--TRIM(LEFT(N18,2))))*5+COUNTIF(APO,"&gt;"&amp;(--TRIM(LEFT(P18,2))))+1,COUNTIF(APD,"&gt;"&amp;(--TRIM(LEFT(R18,2))))+1))</f>
        <v/>
      </c>
      <c r="U18" s="20">
        <f>IF(S18="","",IF(OR((--TRIM(LEFT(N18,2)))&gt;=SThr,S18&gt;=RPNThr,T18="H"),"Yes","No"))</f>
        <v/>
      </c>
      <c r="V18" s="4" t="n"/>
      <c r="W18" s="4" t="n"/>
      <c r="X18" s="4" t="n"/>
      <c r="Y18" s="29" t="n"/>
      <c r="Z18" s="16" t="n"/>
      <c r="AA18" s="16" t="n"/>
      <c r="AB18" s="16" t="n"/>
      <c r="AC18" s="20">
        <f>IF(OR(Z18="",AA18="",AB18=""),"",(--TRIM(LEFT(Z18,2)))*(--TRIM(LEFT(AA18,2)))*(--TRIM(LEFT(AB18,2))))</f>
        <v/>
      </c>
      <c r="AD18" s="20">
        <f>IF(OR(Z18="",AA18="",AB18=""),"",INDEX(APGrid,COUNTIF(APS,"&gt;"&amp;(--TRIM(LEFT(Z18,2))))*5+COUNTIF(APO,"&gt;"&amp;(--TRIM(LEFT(AA18,2))))+1,COUNTIF(APD,"&gt;"&amp;(--TRIM(LEFT(AB18,2))))+1))</f>
        <v/>
      </c>
      <c r="AE18" s="4" t="n"/>
      <c r="AF18" s="4" t="n"/>
      <c r="AH18">
        <f>IFERROR(INDEX(EqTag,_xlfn.AGGREGATE(15,6,(ROW(EqTag)-4)/((EqSys=$D$3)*(EqTag&lt;&gt;"")),ROWS($AH$14:AH18))),"")</f>
        <v/>
      </c>
    </row>
    <row r="19">
      <c r="A19" s="20">
        <f>IF(F19="","",LEFT($D$3,3)&amp;"-"&amp;TEXT(COUNTIF(F$14:F19,"?*"),"00"))</f>
        <v/>
      </c>
      <c r="B19" s="4" t="n"/>
      <c r="C19" s="5">
        <f>IF(B19="","",IFERROR(INDEX(EqTypeCol,MATCH(B19,EqTag,0)),"Tag not in register"))</f>
        <v/>
      </c>
      <c r="D19" s="4" t="n"/>
      <c r="E19" s="4" t="n"/>
      <c r="F19" s="4" t="n"/>
      <c r="G19" s="4" t="n"/>
      <c r="H19" s="4" t="n"/>
      <c r="I19" s="4" t="n"/>
      <c r="J19" s="5">
        <f>_xlfn.TEXTJOIN(CHAR(10),TRUE,IF(G19="","","• "&amp;G19),IF(H19="","","• "&amp;H19),IF(I19="","","• "&amp;I19))</f>
        <v/>
      </c>
      <c r="K19" s="4" t="n"/>
      <c r="L19" s="4" t="n"/>
      <c r="M19" s="4" t="n"/>
      <c r="N19" s="16" t="n"/>
      <c r="O19" s="4" t="n"/>
      <c r="P19" s="16" t="n"/>
      <c r="Q19" s="4" t="n"/>
      <c r="R19" s="16" t="n"/>
      <c r="S19" s="20">
        <f>IF(OR(N19="",P19="",R19=""),"",(--TRIM(LEFT(N19,2)))*(--TRIM(LEFT(P19,2)))*(--TRIM(LEFT(R19,2))))</f>
        <v/>
      </c>
      <c r="T19" s="20">
        <f>IF(OR(N19="",P19="",R19=""),"",INDEX(APGrid,COUNTIF(APS,"&gt;"&amp;(--TRIM(LEFT(N19,2))))*5+COUNTIF(APO,"&gt;"&amp;(--TRIM(LEFT(P19,2))))+1,COUNTIF(APD,"&gt;"&amp;(--TRIM(LEFT(R19,2))))+1))</f>
        <v/>
      </c>
      <c r="U19" s="20">
        <f>IF(S19="","",IF(OR((--TRIM(LEFT(N19,2)))&gt;=SThr,S19&gt;=RPNThr,T19="H"),"Yes","No"))</f>
        <v/>
      </c>
      <c r="V19" s="4" t="n"/>
      <c r="W19" s="4" t="n"/>
      <c r="X19" s="4" t="n"/>
      <c r="Y19" s="29" t="n"/>
      <c r="Z19" s="16" t="n"/>
      <c r="AA19" s="16" t="n"/>
      <c r="AB19" s="16" t="n"/>
      <c r="AC19" s="20">
        <f>IF(OR(Z19="",AA19="",AB19=""),"",(--TRIM(LEFT(Z19,2)))*(--TRIM(LEFT(AA19,2)))*(--TRIM(LEFT(AB19,2))))</f>
        <v/>
      </c>
      <c r="AD19" s="20">
        <f>IF(OR(Z19="",AA19="",AB19=""),"",INDEX(APGrid,COUNTIF(APS,"&gt;"&amp;(--TRIM(LEFT(Z19,2))))*5+COUNTIF(APO,"&gt;"&amp;(--TRIM(LEFT(AA19,2))))+1,COUNTIF(APD,"&gt;"&amp;(--TRIM(LEFT(AB19,2))))+1))</f>
        <v/>
      </c>
      <c r="AE19" s="4" t="n"/>
      <c r="AF19" s="4" t="n"/>
      <c r="AH19">
        <f>IFERROR(INDEX(EqTag,_xlfn.AGGREGATE(15,6,(ROW(EqTag)-4)/((EqSys=$D$3)*(EqTag&lt;&gt;"")),ROWS($AH$14:AH19))),"")</f>
        <v/>
      </c>
    </row>
    <row r="20">
      <c r="A20" s="20">
        <f>IF(F20="","",LEFT($D$3,3)&amp;"-"&amp;TEXT(COUNTIF(F$14:F20,"?*"),"00"))</f>
        <v/>
      </c>
      <c r="B20" s="4" t="n"/>
      <c r="C20" s="5">
        <f>IF(B20="","",IFERROR(INDEX(EqTypeCol,MATCH(B20,EqTag,0)),"Tag not in register"))</f>
        <v/>
      </c>
      <c r="D20" s="4" t="n"/>
      <c r="E20" s="4" t="n"/>
      <c r="F20" s="4" t="n"/>
      <c r="G20" s="4" t="n"/>
      <c r="H20" s="4" t="n"/>
      <c r="I20" s="4" t="n"/>
      <c r="J20" s="5">
        <f>_xlfn.TEXTJOIN(CHAR(10),TRUE,IF(G20="","","• "&amp;G20),IF(H20="","","• "&amp;H20),IF(I20="","","• "&amp;I20))</f>
        <v/>
      </c>
      <c r="K20" s="4" t="n"/>
      <c r="L20" s="4" t="n"/>
      <c r="M20" s="4" t="n"/>
      <c r="N20" s="16" t="n"/>
      <c r="O20" s="4" t="n"/>
      <c r="P20" s="16" t="n"/>
      <c r="Q20" s="4" t="n"/>
      <c r="R20" s="16" t="n"/>
      <c r="S20" s="20">
        <f>IF(OR(N20="",P20="",R20=""),"",(--TRIM(LEFT(N20,2)))*(--TRIM(LEFT(P20,2)))*(--TRIM(LEFT(R20,2))))</f>
        <v/>
      </c>
      <c r="T20" s="20">
        <f>IF(OR(N20="",P20="",R20=""),"",INDEX(APGrid,COUNTIF(APS,"&gt;"&amp;(--TRIM(LEFT(N20,2))))*5+COUNTIF(APO,"&gt;"&amp;(--TRIM(LEFT(P20,2))))+1,COUNTIF(APD,"&gt;"&amp;(--TRIM(LEFT(R20,2))))+1))</f>
        <v/>
      </c>
      <c r="U20" s="20">
        <f>IF(S20="","",IF(OR((--TRIM(LEFT(N20,2)))&gt;=SThr,S20&gt;=RPNThr,T20="H"),"Yes","No"))</f>
        <v/>
      </c>
      <c r="V20" s="4" t="n"/>
      <c r="W20" s="4" t="n"/>
      <c r="X20" s="4" t="n"/>
      <c r="Y20" s="29" t="n"/>
      <c r="Z20" s="16" t="n"/>
      <c r="AA20" s="16" t="n"/>
      <c r="AB20" s="16" t="n"/>
      <c r="AC20" s="20">
        <f>IF(OR(Z20="",AA20="",AB20=""),"",(--TRIM(LEFT(Z20,2)))*(--TRIM(LEFT(AA20,2)))*(--TRIM(LEFT(AB20,2))))</f>
        <v/>
      </c>
      <c r="AD20" s="20">
        <f>IF(OR(Z20="",AA20="",AB20=""),"",INDEX(APGrid,COUNTIF(APS,"&gt;"&amp;(--TRIM(LEFT(Z20,2))))*5+COUNTIF(APO,"&gt;"&amp;(--TRIM(LEFT(AA20,2))))+1,COUNTIF(APD,"&gt;"&amp;(--TRIM(LEFT(AB20,2))))+1))</f>
        <v/>
      </c>
      <c r="AE20" s="4" t="n"/>
      <c r="AF20" s="4" t="n"/>
      <c r="AH20">
        <f>IFERROR(INDEX(EqTag,_xlfn.AGGREGATE(15,6,(ROW(EqTag)-4)/((EqSys=$D$3)*(EqTag&lt;&gt;"")),ROWS($AH$14:AH20))),"")</f>
        <v/>
      </c>
    </row>
    <row r="21">
      <c r="A21" s="20">
        <f>IF(F21="","",LEFT($D$3,3)&amp;"-"&amp;TEXT(COUNTIF(F$14:F21,"?*"),"00"))</f>
        <v/>
      </c>
      <c r="B21" s="4" t="n"/>
      <c r="C21" s="5">
        <f>IF(B21="","",IFERROR(INDEX(EqTypeCol,MATCH(B21,EqTag,0)),"Tag not in register"))</f>
        <v/>
      </c>
      <c r="D21" s="4" t="n"/>
      <c r="E21" s="4" t="n"/>
      <c r="F21" s="4" t="n"/>
      <c r="G21" s="4" t="n"/>
      <c r="H21" s="4" t="n"/>
      <c r="I21" s="4" t="n"/>
      <c r="J21" s="5">
        <f>_xlfn.TEXTJOIN(CHAR(10),TRUE,IF(G21="","","• "&amp;G21),IF(H21="","","• "&amp;H21),IF(I21="","","• "&amp;I21))</f>
        <v/>
      </c>
      <c r="K21" s="4" t="n"/>
      <c r="L21" s="4" t="n"/>
      <c r="M21" s="4" t="n"/>
      <c r="N21" s="16" t="n"/>
      <c r="O21" s="4" t="n"/>
      <c r="P21" s="16" t="n"/>
      <c r="Q21" s="4" t="n"/>
      <c r="R21" s="16" t="n"/>
      <c r="S21" s="20">
        <f>IF(OR(N21="",P21="",R21=""),"",(--TRIM(LEFT(N21,2)))*(--TRIM(LEFT(P21,2)))*(--TRIM(LEFT(R21,2))))</f>
        <v/>
      </c>
      <c r="T21" s="20">
        <f>IF(OR(N21="",P21="",R21=""),"",INDEX(APGrid,COUNTIF(APS,"&gt;"&amp;(--TRIM(LEFT(N21,2))))*5+COUNTIF(APO,"&gt;"&amp;(--TRIM(LEFT(P21,2))))+1,COUNTIF(APD,"&gt;"&amp;(--TRIM(LEFT(R21,2))))+1))</f>
        <v/>
      </c>
      <c r="U21" s="20">
        <f>IF(S21="","",IF(OR((--TRIM(LEFT(N21,2)))&gt;=SThr,S21&gt;=RPNThr,T21="H"),"Yes","No"))</f>
        <v/>
      </c>
      <c r="V21" s="4" t="n"/>
      <c r="W21" s="4" t="n"/>
      <c r="X21" s="4" t="n"/>
      <c r="Y21" s="29" t="n"/>
      <c r="Z21" s="16" t="n"/>
      <c r="AA21" s="16" t="n"/>
      <c r="AB21" s="16" t="n"/>
      <c r="AC21" s="20">
        <f>IF(OR(Z21="",AA21="",AB21=""),"",(--TRIM(LEFT(Z21,2)))*(--TRIM(LEFT(AA21,2)))*(--TRIM(LEFT(AB21,2))))</f>
        <v/>
      </c>
      <c r="AD21" s="20">
        <f>IF(OR(Z21="",AA21="",AB21=""),"",INDEX(APGrid,COUNTIF(APS,"&gt;"&amp;(--TRIM(LEFT(Z21,2))))*5+COUNTIF(APO,"&gt;"&amp;(--TRIM(LEFT(AA21,2))))+1,COUNTIF(APD,"&gt;"&amp;(--TRIM(LEFT(AB21,2))))+1))</f>
        <v/>
      </c>
      <c r="AE21" s="4" t="n"/>
      <c r="AF21" s="4" t="n"/>
      <c r="AH21">
        <f>IFERROR(INDEX(EqTag,_xlfn.AGGREGATE(15,6,(ROW(EqTag)-4)/((EqSys=$D$3)*(EqTag&lt;&gt;"")),ROWS($AH$14:AH21))),"")</f>
        <v/>
      </c>
    </row>
    <row r="22">
      <c r="A22" s="20">
        <f>IF(F22="","",LEFT($D$3,3)&amp;"-"&amp;TEXT(COUNTIF(F$14:F22,"?*"),"00"))</f>
        <v/>
      </c>
      <c r="B22" s="4" t="n"/>
      <c r="C22" s="5">
        <f>IF(B22="","",IFERROR(INDEX(EqTypeCol,MATCH(B22,EqTag,0)),"Tag not in register"))</f>
        <v/>
      </c>
      <c r="D22" s="4" t="n"/>
      <c r="E22" s="4" t="n"/>
      <c r="F22" s="4" t="n"/>
      <c r="G22" s="4" t="n"/>
      <c r="H22" s="4" t="n"/>
      <c r="I22" s="4" t="n"/>
      <c r="J22" s="5">
        <f>_xlfn.TEXTJOIN(CHAR(10),TRUE,IF(G22="","","• "&amp;G22),IF(H22="","","• "&amp;H22),IF(I22="","","• "&amp;I22))</f>
        <v/>
      </c>
      <c r="K22" s="4" t="n"/>
      <c r="L22" s="4" t="n"/>
      <c r="M22" s="4" t="n"/>
      <c r="N22" s="16" t="n"/>
      <c r="O22" s="4" t="n"/>
      <c r="P22" s="16" t="n"/>
      <c r="Q22" s="4" t="n"/>
      <c r="R22" s="16" t="n"/>
      <c r="S22" s="20">
        <f>IF(OR(N22="",P22="",R22=""),"",(--TRIM(LEFT(N22,2)))*(--TRIM(LEFT(P22,2)))*(--TRIM(LEFT(R22,2))))</f>
        <v/>
      </c>
      <c r="T22" s="20">
        <f>IF(OR(N22="",P22="",R22=""),"",INDEX(APGrid,COUNTIF(APS,"&gt;"&amp;(--TRIM(LEFT(N22,2))))*5+COUNTIF(APO,"&gt;"&amp;(--TRIM(LEFT(P22,2))))+1,COUNTIF(APD,"&gt;"&amp;(--TRIM(LEFT(R22,2))))+1))</f>
        <v/>
      </c>
      <c r="U22" s="20">
        <f>IF(S22="","",IF(OR((--TRIM(LEFT(N22,2)))&gt;=SThr,S22&gt;=RPNThr,T22="H"),"Yes","No"))</f>
        <v/>
      </c>
      <c r="V22" s="4" t="n"/>
      <c r="W22" s="4" t="n"/>
      <c r="X22" s="4" t="n"/>
      <c r="Y22" s="29" t="n"/>
      <c r="Z22" s="16" t="n"/>
      <c r="AA22" s="16" t="n"/>
      <c r="AB22" s="16" t="n"/>
      <c r="AC22" s="20">
        <f>IF(OR(Z22="",AA22="",AB22=""),"",(--TRIM(LEFT(Z22,2)))*(--TRIM(LEFT(AA22,2)))*(--TRIM(LEFT(AB22,2))))</f>
        <v/>
      </c>
      <c r="AD22" s="20">
        <f>IF(OR(Z22="",AA22="",AB22=""),"",INDEX(APGrid,COUNTIF(APS,"&gt;"&amp;(--TRIM(LEFT(Z22,2))))*5+COUNTIF(APO,"&gt;"&amp;(--TRIM(LEFT(AA22,2))))+1,COUNTIF(APD,"&gt;"&amp;(--TRIM(LEFT(AB22,2))))+1))</f>
        <v/>
      </c>
      <c r="AE22" s="4" t="n"/>
      <c r="AF22" s="4" t="n"/>
      <c r="AH22">
        <f>IFERROR(INDEX(EqTag,_xlfn.AGGREGATE(15,6,(ROW(EqTag)-4)/((EqSys=$D$3)*(EqTag&lt;&gt;"")),ROWS($AH$14:AH22))),"")</f>
        <v/>
      </c>
    </row>
    <row r="23">
      <c r="A23" s="20">
        <f>IF(F23="","",LEFT($D$3,3)&amp;"-"&amp;TEXT(COUNTIF(F$14:F23,"?*"),"00"))</f>
        <v/>
      </c>
      <c r="B23" s="4" t="n"/>
      <c r="C23" s="5">
        <f>IF(B23="","",IFERROR(INDEX(EqTypeCol,MATCH(B23,EqTag,0)),"Tag not in register"))</f>
        <v/>
      </c>
      <c r="D23" s="4" t="n"/>
      <c r="E23" s="4" t="n"/>
      <c r="F23" s="4" t="n"/>
      <c r="G23" s="4" t="n"/>
      <c r="H23" s="4" t="n"/>
      <c r="I23" s="4" t="n"/>
      <c r="J23" s="5">
        <f>_xlfn.TEXTJOIN(CHAR(10),TRUE,IF(G23="","","• "&amp;G23),IF(H23="","","• "&amp;H23),IF(I23="","","• "&amp;I23))</f>
        <v/>
      </c>
      <c r="K23" s="4" t="n"/>
      <c r="L23" s="4" t="n"/>
      <c r="M23" s="4" t="n"/>
      <c r="N23" s="16" t="n"/>
      <c r="O23" s="4" t="n"/>
      <c r="P23" s="16" t="n"/>
      <c r="Q23" s="4" t="n"/>
      <c r="R23" s="16" t="n"/>
      <c r="S23" s="20">
        <f>IF(OR(N23="",P23="",R23=""),"",(--TRIM(LEFT(N23,2)))*(--TRIM(LEFT(P23,2)))*(--TRIM(LEFT(R23,2))))</f>
        <v/>
      </c>
      <c r="T23" s="20">
        <f>IF(OR(N23="",P23="",R23=""),"",INDEX(APGrid,COUNTIF(APS,"&gt;"&amp;(--TRIM(LEFT(N23,2))))*5+COUNTIF(APO,"&gt;"&amp;(--TRIM(LEFT(P23,2))))+1,COUNTIF(APD,"&gt;"&amp;(--TRIM(LEFT(R23,2))))+1))</f>
        <v/>
      </c>
      <c r="U23" s="20">
        <f>IF(S23="","",IF(OR((--TRIM(LEFT(N23,2)))&gt;=SThr,S23&gt;=RPNThr,T23="H"),"Yes","No"))</f>
        <v/>
      </c>
      <c r="V23" s="4" t="n"/>
      <c r="W23" s="4" t="n"/>
      <c r="X23" s="4" t="n"/>
      <c r="Y23" s="29" t="n"/>
      <c r="Z23" s="16" t="n"/>
      <c r="AA23" s="16" t="n"/>
      <c r="AB23" s="16" t="n"/>
      <c r="AC23" s="20">
        <f>IF(OR(Z23="",AA23="",AB23=""),"",(--TRIM(LEFT(Z23,2)))*(--TRIM(LEFT(AA23,2)))*(--TRIM(LEFT(AB23,2))))</f>
        <v/>
      </c>
      <c r="AD23" s="20">
        <f>IF(OR(Z23="",AA23="",AB23=""),"",INDEX(APGrid,COUNTIF(APS,"&gt;"&amp;(--TRIM(LEFT(Z23,2))))*5+COUNTIF(APO,"&gt;"&amp;(--TRIM(LEFT(AA23,2))))+1,COUNTIF(APD,"&gt;"&amp;(--TRIM(LEFT(AB23,2))))+1))</f>
        <v/>
      </c>
      <c r="AE23" s="4" t="n"/>
      <c r="AF23" s="4" t="n"/>
      <c r="AH23">
        <f>IFERROR(INDEX(EqTag,_xlfn.AGGREGATE(15,6,(ROW(EqTag)-4)/((EqSys=$D$3)*(EqTag&lt;&gt;"")),ROWS($AH$14:AH23))),"")</f>
        <v/>
      </c>
    </row>
    <row r="24">
      <c r="A24" s="20">
        <f>IF(F24="","",LEFT($D$3,3)&amp;"-"&amp;TEXT(COUNTIF(F$14:F24,"?*"),"00"))</f>
        <v/>
      </c>
      <c r="B24" s="4" t="n"/>
      <c r="C24" s="5">
        <f>IF(B24="","",IFERROR(INDEX(EqTypeCol,MATCH(B24,EqTag,0)),"Tag not in register"))</f>
        <v/>
      </c>
      <c r="D24" s="4" t="n"/>
      <c r="E24" s="4" t="n"/>
      <c r="F24" s="4" t="n"/>
      <c r="G24" s="4" t="n"/>
      <c r="H24" s="4" t="n"/>
      <c r="I24" s="4" t="n"/>
      <c r="J24" s="5">
        <f>_xlfn.TEXTJOIN(CHAR(10),TRUE,IF(G24="","","• "&amp;G24),IF(H24="","","• "&amp;H24),IF(I24="","","• "&amp;I24))</f>
        <v/>
      </c>
      <c r="K24" s="4" t="n"/>
      <c r="L24" s="4" t="n"/>
      <c r="M24" s="4" t="n"/>
      <c r="N24" s="16" t="n"/>
      <c r="O24" s="4" t="n"/>
      <c r="P24" s="16" t="n"/>
      <c r="Q24" s="4" t="n"/>
      <c r="R24" s="16" t="n"/>
      <c r="S24" s="20">
        <f>IF(OR(N24="",P24="",R24=""),"",(--TRIM(LEFT(N24,2)))*(--TRIM(LEFT(P24,2)))*(--TRIM(LEFT(R24,2))))</f>
        <v/>
      </c>
      <c r="T24" s="20">
        <f>IF(OR(N24="",P24="",R24=""),"",INDEX(APGrid,COUNTIF(APS,"&gt;"&amp;(--TRIM(LEFT(N24,2))))*5+COUNTIF(APO,"&gt;"&amp;(--TRIM(LEFT(P24,2))))+1,COUNTIF(APD,"&gt;"&amp;(--TRIM(LEFT(R24,2))))+1))</f>
        <v/>
      </c>
      <c r="U24" s="20">
        <f>IF(S24="","",IF(OR((--TRIM(LEFT(N24,2)))&gt;=SThr,S24&gt;=RPNThr,T24="H"),"Yes","No"))</f>
        <v/>
      </c>
      <c r="V24" s="4" t="n"/>
      <c r="W24" s="4" t="n"/>
      <c r="X24" s="4" t="n"/>
      <c r="Y24" s="29" t="n"/>
      <c r="Z24" s="16" t="n"/>
      <c r="AA24" s="16" t="n"/>
      <c r="AB24" s="16" t="n"/>
      <c r="AC24" s="20">
        <f>IF(OR(Z24="",AA24="",AB24=""),"",(--TRIM(LEFT(Z24,2)))*(--TRIM(LEFT(AA24,2)))*(--TRIM(LEFT(AB24,2))))</f>
        <v/>
      </c>
      <c r="AD24" s="20">
        <f>IF(OR(Z24="",AA24="",AB24=""),"",INDEX(APGrid,COUNTIF(APS,"&gt;"&amp;(--TRIM(LEFT(Z24,2))))*5+COUNTIF(APO,"&gt;"&amp;(--TRIM(LEFT(AA24,2))))+1,COUNTIF(APD,"&gt;"&amp;(--TRIM(LEFT(AB24,2))))+1))</f>
        <v/>
      </c>
      <c r="AE24" s="4" t="n"/>
      <c r="AF24" s="4" t="n"/>
      <c r="AH24">
        <f>IFERROR(INDEX(EqTag,_xlfn.AGGREGATE(15,6,(ROW(EqTag)-4)/((EqSys=$D$3)*(EqTag&lt;&gt;"")),ROWS($AH$14:AH24))),"")</f>
        <v/>
      </c>
    </row>
    <row r="25">
      <c r="A25" s="20">
        <f>IF(F25="","",LEFT($D$3,3)&amp;"-"&amp;TEXT(COUNTIF(F$14:F25,"?*"),"00"))</f>
        <v/>
      </c>
      <c r="B25" s="4" t="n"/>
      <c r="C25" s="5">
        <f>IF(B25="","",IFERROR(INDEX(EqTypeCol,MATCH(B25,EqTag,0)),"Tag not in register"))</f>
        <v/>
      </c>
      <c r="D25" s="4" t="n"/>
      <c r="E25" s="4" t="n"/>
      <c r="F25" s="4" t="n"/>
      <c r="G25" s="4" t="n"/>
      <c r="H25" s="4" t="n"/>
      <c r="I25" s="4" t="n"/>
      <c r="J25" s="5">
        <f>_xlfn.TEXTJOIN(CHAR(10),TRUE,IF(G25="","","• "&amp;G25),IF(H25="","","• "&amp;H25),IF(I25="","","• "&amp;I25))</f>
        <v/>
      </c>
      <c r="K25" s="4" t="n"/>
      <c r="L25" s="4" t="n"/>
      <c r="M25" s="4" t="n"/>
      <c r="N25" s="16" t="n"/>
      <c r="O25" s="4" t="n"/>
      <c r="P25" s="16" t="n"/>
      <c r="Q25" s="4" t="n"/>
      <c r="R25" s="16" t="n"/>
      <c r="S25" s="20">
        <f>IF(OR(N25="",P25="",R25=""),"",(--TRIM(LEFT(N25,2)))*(--TRIM(LEFT(P25,2)))*(--TRIM(LEFT(R25,2))))</f>
        <v/>
      </c>
      <c r="T25" s="20">
        <f>IF(OR(N25="",P25="",R25=""),"",INDEX(APGrid,COUNTIF(APS,"&gt;"&amp;(--TRIM(LEFT(N25,2))))*5+COUNTIF(APO,"&gt;"&amp;(--TRIM(LEFT(P25,2))))+1,COUNTIF(APD,"&gt;"&amp;(--TRIM(LEFT(R25,2))))+1))</f>
        <v/>
      </c>
      <c r="U25" s="20">
        <f>IF(S25="","",IF(OR((--TRIM(LEFT(N25,2)))&gt;=SThr,S25&gt;=RPNThr,T25="H"),"Yes","No"))</f>
        <v/>
      </c>
      <c r="V25" s="4" t="n"/>
      <c r="W25" s="4" t="n"/>
      <c r="X25" s="4" t="n"/>
      <c r="Y25" s="29" t="n"/>
      <c r="Z25" s="16" t="n"/>
      <c r="AA25" s="16" t="n"/>
      <c r="AB25" s="16" t="n"/>
      <c r="AC25" s="20">
        <f>IF(OR(Z25="",AA25="",AB25=""),"",(--TRIM(LEFT(Z25,2)))*(--TRIM(LEFT(AA25,2)))*(--TRIM(LEFT(AB25,2))))</f>
        <v/>
      </c>
      <c r="AD25" s="20">
        <f>IF(OR(Z25="",AA25="",AB25=""),"",INDEX(APGrid,COUNTIF(APS,"&gt;"&amp;(--TRIM(LEFT(Z25,2))))*5+COUNTIF(APO,"&gt;"&amp;(--TRIM(LEFT(AA25,2))))+1,COUNTIF(APD,"&gt;"&amp;(--TRIM(LEFT(AB25,2))))+1))</f>
        <v/>
      </c>
      <c r="AE25" s="4" t="n"/>
      <c r="AF25" s="4" t="n"/>
      <c r="AH25">
        <f>IFERROR(INDEX(EqTag,_xlfn.AGGREGATE(15,6,(ROW(EqTag)-4)/((EqSys=$D$3)*(EqTag&lt;&gt;"")),ROWS($AH$14:AH25))),"")</f>
        <v/>
      </c>
    </row>
    <row r="26">
      <c r="A26" s="20">
        <f>IF(F26="","",LEFT($D$3,3)&amp;"-"&amp;TEXT(COUNTIF(F$14:F26,"?*"),"00"))</f>
        <v/>
      </c>
      <c r="B26" s="4" t="n"/>
      <c r="C26" s="5">
        <f>IF(B26="","",IFERROR(INDEX(EqTypeCol,MATCH(B26,EqTag,0)),"Tag not in register"))</f>
        <v/>
      </c>
      <c r="D26" s="4" t="n"/>
      <c r="E26" s="4" t="n"/>
      <c r="F26" s="4" t="n"/>
      <c r="G26" s="4" t="n"/>
      <c r="H26" s="4" t="n"/>
      <c r="I26" s="4" t="n"/>
      <c r="J26" s="5">
        <f>_xlfn.TEXTJOIN(CHAR(10),TRUE,IF(G26="","","• "&amp;G26),IF(H26="","","• "&amp;H26),IF(I26="","","• "&amp;I26))</f>
        <v/>
      </c>
      <c r="K26" s="4" t="n"/>
      <c r="L26" s="4" t="n"/>
      <c r="M26" s="4" t="n"/>
      <c r="N26" s="16" t="n"/>
      <c r="O26" s="4" t="n"/>
      <c r="P26" s="16" t="n"/>
      <c r="Q26" s="4" t="n"/>
      <c r="R26" s="16" t="n"/>
      <c r="S26" s="20">
        <f>IF(OR(N26="",P26="",R26=""),"",(--TRIM(LEFT(N26,2)))*(--TRIM(LEFT(P26,2)))*(--TRIM(LEFT(R26,2))))</f>
        <v/>
      </c>
      <c r="T26" s="20">
        <f>IF(OR(N26="",P26="",R26=""),"",INDEX(APGrid,COUNTIF(APS,"&gt;"&amp;(--TRIM(LEFT(N26,2))))*5+COUNTIF(APO,"&gt;"&amp;(--TRIM(LEFT(P26,2))))+1,COUNTIF(APD,"&gt;"&amp;(--TRIM(LEFT(R26,2))))+1))</f>
        <v/>
      </c>
      <c r="U26" s="20">
        <f>IF(S26="","",IF(OR((--TRIM(LEFT(N26,2)))&gt;=SThr,S26&gt;=RPNThr,T26="H"),"Yes","No"))</f>
        <v/>
      </c>
      <c r="V26" s="4" t="n"/>
      <c r="W26" s="4" t="n"/>
      <c r="X26" s="4" t="n"/>
      <c r="Y26" s="29" t="n"/>
      <c r="Z26" s="16" t="n"/>
      <c r="AA26" s="16" t="n"/>
      <c r="AB26" s="16" t="n"/>
      <c r="AC26" s="20">
        <f>IF(OR(Z26="",AA26="",AB26=""),"",(--TRIM(LEFT(Z26,2)))*(--TRIM(LEFT(AA26,2)))*(--TRIM(LEFT(AB26,2))))</f>
        <v/>
      </c>
      <c r="AD26" s="20">
        <f>IF(OR(Z26="",AA26="",AB26=""),"",INDEX(APGrid,COUNTIF(APS,"&gt;"&amp;(--TRIM(LEFT(Z26,2))))*5+COUNTIF(APO,"&gt;"&amp;(--TRIM(LEFT(AA26,2))))+1,COUNTIF(APD,"&gt;"&amp;(--TRIM(LEFT(AB26,2))))+1))</f>
        <v/>
      </c>
      <c r="AE26" s="4" t="n"/>
      <c r="AF26" s="4" t="n"/>
      <c r="AH26">
        <f>IFERROR(INDEX(EqTag,_xlfn.AGGREGATE(15,6,(ROW(EqTag)-4)/((EqSys=$D$3)*(EqTag&lt;&gt;"")),ROWS($AH$14:AH26))),"")</f>
        <v/>
      </c>
    </row>
    <row r="27">
      <c r="A27" s="20">
        <f>IF(F27="","",LEFT($D$3,3)&amp;"-"&amp;TEXT(COUNTIF(F$14:F27,"?*"),"00"))</f>
        <v/>
      </c>
      <c r="B27" s="4" t="n"/>
      <c r="C27" s="5">
        <f>IF(B27="","",IFERROR(INDEX(EqTypeCol,MATCH(B27,EqTag,0)),"Tag not in register"))</f>
        <v/>
      </c>
      <c r="D27" s="4" t="n"/>
      <c r="E27" s="4" t="n"/>
      <c r="F27" s="4" t="n"/>
      <c r="G27" s="4" t="n"/>
      <c r="H27" s="4" t="n"/>
      <c r="I27" s="4" t="n"/>
      <c r="J27" s="5">
        <f>_xlfn.TEXTJOIN(CHAR(10),TRUE,IF(G27="","","• "&amp;G27),IF(H27="","","• "&amp;H27),IF(I27="","","• "&amp;I27))</f>
        <v/>
      </c>
      <c r="K27" s="4" t="n"/>
      <c r="L27" s="4" t="n"/>
      <c r="M27" s="4" t="n"/>
      <c r="N27" s="16" t="n"/>
      <c r="O27" s="4" t="n"/>
      <c r="P27" s="16" t="n"/>
      <c r="Q27" s="4" t="n"/>
      <c r="R27" s="16" t="n"/>
      <c r="S27" s="20">
        <f>IF(OR(N27="",P27="",R27=""),"",(--TRIM(LEFT(N27,2)))*(--TRIM(LEFT(P27,2)))*(--TRIM(LEFT(R27,2))))</f>
        <v/>
      </c>
      <c r="T27" s="20">
        <f>IF(OR(N27="",P27="",R27=""),"",INDEX(APGrid,COUNTIF(APS,"&gt;"&amp;(--TRIM(LEFT(N27,2))))*5+COUNTIF(APO,"&gt;"&amp;(--TRIM(LEFT(P27,2))))+1,COUNTIF(APD,"&gt;"&amp;(--TRIM(LEFT(R27,2))))+1))</f>
        <v/>
      </c>
      <c r="U27" s="20">
        <f>IF(S27="","",IF(OR((--TRIM(LEFT(N27,2)))&gt;=SThr,S27&gt;=RPNThr,T27="H"),"Yes","No"))</f>
        <v/>
      </c>
      <c r="V27" s="4" t="n"/>
      <c r="W27" s="4" t="n"/>
      <c r="X27" s="4" t="n"/>
      <c r="Y27" s="29" t="n"/>
      <c r="Z27" s="16" t="n"/>
      <c r="AA27" s="16" t="n"/>
      <c r="AB27" s="16" t="n"/>
      <c r="AC27" s="20">
        <f>IF(OR(Z27="",AA27="",AB27=""),"",(--TRIM(LEFT(Z27,2)))*(--TRIM(LEFT(AA27,2)))*(--TRIM(LEFT(AB27,2))))</f>
        <v/>
      </c>
      <c r="AD27" s="20">
        <f>IF(OR(Z27="",AA27="",AB27=""),"",INDEX(APGrid,COUNTIF(APS,"&gt;"&amp;(--TRIM(LEFT(Z27,2))))*5+COUNTIF(APO,"&gt;"&amp;(--TRIM(LEFT(AA27,2))))+1,COUNTIF(APD,"&gt;"&amp;(--TRIM(LEFT(AB27,2))))+1))</f>
        <v/>
      </c>
      <c r="AE27" s="4" t="n"/>
      <c r="AF27" s="4" t="n"/>
      <c r="AH27">
        <f>IFERROR(INDEX(EqTag,_xlfn.AGGREGATE(15,6,(ROW(EqTag)-4)/((EqSys=$D$3)*(EqTag&lt;&gt;"")),ROWS($AH$14:AH27))),"")</f>
        <v/>
      </c>
    </row>
    <row r="28">
      <c r="A28" s="20">
        <f>IF(F28="","",LEFT($D$3,3)&amp;"-"&amp;TEXT(COUNTIF(F$14:F28,"?*"),"00"))</f>
        <v/>
      </c>
      <c r="B28" s="4" t="n"/>
      <c r="C28" s="5">
        <f>IF(B28="","",IFERROR(INDEX(EqTypeCol,MATCH(B28,EqTag,0)),"Tag not in register"))</f>
        <v/>
      </c>
      <c r="D28" s="4" t="n"/>
      <c r="E28" s="4" t="n"/>
      <c r="F28" s="4" t="n"/>
      <c r="G28" s="4" t="n"/>
      <c r="H28" s="4" t="n"/>
      <c r="I28" s="4" t="n"/>
      <c r="J28" s="5">
        <f>_xlfn.TEXTJOIN(CHAR(10),TRUE,IF(G28="","","• "&amp;G28),IF(H28="","","• "&amp;H28),IF(I28="","","• "&amp;I28))</f>
        <v/>
      </c>
      <c r="K28" s="4" t="n"/>
      <c r="L28" s="4" t="n"/>
      <c r="M28" s="4" t="n"/>
      <c r="N28" s="16" t="n"/>
      <c r="O28" s="4" t="n"/>
      <c r="P28" s="16" t="n"/>
      <c r="Q28" s="4" t="n"/>
      <c r="R28" s="16" t="n"/>
      <c r="S28" s="20">
        <f>IF(OR(N28="",P28="",R28=""),"",(--TRIM(LEFT(N28,2)))*(--TRIM(LEFT(P28,2)))*(--TRIM(LEFT(R28,2))))</f>
        <v/>
      </c>
      <c r="T28" s="20">
        <f>IF(OR(N28="",P28="",R28=""),"",INDEX(APGrid,COUNTIF(APS,"&gt;"&amp;(--TRIM(LEFT(N28,2))))*5+COUNTIF(APO,"&gt;"&amp;(--TRIM(LEFT(P28,2))))+1,COUNTIF(APD,"&gt;"&amp;(--TRIM(LEFT(R28,2))))+1))</f>
        <v/>
      </c>
      <c r="U28" s="20">
        <f>IF(S28="","",IF(OR((--TRIM(LEFT(N28,2)))&gt;=SThr,S28&gt;=RPNThr,T28="H"),"Yes","No"))</f>
        <v/>
      </c>
      <c r="V28" s="4" t="n"/>
      <c r="W28" s="4" t="n"/>
      <c r="X28" s="4" t="n"/>
      <c r="Y28" s="29" t="n"/>
      <c r="Z28" s="16" t="n"/>
      <c r="AA28" s="16" t="n"/>
      <c r="AB28" s="16" t="n"/>
      <c r="AC28" s="20">
        <f>IF(OR(Z28="",AA28="",AB28=""),"",(--TRIM(LEFT(Z28,2)))*(--TRIM(LEFT(AA28,2)))*(--TRIM(LEFT(AB28,2))))</f>
        <v/>
      </c>
      <c r="AD28" s="20">
        <f>IF(OR(Z28="",AA28="",AB28=""),"",INDEX(APGrid,COUNTIF(APS,"&gt;"&amp;(--TRIM(LEFT(Z28,2))))*5+COUNTIF(APO,"&gt;"&amp;(--TRIM(LEFT(AA28,2))))+1,COUNTIF(APD,"&gt;"&amp;(--TRIM(LEFT(AB28,2))))+1))</f>
        <v/>
      </c>
      <c r="AE28" s="4" t="n"/>
      <c r="AF28" s="4" t="n"/>
      <c r="AH28">
        <f>IFERROR(INDEX(EqTag,_xlfn.AGGREGATE(15,6,(ROW(EqTag)-4)/((EqSys=$D$3)*(EqTag&lt;&gt;"")),ROWS($AH$14:AH28))),"")</f>
        <v/>
      </c>
    </row>
    <row r="29">
      <c r="A29" s="20">
        <f>IF(F29="","",LEFT($D$3,3)&amp;"-"&amp;TEXT(COUNTIF(F$14:F29,"?*"),"00"))</f>
        <v/>
      </c>
      <c r="B29" s="4" t="n"/>
      <c r="C29" s="5">
        <f>IF(B29="","",IFERROR(INDEX(EqTypeCol,MATCH(B29,EqTag,0)),"Tag not in register"))</f>
        <v/>
      </c>
      <c r="D29" s="4" t="n"/>
      <c r="E29" s="4" t="n"/>
      <c r="F29" s="4" t="n"/>
      <c r="G29" s="4" t="n"/>
      <c r="H29" s="4" t="n"/>
      <c r="I29" s="4" t="n"/>
      <c r="J29" s="5">
        <f>_xlfn.TEXTJOIN(CHAR(10),TRUE,IF(G29="","","• "&amp;G29),IF(H29="","","• "&amp;H29),IF(I29="","","• "&amp;I29))</f>
        <v/>
      </c>
      <c r="K29" s="4" t="n"/>
      <c r="L29" s="4" t="n"/>
      <c r="M29" s="4" t="n"/>
      <c r="N29" s="16" t="n"/>
      <c r="O29" s="4" t="n"/>
      <c r="P29" s="16" t="n"/>
      <c r="Q29" s="4" t="n"/>
      <c r="R29" s="16" t="n"/>
      <c r="S29" s="20">
        <f>IF(OR(N29="",P29="",R29=""),"",(--TRIM(LEFT(N29,2)))*(--TRIM(LEFT(P29,2)))*(--TRIM(LEFT(R29,2))))</f>
        <v/>
      </c>
      <c r="T29" s="20">
        <f>IF(OR(N29="",P29="",R29=""),"",INDEX(APGrid,COUNTIF(APS,"&gt;"&amp;(--TRIM(LEFT(N29,2))))*5+COUNTIF(APO,"&gt;"&amp;(--TRIM(LEFT(P29,2))))+1,COUNTIF(APD,"&gt;"&amp;(--TRIM(LEFT(R29,2))))+1))</f>
        <v/>
      </c>
      <c r="U29" s="20">
        <f>IF(S29="","",IF(OR((--TRIM(LEFT(N29,2)))&gt;=SThr,S29&gt;=RPNThr,T29="H"),"Yes","No"))</f>
        <v/>
      </c>
      <c r="V29" s="4" t="n"/>
      <c r="W29" s="4" t="n"/>
      <c r="X29" s="4" t="n"/>
      <c r="Y29" s="29" t="n"/>
      <c r="Z29" s="16" t="n"/>
      <c r="AA29" s="16" t="n"/>
      <c r="AB29" s="16" t="n"/>
      <c r="AC29" s="20">
        <f>IF(OR(Z29="",AA29="",AB29=""),"",(--TRIM(LEFT(Z29,2)))*(--TRIM(LEFT(AA29,2)))*(--TRIM(LEFT(AB29,2))))</f>
        <v/>
      </c>
      <c r="AD29" s="20">
        <f>IF(OR(Z29="",AA29="",AB29=""),"",INDEX(APGrid,COUNTIF(APS,"&gt;"&amp;(--TRIM(LEFT(Z29,2))))*5+COUNTIF(APO,"&gt;"&amp;(--TRIM(LEFT(AA29,2))))+1,COUNTIF(APD,"&gt;"&amp;(--TRIM(LEFT(AB29,2))))+1))</f>
        <v/>
      </c>
      <c r="AE29" s="4" t="n"/>
      <c r="AF29" s="4" t="n"/>
      <c r="AH29">
        <f>IFERROR(INDEX(EqTag,_xlfn.AGGREGATE(15,6,(ROW(EqTag)-4)/((EqSys=$D$3)*(EqTag&lt;&gt;"")),ROWS($AH$14:AH29))),"")</f>
        <v/>
      </c>
    </row>
    <row r="30">
      <c r="A30" s="20">
        <f>IF(F30="","",LEFT($D$3,3)&amp;"-"&amp;TEXT(COUNTIF(F$14:F30,"?*"),"00"))</f>
        <v/>
      </c>
      <c r="B30" s="4" t="n"/>
      <c r="C30" s="5">
        <f>IF(B30="","",IFERROR(INDEX(EqTypeCol,MATCH(B30,EqTag,0)),"Tag not in register"))</f>
        <v/>
      </c>
      <c r="D30" s="4" t="n"/>
      <c r="E30" s="4" t="n"/>
      <c r="F30" s="4" t="n"/>
      <c r="G30" s="4" t="n"/>
      <c r="H30" s="4" t="n"/>
      <c r="I30" s="4" t="n"/>
      <c r="J30" s="5">
        <f>_xlfn.TEXTJOIN(CHAR(10),TRUE,IF(G30="","","• "&amp;G30),IF(H30="","","• "&amp;H30),IF(I30="","","• "&amp;I30))</f>
        <v/>
      </c>
      <c r="K30" s="4" t="n"/>
      <c r="L30" s="4" t="n"/>
      <c r="M30" s="4" t="n"/>
      <c r="N30" s="16" t="n"/>
      <c r="O30" s="4" t="n"/>
      <c r="P30" s="16" t="n"/>
      <c r="Q30" s="4" t="n"/>
      <c r="R30" s="16" t="n"/>
      <c r="S30" s="20">
        <f>IF(OR(N30="",P30="",R30=""),"",(--TRIM(LEFT(N30,2)))*(--TRIM(LEFT(P30,2)))*(--TRIM(LEFT(R30,2))))</f>
        <v/>
      </c>
      <c r="T30" s="20">
        <f>IF(OR(N30="",P30="",R30=""),"",INDEX(APGrid,COUNTIF(APS,"&gt;"&amp;(--TRIM(LEFT(N30,2))))*5+COUNTIF(APO,"&gt;"&amp;(--TRIM(LEFT(P30,2))))+1,COUNTIF(APD,"&gt;"&amp;(--TRIM(LEFT(R30,2))))+1))</f>
        <v/>
      </c>
      <c r="U30" s="20">
        <f>IF(S30="","",IF(OR((--TRIM(LEFT(N30,2)))&gt;=SThr,S30&gt;=RPNThr,T30="H"),"Yes","No"))</f>
        <v/>
      </c>
      <c r="V30" s="4" t="n"/>
      <c r="W30" s="4" t="n"/>
      <c r="X30" s="4" t="n"/>
      <c r="Y30" s="29" t="n"/>
      <c r="Z30" s="16" t="n"/>
      <c r="AA30" s="16" t="n"/>
      <c r="AB30" s="16" t="n"/>
      <c r="AC30" s="20">
        <f>IF(OR(Z30="",AA30="",AB30=""),"",(--TRIM(LEFT(Z30,2)))*(--TRIM(LEFT(AA30,2)))*(--TRIM(LEFT(AB30,2))))</f>
        <v/>
      </c>
      <c r="AD30" s="20">
        <f>IF(OR(Z30="",AA30="",AB30=""),"",INDEX(APGrid,COUNTIF(APS,"&gt;"&amp;(--TRIM(LEFT(Z30,2))))*5+COUNTIF(APO,"&gt;"&amp;(--TRIM(LEFT(AA30,2))))+1,COUNTIF(APD,"&gt;"&amp;(--TRIM(LEFT(AB30,2))))+1))</f>
        <v/>
      </c>
      <c r="AE30" s="4" t="n"/>
      <c r="AF30" s="4" t="n"/>
      <c r="AH30">
        <f>IFERROR(INDEX(EqTag,_xlfn.AGGREGATE(15,6,(ROW(EqTag)-4)/((EqSys=$D$3)*(EqTag&lt;&gt;"")),ROWS($AH$14:AH30))),"")</f>
        <v/>
      </c>
    </row>
    <row r="31">
      <c r="A31" s="20">
        <f>IF(F31="","",LEFT($D$3,3)&amp;"-"&amp;TEXT(COUNTIF(F$14:F31,"?*"),"00"))</f>
        <v/>
      </c>
      <c r="B31" s="4" t="n"/>
      <c r="C31" s="5">
        <f>IF(B31="","",IFERROR(INDEX(EqTypeCol,MATCH(B31,EqTag,0)),"Tag not in register"))</f>
        <v/>
      </c>
      <c r="D31" s="4" t="n"/>
      <c r="E31" s="4" t="n"/>
      <c r="F31" s="4" t="n"/>
      <c r="G31" s="4" t="n"/>
      <c r="H31" s="4" t="n"/>
      <c r="I31" s="4" t="n"/>
      <c r="J31" s="5">
        <f>_xlfn.TEXTJOIN(CHAR(10),TRUE,IF(G31="","","• "&amp;G31),IF(H31="","","• "&amp;H31),IF(I31="","","• "&amp;I31))</f>
        <v/>
      </c>
      <c r="K31" s="4" t="n"/>
      <c r="L31" s="4" t="n"/>
      <c r="M31" s="4" t="n"/>
      <c r="N31" s="16" t="n"/>
      <c r="O31" s="4" t="n"/>
      <c r="P31" s="16" t="n"/>
      <c r="Q31" s="4" t="n"/>
      <c r="R31" s="16" t="n"/>
      <c r="S31" s="20">
        <f>IF(OR(N31="",P31="",R31=""),"",(--TRIM(LEFT(N31,2)))*(--TRIM(LEFT(P31,2)))*(--TRIM(LEFT(R31,2))))</f>
        <v/>
      </c>
      <c r="T31" s="20">
        <f>IF(OR(N31="",P31="",R31=""),"",INDEX(APGrid,COUNTIF(APS,"&gt;"&amp;(--TRIM(LEFT(N31,2))))*5+COUNTIF(APO,"&gt;"&amp;(--TRIM(LEFT(P31,2))))+1,COUNTIF(APD,"&gt;"&amp;(--TRIM(LEFT(R31,2))))+1))</f>
        <v/>
      </c>
      <c r="U31" s="20">
        <f>IF(S31="","",IF(OR((--TRIM(LEFT(N31,2)))&gt;=SThr,S31&gt;=RPNThr,T31="H"),"Yes","No"))</f>
        <v/>
      </c>
      <c r="V31" s="4" t="n"/>
      <c r="W31" s="4" t="n"/>
      <c r="X31" s="4" t="n"/>
      <c r="Y31" s="29" t="n"/>
      <c r="Z31" s="16" t="n"/>
      <c r="AA31" s="16" t="n"/>
      <c r="AB31" s="16" t="n"/>
      <c r="AC31" s="20">
        <f>IF(OR(Z31="",AA31="",AB31=""),"",(--TRIM(LEFT(Z31,2)))*(--TRIM(LEFT(AA31,2)))*(--TRIM(LEFT(AB31,2))))</f>
        <v/>
      </c>
      <c r="AD31" s="20">
        <f>IF(OR(Z31="",AA31="",AB31=""),"",INDEX(APGrid,COUNTIF(APS,"&gt;"&amp;(--TRIM(LEFT(Z31,2))))*5+COUNTIF(APO,"&gt;"&amp;(--TRIM(LEFT(AA31,2))))+1,COUNTIF(APD,"&gt;"&amp;(--TRIM(LEFT(AB31,2))))+1))</f>
        <v/>
      </c>
      <c r="AE31" s="4" t="n"/>
      <c r="AF31" s="4" t="n"/>
      <c r="AH31">
        <f>IFERROR(INDEX(EqTag,_xlfn.AGGREGATE(15,6,(ROW(EqTag)-4)/((EqSys=$D$3)*(EqTag&lt;&gt;"")),ROWS($AH$14:AH31))),"")</f>
        <v/>
      </c>
    </row>
    <row r="32">
      <c r="A32" s="20">
        <f>IF(F32="","",LEFT($D$3,3)&amp;"-"&amp;TEXT(COUNTIF(F$14:F32,"?*"),"00"))</f>
        <v/>
      </c>
      <c r="B32" s="4" t="n"/>
      <c r="C32" s="5">
        <f>IF(B32="","",IFERROR(INDEX(EqTypeCol,MATCH(B32,EqTag,0)),"Tag not in register"))</f>
        <v/>
      </c>
      <c r="D32" s="4" t="n"/>
      <c r="E32" s="4" t="n"/>
      <c r="F32" s="4" t="n"/>
      <c r="G32" s="4" t="n"/>
      <c r="H32" s="4" t="n"/>
      <c r="I32" s="4" t="n"/>
      <c r="J32" s="5">
        <f>_xlfn.TEXTJOIN(CHAR(10),TRUE,IF(G32="","","• "&amp;G32),IF(H32="","","• "&amp;H32),IF(I32="","","• "&amp;I32))</f>
        <v/>
      </c>
      <c r="K32" s="4" t="n"/>
      <c r="L32" s="4" t="n"/>
      <c r="M32" s="4" t="n"/>
      <c r="N32" s="16" t="n"/>
      <c r="O32" s="4" t="n"/>
      <c r="P32" s="16" t="n"/>
      <c r="Q32" s="4" t="n"/>
      <c r="R32" s="16" t="n"/>
      <c r="S32" s="20">
        <f>IF(OR(N32="",P32="",R32=""),"",(--TRIM(LEFT(N32,2)))*(--TRIM(LEFT(P32,2)))*(--TRIM(LEFT(R32,2))))</f>
        <v/>
      </c>
      <c r="T32" s="20">
        <f>IF(OR(N32="",P32="",R32=""),"",INDEX(APGrid,COUNTIF(APS,"&gt;"&amp;(--TRIM(LEFT(N32,2))))*5+COUNTIF(APO,"&gt;"&amp;(--TRIM(LEFT(P32,2))))+1,COUNTIF(APD,"&gt;"&amp;(--TRIM(LEFT(R32,2))))+1))</f>
        <v/>
      </c>
      <c r="U32" s="20">
        <f>IF(S32="","",IF(OR((--TRIM(LEFT(N32,2)))&gt;=SThr,S32&gt;=RPNThr,T32="H"),"Yes","No"))</f>
        <v/>
      </c>
      <c r="V32" s="4" t="n"/>
      <c r="W32" s="4" t="n"/>
      <c r="X32" s="4" t="n"/>
      <c r="Y32" s="29" t="n"/>
      <c r="Z32" s="16" t="n"/>
      <c r="AA32" s="16" t="n"/>
      <c r="AB32" s="16" t="n"/>
      <c r="AC32" s="20">
        <f>IF(OR(Z32="",AA32="",AB32=""),"",(--TRIM(LEFT(Z32,2)))*(--TRIM(LEFT(AA32,2)))*(--TRIM(LEFT(AB32,2))))</f>
        <v/>
      </c>
      <c r="AD32" s="20">
        <f>IF(OR(Z32="",AA32="",AB32=""),"",INDEX(APGrid,COUNTIF(APS,"&gt;"&amp;(--TRIM(LEFT(Z32,2))))*5+COUNTIF(APO,"&gt;"&amp;(--TRIM(LEFT(AA32,2))))+1,COUNTIF(APD,"&gt;"&amp;(--TRIM(LEFT(AB32,2))))+1))</f>
        <v/>
      </c>
      <c r="AE32" s="4" t="n"/>
      <c r="AF32" s="4" t="n"/>
      <c r="AH32">
        <f>IFERROR(INDEX(EqTag,_xlfn.AGGREGATE(15,6,(ROW(EqTag)-4)/((EqSys=$D$3)*(EqTag&lt;&gt;"")),ROWS($AH$14:AH32))),"")</f>
        <v/>
      </c>
    </row>
    <row r="33">
      <c r="A33" s="20">
        <f>IF(F33="","",LEFT($D$3,3)&amp;"-"&amp;TEXT(COUNTIF(F$14:F33,"?*"),"00"))</f>
        <v/>
      </c>
      <c r="B33" s="4" t="n"/>
      <c r="C33" s="5">
        <f>IF(B33="","",IFERROR(INDEX(EqTypeCol,MATCH(B33,EqTag,0)),"Tag not in register"))</f>
        <v/>
      </c>
      <c r="D33" s="4" t="n"/>
      <c r="E33" s="4" t="n"/>
      <c r="F33" s="4" t="n"/>
      <c r="G33" s="4" t="n"/>
      <c r="H33" s="4" t="n"/>
      <c r="I33" s="4" t="n"/>
      <c r="J33" s="5">
        <f>_xlfn.TEXTJOIN(CHAR(10),TRUE,IF(G33="","","• "&amp;G33),IF(H33="","","• "&amp;H33),IF(I33="","","• "&amp;I33))</f>
        <v/>
      </c>
      <c r="K33" s="4" t="n"/>
      <c r="L33" s="4" t="n"/>
      <c r="M33" s="4" t="n"/>
      <c r="N33" s="16" t="n"/>
      <c r="O33" s="4" t="n"/>
      <c r="P33" s="16" t="n"/>
      <c r="Q33" s="4" t="n"/>
      <c r="R33" s="16" t="n"/>
      <c r="S33" s="20">
        <f>IF(OR(N33="",P33="",R33=""),"",(--TRIM(LEFT(N33,2)))*(--TRIM(LEFT(P33,2)))*(--TRIM(LEFT(R33,2))))</f>
        <v/>
      </c>
      <c r="T33" s="20">
        <f>IF(OR(N33="",P33="",R33=""),"",INDEX(APGrid,COUNTIF(APS,"&gt;"&amp;(--TRIM(LEFT(N33,2))))*5+COUNTIF(APO,"&gt;"&amp;(--TRIM(LEFT(P33,2))))+1,COUNTIF(APD,"&gt;"&amp;(--TRIM(LEFT(R33,2))))+1))</f>
        <v/>
      </c>
      <c r="U33" s="20">
        <f>IF(S33="","",IF(OR((--TRIM(LEFT(N33,2)))&gt;=SThr,S33&gt;=RPNThr,T33="H"),"Yes","No"))</f>
        <v/>
      </c>
      <c r="V33" s="4" t="n"/>
      <c r="W33" s="4" t="n"/>
      <c r="X33" s="4" t="n"/>
      <c r="Y33" s="29" t="n"/>
      <c r="Z33" s="16" t="n"/>
      <c r="AA33" s="16" t="n"/>
      <c r="AB33" s="16" t="n"/>
      <c r="AC33" s="20">
        <f>IF(OR(Z33="",AA33="",AB33=""),"",(--TRIM(LEFT(Z33,2)))*(--TRIM(LEFT(AA33,2)))*(--TRIM(LEFT(AB33,2))))</f>
        <v/>
      </c>
      <c r="AD33" s="20">
        <f>IF(OR(Z33="",AA33="",AB33=""),"",INDEX(APGrid,COUNTIF(APS,"&gt;"&amp;(--TRIM(LEFT(Z33,2))))*5+COUNTIF(APO,"&gt;"&amp;(--TRIM(LEFT(AA33,2))))+1,COUNTIF(APD,"&gt;"&amp;(--TRIM(LEFT(AB33,2))))+1))</f>
        <v/>
      </c>
      <c r="AE33" s="4" t="n"/>
      <c r="AF33" s="4" t="n"/>
      <c r="AH33">
        <f>IFERROR(INDEX(EqTag,_xlfn.AGGREGATE(15,6,(ROW(EqTag)-4)/((EqSys=$D$3)*(EqTag&lt;&gt;"")),ROWS($AH$14:AH33))),"")</f>
        <v/>
      </c>
    </row>
    <row r="34">
      <c r="A34" s="20">
        <f>IF(F34="","",LEFT($D$3,3)&amp;"-"&amp;TEXT(COUNTIF(F$14:F34,"?*"),"00"))</f>
        <v/>
      </c>
      <c r="B34" s="4" t="n"/>
      <c r="C34" s="5">
        <f>IF(B34="","",IFERROR(INDEX(EqTypeCol,MATCH(B34,EqTag,0)),"Tag not in register"))</f>
        <v/>
      </c>
      <c r="D34" s="4" t="n"/>
      <c r="E34" s="4" t="n"/>
      <c r="F34" s="4" t="n"/>
      <c r="G34" s="4" t="n"/>
      <c r="H34" s="4" t="n"/>
      <c r="I34" s="4" t="n"/>
      <c r="J34" s="5">
        <f>_xlfn.TEXTJOIN(CHAR(10),TRUE,IF(G34="","","• "&amp;G34),IF(H34="","","• "&amp;H34),IF(I34="","","• "&amp;I34))</f>
        <v/>
      </c>
      <c r="K34" s="4" t="n"/>
      <c r="L34" s="4" t="n"/>
      <c r="M34" s="4" t="n"/>
      <c r="N34" s="16" t="n"/>
      <c r="O34" s="4" t="n"/>
      <c r="P34" s="16" t="n"/>
      <c r="Q34" s="4" t="n"/>
      <c r="R34" s="16" t="n"/>
      <c r="S34" s="20">
        <f>IF(OR(N34="",P34="",R34=""),"",(--TRIM(LEFT(N34,2)))*(--TRIM(LEFT(P34,2)))*(--TRIM(LEFT(R34,2))))</f>
        <v/>
      </c>
      <c r="T34" s="20">
        <f>IF(OR(N34="",P34="",R34=""),"",INDEX(APGrid,COUNTIF(APS,"&gt;"&amp;(--TRIM(LEFT(N34,2))))*5+COUNTIF(APO,"&gt;"&amp;(--TRIM(LEFT(P34,2))))+1,COUNTIF(APD,"&gt;"&amp;(--TRIM(LEFT(R34,2))))+1))</f>
        <v/>
      </c>
      <c r="U34" s="20">
        <f>IF(S34="","",IF(OR((--TRIM(LEFT(N34,2)))&gt;=SThr,S34&gt;=RPNThr,T34="H"),"Yes","No"))</f>
        <v/>
      </c>
      <c r="V34" s="4" t="n"/>
      <c r="W34" s="4" t="n"/>
      <c r="X34" s="4" t="n"/>
      <c r="Y34" s="29" t="n"/>
      <c r="Z34" s="16" t="n"/>
      <c r="AA34" s="16" t="n"/>
      <c r="AB34" s="16" t="n"/>
      <c r="AC34" s="20">
        <f>IF(OR(Z34="",AA34="",AB34=""),"",(--TRIM(LEFT(Z34,2)))*(--TRIM(LEFT(AA34,2)))*(--TRIM(LEFT(AB34,2))))</f>
        <v/>
      </c>
      <c r="AD34" s="20">
        <f>IF(OR(Z34="",AA34="",AB34=""),"",INDEX(APGrid,COUNTIF(APS,"&gt;"&amp;(--TRIM(LEFT(Z34,2))))*5+COUNTIF(APO,"&gt;"&amp;(--TRIM(LEFT(AA34,2))))+1,COUNTIF(APD,"&gt;"&amp;(--TRIM(LEFT(AB34,2))))+1))</f>
        <v/>
      </c>
      <c r="AE34" s="4" t="n"/>
      <c r="AF34" s="4" t="n"/>
      <c r="AH34">
        <f>IFERROR(INDEX(EqTag,_xlfn.AGGREGATE(15,6,(ROW(EqTag)-4)/((EqSys=$D$3)*(EqTag&lt;&gt;"")),ROWS($AH$14:AH34))),"")</f>
        <v/>
      </c>
    </row>
    <row r="35">
      <c r="A35" s="20">
        <f>IF(F35="","",LEFT($D$3,3)&amp;"-"&amp;TEXT(COUNTIF(F$14:F35,"?*"),"00"))</f>
        <v/>
      </c>
      <c r="B35" s="4" t="n"/>
      <c r="C35" s="5">
        <f>IF(B35="","",IFERROR(INDEX(EqTypeCol,MATCH(B35,EqTag,0)),"Tag not in register"))</f>
        <v/>
      </c>
      <c r="D35" s="4" t="n"/>
      <c r="E35" s="4" t="n"/>
      <c r="F35" s="4" t="n"/>
      <c r="G35" s="4" t="n"/>
      <c r="H35" s="4" t="n"/>
      <c r="I35" s="4" t="n"/>
      <c r="J35" s="5">
        <f>_xlfn.TEXTJOIN(CHAR(10),TRUE,IF(G35="","","• "&amp;G35),IF(H35="","","• "&amp;H35),IF(I35="","","• "&amp;I35))</f>
        <v/>
      </c>
      <c r="K35" s="4" t="n"/>
      <c r="L35" s="4" t="n"/>
      <c r="M35" s="4" t="n"/>
      <c r="N35" s="16" t="n"/>
      <c r="O35" s="4" t="n"/>
      <c r="P35" s="16" t="n"/>
      <c r="Q35" s="4" t="n"/>
      <c r="R35" s="16" t="n"/>
      <c r="S35" s="20">
        <f>IF(OR(N35="",P35="",R35=""),"",(--TRIM(LEFT(N35,2)))*(--TRIM(LEFT(P35,2)))*(--TRIM(LEFT(R35,2))))</f>
        <v/>
      </c>
      <c r="T35" s="20">
        <f>IF(OR(N35="",P35="",R35=""),"",INDEX(APGrid,COUNTIF(APS,"&gt;"&amp;(--TRIM(LEFT(N35,2))))*5+COUNTIF(APO,"&gt;"&amp;(--TRIM(LEFT(P35,2))))+1,COUNTIF(APD,"&gt;"&amp;(--TRIM(LEFT(R35,2))))+1))</f>
        <v/>
      </c>
      <c r="U35" s="20">
        <f>IF(S35="","",IF(OR((--TRIM(LEFT(N35,2)))&gt;=SThr,S35&gt;=RPNThr,T35="H"),"Yes","No"))</f>
        <v/>
      </c>
      <c r="V35" s="4" t="n"/>
      <c r="W35" s="4" t="n"/>
      <c r="X35" s="4" t="n"/>
      <c r="Y35" s="29" t="n"/>
      <c r="Z35" s="16" t="n"/>
      <c r="AA35" s="16" t="n"/>
      <c r="AB35" s="16" t="n"/>
      <c r="AC35" s="20">
        <f>IF(OR(Z35="",AA35="",AB35=""),"",(--TRIM(LEFT(Z35,2)))*(--TRIM(LEFT(AA35,2)))*(--TRIM(LEFT(AB35,2))))</f>
        <v/>
      </c>
      <c r="AD35" s="20">
        <f>IF(OR(Z35="",AA35="",AB35=""),"",INDEX(APGrid,COUNTIF(APS,"&gt;"&amp;(--TRIM(LEFT(Z35,2))))*5+COUNTIF(APO,"&gt;"&amp;(--TRIM(LEFT(AA35,2))))+1,COUNTIF(APD,"&gt;"&amp;(--TRIM(LEFT(AB35,2))))+1))</f>
        <v/>
      </c>
      <c r="AE35" s="4" t="n"/>
      <c r="AF35" s="4" t="n"/>
      <c r="AH35">
        <f>IFERROR(INDEX(EqTag,_xlfn.AGGREGATE(15,6,(ROW(EqTag)-4)/((EqSys=$D$3)*(EqTag&lt;&gt;"")),ROWS($AH$14:AH35))),"")</f>
        <v/>
      </c>
    </row>
    <row r="36">
      <c r="A36" s="20">
        <f>IF(F36="","",LEFT($D$3,3)&amp;"-"&amp;TEXT(COUNTIF(F$14:F36,"?*"),"00"))</f>
        <v/>
      </c>
      <c r="B36" s="4" t="n"/>
      <c r="C36" s="5">
        <f>IF(B36="","",IFERROR(INDEX(EqTypeCol,MATCH(B36,EqTag,0)),"Tag not in register"))</f>
        <v/>
      </c>
      <c r="D36" s="4" t="n"/>
      <c r="E36" s="4" t="n"/>
      <c r="F36" s="4" t="n"/>
      <c r="G36" s="4" t="n"/>
      <c r="H36" s="4" t="n"/>
      <c r="I36" s="4" t="n"/>
      <c r="J36" s="5">
        <f>_xlfn.TEXTJOIN(CHAR(10),TRUE,IF(G36="","","• "&amp;G36),IF(H36="","","• "&amp;H36),IF(I36="","","• "&amp;I36))</f>
        <v/>
      </c>
      <c r="K36" s="4" t="n"/>
      <c r="L36" s="4" t="n"/>
      <c r="M36" s="4" t="n"/>
      <c r="N36" s="16" t="n"/>
      <c r="O36" s="4" t="n"/>
      <c r="P36" s="16" t="n"/>
      <c r="Q36" s="4" t="n"/>
      <c r="R36" s="16" t="n"/>
      <c r="S36" s="20">
        <f>IF(OR(N36="",P36="",R36=""),"",(--TRIM(LEFT(N36,2)))*(--TRIM(LEFT(P36,2)))*(--TRIM(LEFT(R36,2))))</f>
        <v/>
      </c>
      <c r="T36" s="20">
        <f>IF(OR(N36="",P36="",R36=""),"",INDEX(APGrid,COUNTIF(APS,"&gt;"&amp;(--TRIM(LEFT(N36,2))))*5+COUNTIF(APO,"&gt;"&amp;(--TRIM(LEFT(P36,2))))+1,COUNTIF(APD,"&gt;"&amp;(--TRIM(LEFT(R36,2))))+1))</f>
        <v/>
      </c>
      <c r="U36" s="20">
        <f>IF(S36="","",IF(OR((--TRIM(LEFT(N36,2)))&gt;=SThr,S36&gt;=RPNThr,T36="H"),"Yes","No"))</f>
        <v/>
      </c>
      <c r="V36" s="4" t="n"/>
      <c r="W36" s="4" t="n"/>
      <c r="X36" s="4" t="n"/>
      <c r="Y36" s="29" t="n"/>
      <c r="Z36" s="16" t="n"/>
      <c r="AA36" s="16" t="n"/>
      <c r="AB36" s="16" t="n"/>
      <c r="AC36" s="20">
        <f>IF(OR(Z36="",AA36="",AB36=""),"",(--TRIM(LEFT(Z36,2)))*(--TRIM(LEFT(AA36,2)))*(--TRIM(LEFT(AB36,2))))</f>
        <v/>
      </c>
      <c r="AD36" s="20">
        <f>IF(OR(Z36="",AA36="",AB36=""),"",INDEX(APGrid,COUNTIF(APS,"&gt;"&amp;(--TRIM(LEFT(Z36,2))))*5+COUNTIF(APO,"&gt;"&amp;(--TRIM(LEFT(AA36,2))))+1,COUNTIF(APD,"&gt;"&amp;(--TRIM(LEFT(AB36,2))))+1))</f>
        <v/>
      </c>
      <c r="AE36" s="4" t="n"/>
      <c r="AF36" s="4" t="n"/>
      <c r="AH36">
        <f>IFERROR(INDEX(EqTag,_xlfn.AGGREGATE(15,6,(ROW(EqTag)-4)/((EqSys=$D$3)*(EqTag&lt;&gt;"")),ROWS($AH$14:AH36))),"")</f>
        <v/>
      </c>
    </row>
    <row r="37">
      <c r="A37" s="20">
        <f>IF(F37="","",LEFT($D$3,3)&amp;"-"&amp;TEXT(COUNTIF(F$14:F37,"?*"),"00"))</f>
        <v/>
      </c>
      <c r="B37" s="4" t="n"/>
      <c r="C37" s="5">
        <f>IF(B37="","",IFERROR(INDEX(EqTypeCol,MATCH(B37,EqTag,0)),"Tag not in register"))</f>
        <v/>
      </c>
      <c r="D37" s="4" t="n"/>
      <c r="E37" s="4" t="n"/>
      <c r="F37" s="4" t="n"/>
      <c r="G37" s="4" t="n"/>
      <c r="H37" s="4" t="n"/>
      <c r="I37" s="4" t="n"/>
      <c r="J37" s="5">
        <f>_xlfn.TEXTJOIN(CHAR(10),TRUE,IF(G37="","","• "&amp;G37),IF(H37="","","• "&amp;H37),IF(I37="","","• "&amp;I37))</f>
        <v/>
      </c>
      <c r="K37" s="4" t="n"/>
      <c r="L37" s="4" t="n"/>
      <c r="M37" s="4" t="n"/>
      <c r="N37" s="16" t="n"/>
      <c r="O37" s="4" t="n"/>
      <c r="P37" s="16" t="n"/>
      <c r="Q37" s="4" t="n"/>
      <c r="R37" s="16" t="n"/>
      <c r="S37" s="20">
        <f>IF(OR(N37="",P37="",R37=""),"",(--TRIM(LEFT(N37,2)))*(--TRIM(LEFT(P37,2)))*(--TRIM(LEFT(R37,2))))</f>
        <v/>
      </c>
      <c r="T37" s="20">
        <f>IF(OR(N37="",P37="",R37=""),"",INDEX(APGrid,COUNTIF(APS,"&gt;"&amp;(--TRIM(LEFT(N37,2))))*5+COUNTIF(APO,"&gt;"&amp;(--TRIM(LEFT(P37,2))))+1,COUNTIF(APD,"&gt;"&amp;(--TRIM(LEFT(R37,2))))+1))</f>
        <v/>
      </c>
      <c r="U37" s="20">
        <f>IF(S37="","",IF(OR((--TRIM(LEFT(N37,2)))&gt;=SThr,S37&gt;=RPNThr,T37="H"),"Yes","No"))</f>
        <v/>
      </c>
      <c r="V37" s="4" t="n"/>
      <c r="W37" s="4" t="n"/>
      <c r="X37" s="4" t="n"/>
      <c r="Y37" s="29" t="n"/>
      <c r="Z37" s="16" t="n"/>
      <c r="AA37" s="16" t="n"/>
      <c r="AB37" s="16" t="n"/>
      <c r="AC37" s="20">
        <f>IF(OR(Z37="",AA37="",AB37=""),"",(--TRIM(LEFT(Z37,2)))*(--TRIM(LEFT(AA37,2)))*(--TRIM(LEFT(AB37,2))))</f>
        <v/>
      </c>
      <c r="AD37" s="20">
        <f>IF(OR(Z37="",AA37="",AB37=""),"",INDEX(APGrid,COUNTIF(APS,"&gt;"&amp;(--TRIM(LEFT(Z37,2))))*5+COUNTIF(APO,"&gt;"&amp;(--TRIM(LEFT(AA37,2))))+1,COUNTIF(APD,"&gt;"&amp;(--TRIM(LEFT(AB37,2))))+1))</f>
        <v/>
      </c>
      <c r="AE37" s="4" t="n"/>
      <c r="AF37" s="4" t="n"/>
      <c r="AH37">
        <f>IFERROR(INDEX(EqTag,_xlfn.AGGREGATE(15,6,(ROW(EqTag)-4)/((EqSys=$D$3)*(EqTag&lt;&gt;"")),ROWS($AH$14:AH37))),"")</f>
        <v/>
      </c>
    </row>
    <row r="38">
      <c r="A38" s="20">
        <f>IF(F38="","",LEFT($D$3,3)&amp;"-"&amp;TEXT(COUNTIF(F$14:F38,"?*"),"00"))</f>
        <v/>
      </c>
      <c r="B38" s="4" t="n"/>
      <c r="C38" s="5">
        <f>IF(B38="","",IFERROR(INDEX(EqTypeCol,MATCH(B38,EqTag,0)),"Tag not in register"))</f>
        <v/>
      </c>
      <c r="D38" s="4" t="n"/>
      <c r="E38" s="4" t="n"/>
      <c r="F38" s="4" t="n"/>
      <c r="G38" s="4" t="n"/>
      <c r="H38" s="4" t="n"/>
      <c r="I38" s="4" t="n"/>
      <c r="J38" s="5">
        <f>_xlfn.TEXTJOIN(CHAR(10),TRUE,IF(G38="","","• "&amp;G38),IF(H38="","","• "&amp;H38),IF(I38="","","• "&amp;I38))</f>
        <v/>
      </c>
      <c r="K38" s="4" t="n"/>
      <c r="L38" s="4" t="n"/>
      <c r="M38" s="4" t="n"/>
      <c r="N38" s="16" t="n"/>
      <c r="O38" s="4" t="n"/>
      <c r="P38" s="16" t="n"/>
      <c r="Q38" s="4" t="n"/>
      <c r="R38" s="16" t="n"/>
      <c r="S38" s="20">
        <f>IF(OR(N38="",P38="",R38=""),"",(--TRIM(LEFT(N38,2)))*(--TRIM(LEFT(P38,2)))*(--TRIM(LEFT(R38,2))))</f>
        <v/>
      </c>
      <c r="T38" s="20">
        <f>IF(OR(N38="",P38="",R38=""),"",INDEX(APGrid,COUNTIF(APS,"&gt;"&amp;(--TRIM(LEFT(N38,2))))*5+COUNTIF(APO,"&gt;"&amp;(--TRIM(LEFT(P38,2))))+1,COUNTIF(APD,"&gt;"&amp;(--TRIM(LEFT(R38,2))))+1))</f>
        <v/>
      </c>
      <c r="U38" s="20">
        <f>IF(S38="","",IF(OR((--TRIM(LEFT(N38,2)))&gt;=SThr,S38&gt;=RPNThr,T38="H"),"Yes","No"))</f>
        <v/>
      </c>
      <c r="V38" s="4" t="n"/>
      <c r="W38" s="4" t="n"/>
      <c r="X38" s="4" t="n"/>
      <c r="Y38" s="29" t="n"/>
      <c r="Z38" s="16" t="n"/>
      <c r="AA38" s="16" t="n"/>
      <c r="AB38" s="16" t="n"/>
      <c r="AC38" s="20">
        <f>IF(OR(Z38="",AA38="",AB38=""),"",(--TRIM(LEFT(Z38,2)))*(--TRIM(LEFT(AA38,2)))*(--TRIM(LEFT(AB38,2))))</f>
        <v/>
      </c>
      <c r="AD38" s="20">
        <f>IF(OR(Z38="",AA38="",AB38=""),"",INDEX(APGrid,COUNTIF(APS,"&gt;"&amp;(--TRIM(LEFT(Z38,2))))*5+COUNTIF(APO,"&gt;"&amp;(--TRIM(LEFT(AA38,2))))+1,COUNTIF(APD,"&gt;"&amp;(--TRIM(LEFT(AB38,2))))+1))</f>
        <v/>
      </c>
      <c r="AE38" s="4" t="n"/>
      <c r="AF38" s="4" t="n"/>
      <c r="AH38">
        <f>IFERROR(INDEX(EqTag,_xlfn.AGGREGATE(15,6,(ROW(EqTag)-4)/((EqSys=$D$3)*(EqTag&lt;&gt;"")),ROWS($AH$14:AH38))),"")</f>
        <v/>
      </c>
    </row>
    <row r="39">
      <c r="A39" s="20">
        <f>IF(F39="","",LEFT($D$3,3)&amp;"-"&amp;TEXT(COUNTIF(F$14:F39,"?*"),"00"))</f>
        <v/>
      </c>
      <c r="B39" s="4" t="n"/>
      <c r="C39" s="5">
        <f>IF(B39="","",IFERROR(INDEX(EqTypeCol,MATCH(B39,EqTag,0)),"Tag not in register"))</f>
        <v/>
      </c>
      <c r="D39" s="4" t="n"/>
      <c r="E39" s="4" t="n"/>
      <c r="F39" s="4" t="n"/>
      <c r="G39" s="4" t="n"/>
      <c r="H39" s="4" t="n"/>
      <c r="I39" s="4" t="n"/>
      <c r="J39" s="5">
        <f>_xlfn.TEXTJOIN(CHAR(10),TRUE,IF(G39="","","• "&amp;G39),IF(H39="","","• "&amp;H39),IF(I39="","","• "&amp;I39))</f>
        <v/>
      </c>
      <c r="K39" s="4" t="n"/>
      <c r="L39" s="4" t="n"/>
      <c r="M39" s="4" t="n"/>
      <c r="N39" s="16" t="n"/>
      <c r="O39" s="4" t="n"/>
      <c r="P39" s="16" t="n"/>
      <c r="Q39" s="4" t="n"/>
      <c r="R39" s="16" t="n"/>
      <c r="S39" s="20">
        <f>IF(OR(N39="",P39="",R39=""),"",(--TRIM(LEFT(N39,2)))*(--TRIM(LEFT(P39,2)))*(--TRIM(LEFT(R39,2))))</f>
        <v/>
      </c>
      <c r="T39" s="20">
        <f>IF(OR(N39="",P39="",R39=""),"",INDEX(APGrid,COUNTIF(APS,"&gt;"&amp;(--TRIM(LEFT(N39,2))))*5+COUNTIF(APO,"&gt;"&amp;(--TRIM(LEFT(P39,2))))+1,COUNTIF(APD,"&gt;"&amp;(--TRIM(LEFT(R39,2))))+1))</f>
        <v/>
      </c>
      <c r="U39" s="20">
        <f>IF(S39="","",IF(OR((--TRIM(LEFT(N39,2)))&gt;=SThr,S39&gt;=RPNThr,T39="H"),"Yes","No"))</f>
        <v/>
      </c>
      <c r="V39" s="4" t="n"/>
      <c r="W39" s="4" t="n"/>
      <c r="X39" s="4" t="n"/>
      <c r="Y39" s="29" t="n"/>
      <c r="Z39" s="16" t="n"/>
      <c r="AA39" s="16" t="n"/>
      <c r="AB39" s="16" t="n"/>
      <c r="AC39" s="20">
        <f>IF(OR(Z39="",AA39="",AB39=""),"",(--TRIM(LEFT(Z39,2)))*(--TRIM(LEFT(AA39,2)))*(--TRIM(LEFT(AB39,2))))</f>
        <v/>
      </c>
      <c r="AD39" s="20">
        <f>IF(OR(Z39="",AA39="",AB39=""),"",INDEX(APGrid,COUNTIF(APS,"&gt;"&amp;(--TRIM(LEFT(Z39,2))))*5+COUNTIF(APO,"&gt;"&amp;(--TRIM(LEFT(AA39,2))))+1,COUNTIF(APD,"&gt;"&amp;(--TRIM(LEFT(AB39,2))))+1))</f>
        <v/>
      </c>
      <c r="AE39" s="4" t="n"/>
      <c r="AF39" s="4" t="n"/>
      <c r="AH39">
        <f>IFERROR(INDEX(EqTag,_xlfn.AGGREGATE(15,6,(ROW(EqTag)-4)/((EqSys=$D$3)*(EqTag&lt;&gt;"")),ROWS($AH$14:AH39))),"")</f>
        <v/>
      </c>
    </row>
    <row r="40">
      <c r="A40" s="20">
        <f>IF(F40="","",LEFT($D$3,3)&amp;"-"&amp;TEXT(COUNTIF(F$14:F40,"?*"),"00"))</f>
        <v/>
      </c>
      <c r="B40" s="4" t="n"/>
      <c r="C40" s="5">
        <f>IF(B40="","",IFERROR(INDEX(EqTypeCol,MATCH(B40,EqTag,0)),"Tag not in register"))</f>
        <v/>
      </c>
      <c r="D40" s="4" t="n"/>
      <c r="E40" s="4" t="n"/>
      <c r="F40" s="4" t="n"/>
      <c r="G40" s="4" t="n"/>
      <c r="H40" s="4" t="n"/>
      <c r="I40" s="4" t="n"/>
      <c r="J40" s="5">
        <f>_xlfn.TEXTJOIN(CHAR(10),TRUE,IF(G40="","","• "&amp;G40),IF(H40="","","• "&amp;H40),IF(I40="","","• "&amp;I40))</f>
        <v/>
      </c>
      <c r="K40" s="4" t="n"/>
      <c r="L40" s="4" t="n"/>
      <c r="M40" s="4" t="n"/>
      <c r="N40" s="16" t="n"/>
      <c r="O40" s="4" t="n"/>
      <c r="P40" s="16" t="n"/>
      <c r="Q40" s="4" t="n"/>
      <c r="R40" s="16" t="n"/>
      <c r="S40" s="20">
        <f>IF(OR(N40="",P40="",R40=""),"",(--TRIM(LEFT(N40,2)))*(--TRIM(LEFT(P40,2)))*(--TRIM(LEFT(R40,2))))</f>
        <v/>
      </c>
      <c r="T40" s="20">
        <f>IF(OR(N40="",P40="",R40=""),"",INDEX(APGrid,COUNTIF(APS,"&gt;"&amp;(--TRIM(LEFT(N40,2))))*5+COUNTIF(APO,"&gt;"&amp;(--TRIM(LEFT(P40,2))))+1,COUNTIF(APD,"&gt;"&amp;(--TRIM(LEFT(R40,2))))+1))</f>
        <v/>
      </c>
      <c r="U40" s="20">
        <f>IF(S40="","",IF(OR((--TRIM(LEFT(N40,2)))&gt;=SThr,S40&gt;=RPNThr,T40="H"),"Yes","No"))</f>
        <v/>
      </c>
      <c r="V40" s="4" t="n"/>
      <c r="W40" s="4" t="n"/>
      <c r="X40" s="4" t="n"/>
      <c r="Y40" s="29" t="n"/>
      <c r="Z40" s="16" t="n"/>
      <c r="AA40" s="16" t="n"/>
      <c r="AB40" s="16" t="n"/>
      <c r="AC40" s="20">
        <f>IF(OR(Z40="",AA40="",AB40=""),"",(--TRIM(LEFT(Z40,2)))*(--TRIM(LEFT(AA40,2)))*(--TRIM(LEFT(AB40,2))))</f>
        <v/>
      </c>
      <c r="AD40" s="20">
        <f>IF(OR(Z40="",AA40="",AB40=""),"",INDEX(APGrid,COUNTIF(APS,"&gt;"&amp;(--TRIM(LEFT(Z40,2))))*5+COUNTIF(APO,"&gt;"&amp;(--TRIM(LEFT(AA40,2))))+1,COUNTIF(APD,"&gt;"&amp;(--TRIM(LEFT(AB40,2))))+1))</f>
        <v/>
      </c>
      <c r="AE40" s="4" t="n"/>
      <c r="AF40" s="4" t="n"/>
      <c r="AH40">
        <f>IFERROR(INDEX(EqTag,_xlfn.AGGREGATE(15,6,(ROW(EqTag)-4)/((EqSys=$D$3)*(EqTag&lt;&gt;"")),ROWS($AH$14:AH40))),"")</f>
        <v/>
      </c>
    </row>
    <row r="41">
      <c r="A41" s="20">
        <f>IF(F41="","",LEFT($D$3,3)&amp;"-"&amp;TEXT(COUNTIF(F$14:F41,"?*"),"00"))</f>
        <v/>
      </c>
      <c r="B41" s="4" t="n"/>
      <c r="C41" s="5">
        <f>IF(B41="","",IFERROR(INDEX(EqTypeCol,MATCH(B41,EqTag,0)),"Tag not in register"))</f>
        <v/>
      </c>
      <c r="D41" s="4" t="n"/>
      <c r="E41" s="4" t="n"/>
      <c r="F41" s="4" t="n"/>
      <c r="G41" s="4" t="n"/>
      <c r="H41" s="4" t="n"/>
      <c r="I41" s="4" t="n"/>
      <c r="J41" s="5">
        <f>_xlfn.TEXTJOIN(CHAR(10),TRUE,IF(G41="","","• "&amp;G41),IF(H41="","","• "&amp;H41),IF(I41="","","• "&amp;I41))</f>
        <v/>
      </c>
      <c r="K41" s="4" t="n"/>
      <c r="L41" s="4" t="n"/>
      <c r="M41" s="4" t="n"/>
      <c r="N41" s="16" t="n"/>
      <c r="O41" s="4" t="n"/>
      <c r="P41" s="16" t="n"/>
      <c r="Q41" s="4" t="n"/>
      <c r="R41" s="16" t="n"/>
      <c r="S41" s="20">
        <f>IF(OR(N41="",P41="",R41=""),"",(--TRIM(LEFT(N41,2)))*(--TRIM(LEFT(P41,2)))*(--TRIM(LEFT(R41,2))))</f>
        <v/>
      </c>
      <c r="T41" s="20">
        <f>IF(OR(N41="",P41="",R41=""),"",INDEX(APGrid,COUNTIF(APS,"&gt;"&amp;(--TRIM(LEFT(N41,2))))*5+COUNTIF(APO,"&gt;"&amp;(--TRIM(LEFT(P41,2))))+1,COUNTIF(APD,"&gt;"&amp;(--TRIM(LEFT(R41,2))))+1))</f>
        <v/>
      </c>
      <c r="U41" s="20">
        <f>IF(S41="","",IF(OR((--TRIM(LEFT(N41,2)))&gt;=SThr,S41&gt;=RPNThr,T41="H"),"Yes","No"))</f>
        <v/>
      </c>
      <c r="V41" s="4" t="n"/>
      <c r="W41" s="4" t="n"/>
      <c r="X41" s="4" t="n"/>
      <c r="Y41" s="29" t="n"/>
      <c r="Z41" s="16" t="n"/>
      <c r="AA41" s="16" t="n"/>
      <c r="AB41" s="16" t="n"/>
      <c r="AC41" s="20">
        <f>IF(OR(Z41="",AA41="",AB41=""),"",(--TRIM(LEFT(Z41,2)))*(--TRIM(LEFT(AA41,2)))*(--TRIM(LEFT(AB41,2))))</f>
        <v/>
      </c>
      <c r="AD41" s="20">
        <f>IF(OR(Z41="",AA41="",AB41=""),"",INDEX(APGrid,COUNTIF(APS,"&gt;"&amp;(--TRIM(LEFT(Z41,2))))*5+COUNTIF(APO,"&gt;"&amp;(--TRIM(LEFT(AA41,2))))+1,COUNTIF(APD,"&gt;"&amp;(--TRIM(LEFT(AB41,2))))+1))</f>
        <v/>
      </c>
      <c r="AE41" s="4" t="n"/>
      <c r="AF41" s="4" t="n"/>
      <c r="AH41">
        <f>IFERROR(INDEX(EqTag,_xlfn.AGGREGATE(15,6,(ROW(EqTag)-4)/((EqSys=$D$3)*(EqTag&lt;&gt;"")),ROWS($AH$14:AH41))),"")</f>
        <v/>
      </c>
    </row>
    <row r="42">
      <c r="A42" s="20">
        <f>IF(F42="","",LEFT($D$3,3)&amp;"-"&amp;TEXT(COUNTIF(F$14:F42,"?*"),"00"))</f>
        <v/>
      </c>
      <c r="B42" s="4" t="n"/>
      <c r="C42" s="5">
        <f>IF(B42="","",IFERROR(INDEX(EqTypeCol,MATCH(B42,EqTag,0)),"Tag not in register"))</f>
        <v/>
      </c>
      <c r="D42" s="4" t="n"/>
      <c r="E42" s="4" t="n"/>
      <c r="F42" s="4" t="n"/>
      <c r="G42" s="4" t="n"/>
      <c r="H42" s="4" t="n"/>
      <c r="I42" s="4" t="n"/>
      <c r="J42" s="5">
        <f>_xlfn.TEXTJOIN(CHAR(10),TRUE,IF(G42="","","• "&amp;G42),IF(H42="","","• "&amp;H42),IF(I42="","","• "&amp;I42))</f>
        <v/>
      </c>
      <c r="K42" s="4" t="n"/>
      <c r="L42" s="4" t="n"/>
      <c r="M42" s="4" t="n"/>
      <c r="N42" s="16" t="n"/>
      <c r="O42" s="4" t="n"/>
      <c r="P42" s="16" t="n"/>
      <c r="Q42" s="4" t="n"/>
      <c r="R42" s="16" t="n"/>
      <c r="S42" s="20">
        <f>IF(OR(N42="",P42="",R42=""),"",(--TRIM(LEFT(N42,2)))*(--TRIM(LEFT(P42,2)))*(--TRIM(LEFT(R42,2))))</f>
        <v/>
      </c>
      <c r="T42" s="20">
        <f>IF(OR(N42="",P42="",R42=""),"",INDEX(APGrid,COUNTIF(APS,"&gt;"&amp;(--TRIM(LEFT(N42,2))))*5+COUNTIF(APO,"&gt;"&amp;(--TRIM(LEFT(P42,2))))+1,COUNTIF(APD,"&gt;"&amp;(--TRIM(LEFT(R42,2))))+1))</f>
        <v/>
      </c>
      <c r="U42" s="20">
        <f>IF(S42="","",IF(OR((--TRIM(LEFT(N42,2)))&gt;=SThr,S42&gt;=RPNThr,T42="H"),"Yes","No"))</f>
        <v/>
      </c>
      <c r="V42" s="4" t="n"/>
      <c r="W42" s="4" t="n"/>
      <c r="X42" s="4" t="n"/>
      <c r="Y42" s="29" t="n"/>
      <c r="Z42" s="16" t="n"/>
      <c r="AA42" s="16" t="n"/>
      <c r="AB42" s="16" t="n"/>
      <c r="AC42" s="20">
        <f>IF(OR(Z42="",AA42="",AB42=""),"",(--TRIM(LEFT(Z42,2)))*(--TRIM(LEFT(AA42,2)))*(--TRIM(LEFT(AB42,2))))</f>
        <v/>
      </c>
      <c r="AD42" s="20">
        <f>IF(OR(Z42="",AA42="",AB42=""),"",INDEX(APGrid,COUNTIF(APS,"&gt;"&amp;(--TRIM(LEFT(Z42,2))))*5+COUNTIF(APO,"&gt;"&amp;(--TRIM(LEFT(AA42,2))))+1,COUNTIF(APD,"&gt;"&amp;(--TRIM(LEFT(AB42,2))))+1))</f>
        <v/>
      </c>
      <c r="AE42" s="4" t="n"/>
      <c r="AF42" s="4" t="n"/>
      <c r="AH42">
        <f>IFERROR(INDEX(EqTag,_xlfn.AGGREGATE(15,6,(ROW(EqTag)-4)/((EqSys=$D$3)*(EqTag&lt;&gt;"")),ROWS($AH$14:AH42))),"")</f>
        <v/>
      </c>
    </row>
    <row r="43">
      <c r="A43" s="20">
        <f>IF(F43="","",LEFT($D$3,3)&amp;"-"&amp;TEXT(COUNTIF(F$14:F43,"?*"),"00"))</f>
        <v/>
      </c>
      <c r="B43" s="4" t="n"/>
      <c r="C43" s="5">
        <f>IF(B43="","",IFERROR(INDEX(EqTypeCol,MATCH(B43,EqTag,0)),"Tag not in register"))</f>
        <v/>
      </c>
      <c r="D43" s="4" t="n"/>
      <c r="E43" s="4" t="n"/>
      <c r="F43" s="4" t="n"/>
      <c r="G43" s="4" t="n"/>
      <c r="H43" s="4" t="n"/>
      <c r="I43" s="4" t="n"/>
      <c r="J43" s="5">
        <f>_xlfn.TEXTJOIN(CHAR(10),TRUE,IF(G43="","","• "&amp;G43),IF(H43="","","• "&amp;H43),IF(I43="","","• "&amp;I43))</f>
        <v/>
      </c>
      <c r="K43" s="4" t="n"/>
      <c r="L43" s="4" t="n"/>
      <c r="M43" s="4" t="n"/>
      <c r="N43" s="16" t="n"/>
      <c r="O43" s="4" t="n"/>
      <c r="P43" s="16" t="n"/>
      <c r="Q43" s="4" t="n"/>
      <c r="R43" s="16" t="n"/>
      <c r="S43" s="20">
        <f>IF(OR(N43="",P43="",R43=""),"",(--TRIM(LEFT(N43,2)))*(--TRIM(LEFT(P43,2)))*(--TRIM(LEFT(R43,2))))</f>
        <v/>
      </c>
      <c r="T43" s="20">
        <f>IF(OR(N43="",P43="",R43=""),"",INDEX(APGrid,COUNTIF(APS,"&gt;"&amp;(--TRIM(LEFT(N43,2))))*5+COUNTIF(APO,"&gt;"&amp;(--TRIM(LEFT(P43,2))))+1,COUNTIF(APD,"&gt;"&amp;(--TRIM(LEFT(R43,2))))+1))</f>
        <v/>
      </c>
      <c r="U43" s="20">
        <f>IF(S43="","",IF(OR((--TRIM(LEFT(N43,2)))&gt;=SThr,S43&gt;=RPNThr,T43="H"),"Yes","No"))</f>
        <v/>
      </c>
      <c r="V43" s="4" t="n"/>
      <c r="W43" s="4" t="n"/>
      <c r="X43" s="4" t="n"/>
      <c r="Y43" s="29" t="n"/>
      <c r="Z43" s="16" t="n"/>
      <c r="AA43" s="16" t="n"/>
      <c r="AB43" s="16" t="n"/>
      <c r="AC43" s="20">
        <f>IF(OR(Z43="",AA43="",AB43=""),"",(--TRIM(LEFT(Z43,2)))*(--TRIM(LEFT(AA43,2)))*(--TRIM(LEFT(AB43,2))))</f>
        <v/>
      </c>
      <c r="AD43" s="20">
        <f>IF(OR(Z43="",AA43="",AB43=""),"",INDEX(APGrid,COUNTIF(APS,"&gt;"&amp;(--TRIM(LEFT(Z43,2))))*5+COUNTIF(APO,"&gt;"&amp;(--TRIM(LEFT(AA43,2))))+1,COUNTIF(APD,"&gt;"&amp;(--TRIM(LEFT(AB43,2))))+1))</f>
        <v/>
      </c>
      <c r="AE43" s="4" t="n"/>
      <c r="AF43" s="4" t="n"/>
      <c r="AH43">
        <f>IFERROR(INDEX(EqTag,_xlfn.AGGREGATE(15,6,(ROW(EqTag)-4)/((EqSys=$D$3)*(EqTag&lt;&gt;"")),ROWS($AH$14:AH43))),"")</f>
        <v/>
      </c>
    </row>
    <row r="44">
      <c r="A44" s="20">
        <f>IF(F44="","",LEFT($D$3,3)&amp;"-"&amp;TEXT(COUNTIF(F$14:F44,"?*"),"00"))</f>
        <v/>
      </c>
      <c r="B44" s="4" t="n"/>
      <c r="C44" s="5">
        <f>IF(B44="","",IFERROR(INDEX(EqTypeCol,MATCH(B44,EqTag,0)),"Tag not in register"))</f>
        <v/>
      </c>
      <c r="D44" s="4" t="n"/>
      <c r="E44" s="4" t="n"/>
      <c r="F44" s="4" t="n"/>
      <c r="G44" s="4" t="n"/>
      <c r="H44" s="4" t="n"/>
      <c r="I44" s="4" t="n"/>
      <c r="J44" s="5">
        <f>_xlfn.TEXTJOIN(CHAR(10),TRUE,IF(G44="","","• "&amp;G44),IF(H44="","","• "&amp;H44),IF(I44="","","• "&amp;I44))</f>
        <v/>
      </c>
      <c r="K44" s="4" t="n"/>
      <c r="L44" s="4" t="n"/>
      <c r="M44" s="4" t="n"/>
      <c r="N44" s="16" t="n"/>
      <c r="O44" s="4" t="n"/>
      <c r="P44" s="16" t="n"/>
      <c r="Q44" s="4" t="n"/>
      <c r="R44" s="16" t="n"/>
      <c r="S44" s="20">
        <f>IF(OR(N44="",P44="",R44=""),"",(--TRIM(LEFT(N44,2)))*(--TRIM(LEFT(P44,2)))*(--TRIM(LEFT(R44,2))))</f>
        <v/>
      </c>
      <c r="T44" s="20">
        <f>IF(OR(N44="",P44="",R44=""),"",INDEX(APGrid,COUNTIF(APS,"&gt;"&amp;(--TRIM(LEFT(N44,2))))*5+COUNTIF(APO,"&gt;"&amp;(--TRIM(LEFT(P44,2))))+1,COUNTIF(APD,"&gt;"&amp;(--TRIM(LEFT(R44,2))))+1))</f>
        <v/>
      </c>
      <c r="U44" s="20">
        <f>IF(S44="","",IF(OR((--TRIM(LEFT(N44,2)))&gt;=SThr,S44&gt;=RPNThr,T44="H"),"Yes","No"))</f>
        <v/>
      </c>
      <c r="V44" s="4" t="n"/>
      <c r="W44" s="4" t="n"/>
      <c r="X44" s="4" t="n"/>
      <c r="Y44" s="29" t="n"/>
      <c r="Z44" s="16" t="n"/>
      <c r="AA44" s="16" t="n"/>
      <c r="AB44" s="16" t="n"/>
      <c r="AC44" s="20">
        <f>IF(OR(Z44="",AA44="",AB44=""),"",(--TRIM(LEFT(Z44,2)))*(--TRIM(LEFT(AA44,2)))*(--TRIM(LEFT(AB44,2))))</f>
        <v/>
      </c>
      <c r="AD44" s="20">
        <f>IF(OR(Z44="",AA44="",AB44=""),"",INDEX(APGrid,COUNTIF(APS,"&gt;"&amp;(--TRIM(LEFT(Z44,2))))*5+COUNTIF(APO,"&gt;"&amp;(--TRIM(LEFT(AA44,2))))+1,COUNTIF(APD,"&gt;"&amp;(--TRIM(LEFT(AB44,2))))+1))</f>
        <v/>
      </c>
      <c r="AE44" s="4" t="n"/>
      <c r="AF44" s="4" t="n"/>
      <c r="AH44">
        <f>IFERROR(INDEX(EqTag,_xlfn.AGGREGATE(15,6,(ROW(EqTag)-4)/((EqSys=$D$3)*(EqTag&lt;&gt;"")),ROWS($AH$14:AH44))),"")</f>
        <v/>
      </c>
    </row>
    <row r="45">
      <c r="A45" s="20">
        <f>IF(F45="","",LEFT($D$3,3)&amp;"-"&amp;TEXT(COUNTIF(F$14:F45,"?*"),"00"))</f>
        <v/>
      </c>
      <c r="B45" s="4" t="n"/>
      <c r="C45" s="5">
        <f>IF(B45="","",IFERROR(INDEX(EqTypeCol,MATCH(B45,EqTag,0)),"Tag not in register"))</f>
        <v/>
      </c>
      <c r="D45" s="4" t="n"/>
      <c r="E45" s="4" t="n"/>
      <c r="F45" s="4" t="n"/>
      <c r="G45" s="4" t="n"/>
      <c r="H45" s="4" t="n"/>
      <c r="I45" s="4" t="n"/>
      <c r="J45" s="5">
        <f>_xlfn.TEXTJOIN(CHAR(10),TRUE,IF(G45="","","• "&amp;G45),IF(H45="","","• "&amp;H45),IF(I45="","","• "&amp;I45))</f>
        <v/>
      </c>
      <c r="K45" s="4" t="n"/>
      <c r="L45" s="4" t="n"/>
      <c r="M45" s="4" t="n"/>
      <c r="N45" s="16" t="n"/>
      <c r="O45" s="4" t="n"/>
      <c r="P45" s="16" t="n"/>
      <c r="Q45" s="4" t="n"/>
      <c r="R45" s="16" t="n"/>
      <c r="S45" s="20">
        <f>IF(OR(N45="",P45="",R45=""),"",(--TRIM(LEFT(N45,2)))*(--TRIM(LEFT(P45,2)))*(--TRIM(LEFT(R45,2))))</f>
        <v/>
      </c>
      <c r="T45" s="20">
        <f>IF(OR(N45="",P45="",R45=""),"",INDEX(APGrid,COUNTIF(APS,"&gt;"&amp;(--TRIM(LEFT(N45,2))))*5+COUNTIF(APO,"&gt;"&amp;(--TRIM(LEFT(P45,2))))+1,COUNTIF(APD,"&gt;"&amp;(--TRIM(LEFT(R45,2))))+1))</f>
        <v/>
      </c>
      <c r="U45" s="20">
        <f>IF(S45="","",IF(OR((--TRIM(LEFT(N45,2)))&gt;=SThr,S45&gt;=RPNThr,T45="H"),"Yes","No"))</f>
        <v/>
      </c>
      <c r="V45" s="4" t="n"/>
      <c r="W45" s="4" t="n"/>
      <c r="X45" s="4" t="n"/>
      <c r="Y45" s="29" t="n"/>
      <c r="Z45" s="16" t="n"/>
      <c r="AA45" s="16" t="n"/>
      <c r="AB45" s="16" t="n"/>
      <c r="AC45" s="20">
        <f>IF(OR(Z45="",AA45="",AB45=""),"",(--TRIM(LEFT(Z45,2)))*(--TRIM(LEFT(AA45,2)))*(--TRIM(LEFT(AB45,2))))</f>
        <v/>
      </c>
      <c r="AD45" s="20">
        <f>IF(OR(Z45="",AA45="",AB45=""),"",INDEX(APGrid,COUNTIF(APS,"&gt;"&amp;(--TRIM(LEFT(Z45,2))))*5+COUNTIF(APO,"&gt;"&amp;(--TRIM(LEFT(AA45,2))))+1,COUNTIF(APD,"&gt;"&amp;(--TRIM(LEFT(AB45,2))))+1))</f>
        <v/>
      </c>
      <c r="AE45" s="4" t="n"/>
      <c r="AF45" s="4" t="n"/>
      <c r="AH45">
        <f>IFERROR(INDEX(EqTag,_xlfn.AGGREGATE(15,6,(ROW(EqTag)-4)/((EqSys=$D$3)*(EqTag&lt;&gt;"")),ROWS($AH$14:AH45))),"")</f>
        <v/>
      </c>
    </row>
    <row r="46">
      <c r="A46" s="20">
        <f>IF(F46="","",LEFT($D$3,3)&amp;"-"&amp;TEXT(COUNTIF(F$14:F46,"?*"),"00"))</f>
        <v/>
      </c>
      <c r="B46" s="4" t="n"/>
      <c r="C46" s="5">
        <f>IF(B46="","",IFERROR(INDEX(EqTypeCol,MATCH(B46,EqTag,0)),"Tag not in register"))</f>
        <v/>
      </c>
      <c r="D46" s="4" t="n"/>
      <c r="E46" s="4" t="n"/>
      <c r="F46" s="4" t="n"/>
      <c r="G46" s="4" t="n"/>
      <c r="H46" s="4" t="n"/>
      <c r="I46" s="4" t="n"/>
      <c r="J46" s="5">
        <f>_xlfn.TEXTJOIN(CHAR(10),TRUE,IF(G46="","","• "&amp;G46),IF(H46="","","• "&amp;H46),IF(I46="","","• "&amp;I46))</f>
        <v/>
      </c>
      <c r="K46" s="4" t="n"/>
      <c r="L46" s="4" t="n"/>
      <c r="M46" s="4" t="n"/>
      <c r="N46" s="16" t="n"/>
      <c r="O46" s="4" t="n"/>
      <c r="P46" s="16" t="n"/>
      <c r="Q46" s="4" t="n"/>
      <c r="R46" s="16" t="n"/>
      <c r="S46" s="20">
        <f>IF(OR(N46="",P46="",R46=""),"",(--TRIM(LEFT(N46,2)))*(--TRIM(LEFT(P46,2)))*(--TRIM(LEFT(R46,2))))</f>
        <v/>
      </c>
      <c r="T46" s="20">
        <f>IF(OR(N46="",P46="",R46=""),"",INDEX(APGrid,COUNTIF(APS,"&gt;"&amp;(--TRIM(LEFT(N46,2))))*5+COUNTIF(APO,"&gt;"&amp;(--TRIM(LEFT(P46,2))))+1,COUNTIF(APD,"&gt;"&amp;(--TRIM(LEFT(R46,2))))+1))</f>
        <v/>
      </c>
      <c r="U46" s="20">
        <f>IF(S46="","",IF(OR((--TRIM(LEFT(N46,2)))&gt;=SThr,S46&gt;=RPNThr,T46="H"),"Yes","No"))</f>
        <v/>
      </c>
      <c r="V46" s="4" t="n"/>
      <c r="W46" s="4" t="n"/>
      <c r="X46" s="4" t="n"/>
      <c r="Y46" s="29" t="n"/>
      <c r="Z46" s="16" t="n"/>
      <c r="AA46" s="16" t="n"/>
      <c r="AB46" s="16" t="n"/>
      <c r="AC46" s="20">
        <f>IF(OR(Z46="",AA46="",AB46=""),"",(--TRIM(LEFT(Z46,2)))*(--TRIM(LEFT(AA46,2)))*(--TRIM(LEFT(AB46,2))))</f>
        <v/>
      </c>
      <c r="AD46" s="20">
        <f>IF(OR(Z46="",AA46="",AB46=""),"",INDEX(APGrid,COUNTIF(APS,"&gt;"&amp;(--TRIM(LEFT(Z46,2))))*5+COUNTIF(APO,"&gt;"&amp;(--TRIM(LEFT(AA46,2))))+1,COUNTIF(APD,"&gt;"&amp;(--TRIM(LEFT(AB46,2))))+1))</f>
        <v/>
      </c>
      <c r="AE46" s="4" t="n"/>
      <c r="AF46" s="4" t="n"/>
      <c r="AH46">
        <f>IFERROR(INDEX(EqTag,_xlfn.AGGREGATE(15,6,(ROW(EqTag)-4)/((EqSys=$D$3)*(EqTag&lt;&gt;"")),ROWS($AH$14:AH46))),"")</f>
        <v/>
      </c>
    </row>
    <row r="47">
      <c r="A47" s="20">
        <f>IF(F47="","",LEFT($D$3,3)&amp;"-"&amp;TEXT(COUNTIF(F$14:F47,"?*"),"00"))</f>
        <v/>
      </c>
      <c r="B47" s="4" t="n"/>
      <c r="C47" s="5">
        <f>IF(B47="","",IFERROR(INDEX(EqTypeCol,MATCH(B47,EqTag,0)),"Tag not in register"))</f>
        <v/>
      </c>
      <c r="D47" s="4" t="n"/>
      <c r="E47" s="4" t="n"/>
      <c r="F47" s="4" t="n"/>
      <c r="G47" s="4" t="n"/>
      <c r="H47" s="4" t="n"/>
      <c r="I47" s="4" t="n"/>
      <c r="J47" s="5">
        <f>_xlfn.TEXTJOIN(CHAR(10),TRUE,IF(G47="","","• "&amp;G47),IF(H47="","","• "&amp;H47),IF(I47="","","• "&amp;I47))</f>
        <v/>
      </c>
      <c r="K47" s="4" t="n"/>
      <c r="L47" s="4" t="n"/>
      <c r="M47" s="4" t="n"/>
      <c r="N47" s="16" t="n"/>
      <c r="O47" s="4" t="n"/>
      <c r="P47" s="16" t="n"/>
      <c r="Q47" s="4" t="n"/>
      <c r="R47" s="16" t="n"/>
      <c r="S47" s="20">
        <f>IF(OR(N47="",P47="",R47=""),"",(--TRIM(LEFT(N47,2)))*(--TRIM(LEFT(P47,2)))*(--TRIM(LEFT(R47,2))))</f>
        <v/>
      </c>
      <c r="T47" s="20">
        <f>IF(OR(N47="",P47="",R47=""),"",INDEX(APGrid,COUNTIF(APS,"&gt;"&amp;(--TRIM(LEFT(N47,2))))*5+COUNTIF(APO,"&gt;"&amp;(--TRIM(LEFT(P47,2))))+1,COUNTIF(APD,"&gt;"&amp;(--TRIM(LEFT(R47,2))))+1))</f>
        <v/>
      </c>
      <c r="U47" s="20">
        <f>IF(S47="","",IF(OR((--TRIM(LEFT(N47,2)))&gt;=SThr,S47&gt;=RPNThr,T47="H"),"Yes","No"))</f>
        <v/>
      </c>
      <c r="V47" s="4" t="n"/>
      <c r="W47" s="4" t="n"/>
      <c r="X47" s="4" t="n"/>
      <c r="Y47" s="29" t="n"/>
      <c r="Z47" s="16" t="n"/>
      <c r="AA47" s="16" t="n"/>
      <c r="AB47" s="16" t="n"/>
      <c r="AC47" s="20">
        <f>IF(OR(Z47="",AA47="",AB47=""),"",(--TRIM(LEFT(Z47,2)))*(--TRIM(LEFT(AA47,2)))*(--TRIM(LEFT(AB47,2))))</f>
        <v/>
      </c>
      <c r="AD47" s="20">
        <f>IF(OR(Z47="",AA47="",AB47=""),"",INDEX(APGrid,COUNTIF(APS,"&gt;"&amp;(--TRIM(LEFT(Z47,2))))*5+COUNTIF(APO,"&gt;"&amp;(--TRIM(LEFT(AA47,2))))+1,COUNTIF(APD,"&gt;"&amp;(--TRIM(LEFT(AB47,2))))+1))</f>
        <v/>
      </c>
      <c r="AE47" s="4" t="n"/>
      <c r="AF47" s="4" t="n"/>
      <c r="AH47">
        <f>IFERROR(INDEX(EqTag,_xlfn.AGGREGATE(15,6,(ROW(EqTag)-4)/((EqSys=$D$3)*(EqTag&lt;&gt;"")),ROWS($AH$14:AH47))),"")</f>
        <v/>
      </c>
    </row>
    <row r="48">
      <c r="A48" s="20">
        <f>IF(F48="","",LEFT($D$3,3)&amp;"-"&amp;TEXT(COUNTIF(F$14:F48,"?*"),"00"))</f>
        <v/>
      </c>
      <c r="B48" s="4" t="n"/>
      <c r="C48" s="5">
        <f>IF(B48="","",IFERROR(INDEX(EqTypeCol,MATCH(B48,EqTag,0)),"Tag not in register"))</f>
        <v/>
      </c>
      <c r="D48" s="4" t="n"/>
      <c r="E48" s="4" t="n"/>
      <c r="F48" s="4" t="n"/>
      <c r="G48" s="4" t="n"/>
      <c r="H48" s="4" t="n"/>
      <c r="I48" s="4" t="n"/>
      <c r="J48" s="5">
        <f>_xlfn.TEXTJOIN(CHAR(10),TRUE,IF(G48="","","• "&amp;G48),IF(H48="","","• "&amp;H48),IF(I48="","","• "&amp;I48))</f>
        <v/>
      </c>
      <c r="K48" s="4" t="n"/>
      <c r="L48" s="4" t="n"/>
      <c r="M48" s="4" t="n"/>
      <c r="N48" s="16" t="n"/>
      <c r="O48" s="4" t="n"/>
      <c r="P48" s="16" t="n"/>
      <c r="Q48" s="4" t="n"/>
      <c r="R48" s="16" t="n"/>
      <c r="S48" s="20">
        <f>IF(OR(N48="",P48="",R48=""),"",(--TRIM(LEFT(N48,2)))*(--TRIM(LEFT(P48,2)))*(--TRIM(LEFT(R48,2))))</f>
        <v/>
      </c>
      <c r="T48" s="20">
        <f>IF(OR(N48="",P48="",R48=""),"",INDEX(APGrid,COUNTIF(APS,"&gt;"&amp;(--TRIM(LEFT(N48,2))))*5+COUNTIF(APO,"&gt;"&amp;(--TRIM(LEFT(P48,2))))+1,COUNTIF(APD,"&gt;"&amp;(--TRIM(LEFT(R48,2))))+1))</f>
        <v/>
      </c>
      <c r="U48" s="20">
        <f>IF(S48="","",IF(OR((--TRIM(LEFT(N48,2)))&gt;=SThr,S48&gt;=RPNThr,T48="H"),"Yes","No"))</f>
        <v/>
      </c>
      <c r="V48" s="4" t="n"/>
      <c r="W48" s="4" t="n"/>
      <c r="X48" s="4" t="n"/>
      <c r="Y48" s="29" t="n"/>
      <c r="Z48" s="16" t="n"/>
      <c r="AA48" s="16" t="n"/>
      <c r="AB48" s="16" t="n"/>
      <c r="AC48" s="20">
        <f>IF(OR(Z48="",AA48="",AB48=""),"",(--TRIM(LEFT(Z48,2)))*(--TRIM(LEFT(AA48,2)))*(--TRIM(LEFT(AB48,2))))</f>
        <v/>
      </c>
      <c r="AD48" s="20">
        <f>IF(OR(Z48="",AA48="",AB48=""),"",INDEX(APGrid,COUNTIF(APS,"&gt;"&amp;(--TRIM(LEFT(Z48,2))))*5+COUNTIF(APO,"&gt;"&amp;(--TRIM(LEFT(AA48,2))))+1,COUNTIF(APD,"&gt;"&amp;(--TRIM(LEFT(AB48,2))))+1))</f>
        <v/>
      </c>
      <c r="AE48" s="4" t="n"/>
      <c r="AF48" s="4" t="n"/>
      <c r="AH48">
        <f>IFERROR(INDEX(EqTag,_xlfn.AGGREGATE(15,6,(ROW(EqTag)-4)/((EqSys=$D$3)*(EqTag&lt;&gt;"")),ROWS($AH$14:AH48))),"")</f>
        <v/>
      </c>
    </row>
    <row r="49">
      <c r="A49" s="20">
        <f>IF(F49="","",LEFT($D$3,3)&amp;"-"&amp;TEXT(COUNTIF(F$14:F49,"?*"),"00"))</f>
        <v/>
      </c>
      <c r="B49" s="4" t="n"/>
      <c r="C49" s="5">
        <f>IF(B49="","",IFERROR(INDEX(EqTypeCol,MATCH(B49,EqTag,0)),"Tag not in register"))</f>
        <v/>
      </c>
      <c r="D49" s="4" t="n"/>
      <c r="E49" s="4" t="n"/>
      <c r="F49" s="4" t="n"/>
      <c r="G49" s="4" t="n"/>
      <c r="H49" s="4" t="n"/>
      <c r="I49" s="4" t="n"/>
      <c r="J49" s="5">
        <f>_xlfn.TEXTJOIN(CHAR(10),TRUE,IF(G49="","","• "&amp;G49),IF(H49="","","• "&amp;H49),IF(I49="","","• "&amp;I49))</f>
        <v/>
      </c>
      <c r="K49" s="4" t="n"/>
      <c r="L49" s="4" t="n"/>
      <c r="M49" s="4" t="n"/>
      <c r="N49" s="16" t="n"/>
      <c r="O49" s="4" t="n"/>
      <c r="P49" s="16" t="n"/>
      <c r="Q49" s="4" t="n"/>
      <c r="R49" s="16" t="n"/>
      <c r="S49" s="20">
        <f>IF(OR(N49="",P49="",R49=""),"",(--TRIM(LEFT(N49,2)))*(--TRIM(LEFT(P49,2)))*(--TRIM(LEFT(R49,2))))</f>
        <v/>
      </c>
      <c r="T49" s="20">
        <f>IF(OR(N49="",P49="",R49=""),"",INDEX(APGrid,COUNTIF(APS,"&gt;"&amp;(--TRIM(LEFT(N49,2))))*5+COUNTIF(APO,"&gt;"&amp;(--TRIM(LEFT(P49,2))))+1,COUNTIF(APD,"&gt;"&amp;(--TRIM(LEFT(R49,2))))+1))</f>
        <v/>
      </c>
      <c r="U49" s="20">
        <f>IF(S49="","",IF(OR((--TRIM(LEFT(N49,2)))&gt;=SThr,S49&gt;=RPNThr,T49="H"),"Yes","No"))</f>
        <v/>
      </c>
      <c r="V49" s="4" t="n"/>
      <c r="W49" s="4" t="n"/>
      <c r="X49" s="4" t="n"/>
      <c r="Y49" s="29" t="n"/>
      <c r="Z49" s="16" t="n"/>
      <c r="AA49" s="16" t="n"/>
      <c r="AB49" s="16" t="n"/>
      <c r="AC49" s="20">
        <f>IF(OR(Z49="",AA49="",AB49=""),"",(--TRIM(LEFT(Z49,2)))*(--TRIM(LEFT(AA49,2)))*(--TRIM(LEFT(AB49,2))))</f>
        <v/>
      </c>
      <c r="AD49" s="20">
        <f>IF(OR(Z49="",AA49="",AB49=""),"",INDEX(APGrid,COUNTIF(APS,"&gt;"&amp;(--TRIM(LEFT(Z49,2))))*5+COUNTIF(APO,"&gt;"&amp;(--TRIM(LEFT(AA49,2))))+1,COUNTIF(APD,"&gt;"&amp;(--TRIM(LEFT(AB49,2))))+1))</f>
        <v/>
      </c>
      <c r="AE49" s="4" t="n"/>
      <c r="AF49" s="4" t="n"/>
      <c r="AH49">
        <f>IFERROR(INDEX(EqTag,_xlfn.AGGREGATE(15,6,(ROW(EqTag)-4)/((EqSys=$D$3)*(EqTag&lt;&gt;"")),ROWS($AH$14:AH49))),"")</f>
        <v/>
      </c>
    </row>
    <row r="50">
      <c r="A50" s="20">
        <f>IF(F50="","",LEFT($D$3,3)&amp;"-"&amp;TEXT(COUNTIF(F$14:F50,"?*"),"00"))</f>
        <v/>
      </c>
      <c r="B50" s="4" t="n"/>
      <c r="C50" s="5">
        <f>IF(B50="","",IFERROR(INDEX(EqTypeCol,MATCH(B50,EqTag,0)),"Tag not in register"))</f>
        <v/>
      </c>
      <c r="D50" s="4" t="n"/>
      <c r="E50" s="4" t="n"/>
      <c r="F50" s="4" t="n"/>
      <c r="G50" s="4" t="n"/>
      <c r="H50" s="4" t="n"/>
      <c r="I50" s="4" t="n"/>
      <c r="J50" s="5">
        <f>_xlfn.TEXTJOIN(CHAR(10),TRUE,IF(G50="","","• "&amp;G50),IF(H50="","","• "&amp;H50),IF(I50="","","• "&amp;I50))</f>
        <v/>
      </c>
      <c r="K50" s="4" t="n"/>
      <c r="L50" s="4" t="n"/>
      <c r="M50" s="4" t="n"/>
      <c r="N50" s="16" t="n"/>
      <c r="O50" s="4" t="n"/>
      <c r="P50" s="16" t="n"/>
      <c r="Q50" s="4" t="n"/>
      <c r="R50" s="16" t="n"/>
      <c r="S50" s="20">
        <f>IF(OR(N50="",P50="",R50=""),"",(--TRIM(LEFT(N50,2)))*(--TRIM(LEFT(P50,2)))*(--TRIM(LEFT(R50,2))))</f>
        <v/>
      </c>
      <c r="T50" s="20">
        <f>IF(OR(N50="",P50="",R50=""),"",INDEX(APGrid,COUNTIF(APS,"&gt;"&amp;(--TRIM(LEFT(N50,2))))*5+COUNTIF(APO,"&gt;"&amp;(--TRIM(LEFT(P50,2))))+1,COUNTIF(APD,"&gt;"&amp;(--TRIM(LEFT(R50,2))))+1))</f>
        <v/>
      </c>
      <c r="U50" s="20">
        <f>IF(S50="","",IF(OR((--TRIM(LEFT(N50,2)))&gt;=SThr,S50&gt;=RPNThr,T50="H"),"Yes","No"))</f>
        <v/>
      </c>
      <c r="V50" s="4" t="n"/>
      <c r="W50" s="4" t="n"/>
      <c r="X50" s="4" t="n"/>
      <c r="Y50" s="29" t="n"/>
      <c r="Z50" s="16" t="n"/>
      <c r="AA50" s="16" t="n"/>
      <c r="AB50" s="16" t="n"/>
      <c r="AC50" s="20">
        <f>IF(OR(Z50="",AA50="",AB50=""),"",(--TRIM(LEFT(Z50,2)))*(--TRIM(LEFT(AA50,2)))*(--TRIM(LEFT(AB50,2))))</f>
        <v/>
      </c>
      <c r="AD50" s="20">
        <f>IF(OR(Z50="",AA50="",AB50=""),"",INDEX(APGrid,COUNTIF(APS,"&gt;"&amp;(--TRIM(LEFT(Z50,2))))*5+COUNTIF(APO,"&gt;"&amp;(--TRIM(LEFT(AA50,2))))+1,COUNTIF(APD,"&gt;"&amp;(--TRIM(LEFT(AB50,2))))+1))</f>
        <v/>
      </c>
      <c r="AE50" s="4" t="n"/>
      <c r="AF50" s="4" t="n"/>
      <c r="AH50">
        <f>IFERROR(INDEX(EqTag,_xlfn.AGGREGATE(15,6,(ROW(EqTag)-4)/((EqSys=$D$3)*(EqTag&lt;&gt;"")),ROWS($AH$14:AH50))),"")</f>
        <v/>
      </c>
    </row>
    <row r="51">
      <c r="A51" s="20">
        <f>IF(F51="","",LEFT($D$3,3)&amp;"-"&amp;TEXT(COUNTIF(F$14:F51,"?*"),"00"))</f>
        <v/>
      </c>
      <c r="B51" s="4" t="n"/>
      <c r="C51" s="5">
        <f>IF(B51="","",IFERROR(INDEX(EqTypeCol,MATCH(B51,EqTag,0)),"Tag not in register"))</f>
        <v/>
      </c>
      <c r="D51" s="4" t="n"/>
      <c r="E51" s="4" t="n"/>
      <c r="F51" s="4" t="n"/>
      <c r="G51" s="4" t="n"/>
      <c r="H51" s="4" t="n"/>
      <c r="I51" s="4" t="n"/>
      <c r="J51" s="5">
        <f>_xlfn.TEXTJOIN(CHAR(10),TRUE,IF(G51="","","• "&amp;G51),IF(H51="","","• "&amp;H51),IF(I51="","","• "&amp;I51))</f>
        <v/>
      </c>
      <c r="K51" s="4" t="n"/>
      <c r="L51" s="4" t="n"/>
      <c r="M51" s="4" t="n"/>
      <c r="N51" s="16" t="n"/>
      <c r="O51" s="4" t="n"/>
      <c r="P51" s="16" t="n"/>
      <c r="Q51" s="4" t="n"/>
      <c r="R51" s="16" t="n"/>
      <c r="S51" s="20">
        <f>IF(OR(N51="",P51="",R51=""),"",(--TRIM(LEFT(N51,2)))*(--TRIM(LEFT(P51,2)))*(--TRIM(LEFT(R51,2))))</f>
        <v/>
      </c>
      <c r="T51" s="20">
        <f>IF(OR(N51="",P51="",R51=""),"",INDEX(APGrid,COUNTIF(APS,"&gt;"&amp;(--TRIM(LEFT(N51,2))))*5+COUNTIF(APO,"&gt;"&amp;(--TRIM(LEFT(P51,2))))+1,COUNTIF(APD,"&gt;"&amp;(--TRIM(LEFT(R51,2))))+1))</f>
        <v/>
      </c>
      <c r="U51" s="20">
        <f>IF(S51="","",IF(OR((--TRIM(LEFT(N51,2)))&gt;=SThr,S51&gt;=RPNThr,T51="H"),"Yes","No"))</f>
        <v/>
      </c>
      <c r="V51" s="4" t="n"/>
      <c r="W51" s="4" t="n"/>
      <c r="X51" s="4" t="n"/>
      <c r="Y51" s="29" t="n"/>
      <c r="Z51" s="16" t="n"/>
      <c r="AA51" s="16" t="n"/>
      <c r="AB51" s="16" t="n"/>
      <c r="AC51" s="20">
        <f>IF(OR(Z51="",AA51="",AB51=""),"",(--TRIM(LEFT(Z51,2)))*(--TRIM(LEFT(AA51,2)))*(--TRIM(LEFT(AB51,2))))</f>
        <v/>
      </c>
      <c r="AD51" s="20">
        <f>IF(OR(Z51="",AA51="",AB51=""),"",INDEX(APGrid,COUNTIF(APS,"&gt;"&amp;(--TRIM(LEFT(Z51,2))))*5+COUNTIF(APO,"&gt;"&amp;(--TRIM(LEFT(AA51,2))))+1,COUNTIF(APD,"&gt;"&amp;(--TRIM(LEFT(AB51,2))))+1))</f>
        <v/>
      </c>
      <c r="AE51" s="4" t="n"/>
      <c r="AF51" s="4" t="n"/>
      <c r="AH51">
        <f>IFERROR(INDEX(EqTag,_xlfn.AGGREGATE(15,6,(ROW(EqTag)-4)/((EqSys=$D$3)*(EqTag&lt;&gt;"")),ROWS($AH$14:AH51))),"")</f>
        <v/>
      </c>
    </row>
    <row r="52">
      <c r="A52" s="20">
        <f>IF(F52="","",LEFT($D$3,3)&amp;"-"&amp;TEXT(COUNTIF(F$14:F52,"?*"),"00"))</f>
        <v/>
      </c>
      <c r="B52" s="4" t="n"/>
      <c r="C52" s="5">
        <f>IF(B52="","",IFERROR(INDEX(EqTypeCol,MATCH(B52,EqTag,0)),"Tag not in register"))</f>
        <v/>
      </c>
      <c r="D52" s="4" t="n"/>
      <c r="E52" s="4" t="n"/>
      <c r="F52" s="4" t="n"/>
      <c r="G52" s="4" t="n"/>
      <c r="H52" s="4" t="n"/>
      <c r="I52" s="4" t="n"/>
      <c r="J52" s="5">
        <f>_xlfn.TEXTJOIN(CHAR(10),TRUE,IF(G52="","","• "&amp;G52),IF(H52="","","• "&amp;H52),IF(I52="","","• "&amp;I52))</f>
        <v/>
      </c>
      <c r="K52" s="4" t="n"/>
      <c r="L52" s="4" t="n"/>
      <c r="M52" s="4" t="n"/>
      <c r="N52" s="16" t="n"/>
      <c r="O52" s="4" t="n"/>
      <c r="P52" s="16" t="n"/>
      <c r="Q52" s="4" t="n"/>
      <c r="R52" s="16" t="n"/>
      <c r="S52" s="20">
        <f>IF(OR(N52="",P52="",R52=""),"",(--TRIM(LEFT(N52,2)))*(--TRIM(LEFT(P52,2)))*(--TRIM(LEFT(R52,2))))</f>
        <v/>
      </c>
      <c r="T52" s="20">
        <f>IF(OR(N52="",P52="",R52=""),"",INDEX(APGrid,COUNTIF(APS,"&gt;"&amp;(--TRIM(LEFT(N52,2))))*5+COUNTIF(APO,"&gt;"&amp;(--TRIM(LEFT(P52,2))))+1,COUNTIF(APD,"&gt;"&amp;(--TRIM(LEFT(R52,2))))+1))</f>
        <v/>
      </c>
      <c r="U52" s="20">
        <f>IF(S52="","",IF(OR((--TRIM(LEFT(N52,2)))&gt;=SThr,S52&gt;=RPNThr,T52="H"),"Yes","No"))</f>
        <v/>
      </c>
      <c r="V52" s="4" t="n"/>
      <c r="W52" s="4" t="n"/>
      <c r="X52" s="4" t="n"/>
      <c r="Y52" s="29" t="n"/>
      <c r="Z52" s="16" t="n"/>
      <c r="AA52" s="16" t="n"/>
      <c r="AB52" s="16" t="n"/>
      <c r="AC52" s="20">
        <f>IF(OR(Z52="",AA52="",AB52=""),"",(--TRIM(LEFT(Z52,2)))*(--TRIM(LEFT(AA52,2)))*(--TRIM(LEFT(AB52,2))))</f>
        <v/>
      </c>
      <c r="AD52" s="20">
        <f>IF(OR(Z52="",AA52="",AB52=""),"",INDEX(APGrid,COUNTIF(APS,"&gt;"&amp;(--TRIM(LEFT(Z52,2))))*5+COUNTIF(APO,"&gt;"&amp;(--TRIM(LEFT(AA52,2))))+1,COUNTIF(APD,"&gt;"&amp;(--TRIM(LEFT(AB52,2))))+1))</f>
        <v/>
      </c>
      <c r="AE52" s="4" t="n"/>
      <c r="AF52" s="4" t="n"/>
      <c r="AH52">
        <f>IFERROR(INDEX(EqTag,_xlfn.AGGREGATE(15,6,(ROW(EqTag)-4)/((EqSys=$D$3)*(EqTag&lt;&gt;"")),ROWS($AH$14:AH52))),"")</f>
        <v/>
      </c>
    </row>
    <row r="53">
      <c r="A53" s="20">
        <f>IF(F53="","",LEFT($D$3,3)&amp;"-"&amp;TEXT(COUNTIF(F$14:F53,"?*"),"00"))</f>
        <v/>
      </c>
      <c r="B53" s="4" t="n"/>
      <c r="C53" s="5">
        <f>IF(B53="","",IFERROR(INDEX(EqTypeCol,MATCH(B53,EqTag,0)),"Tag not in register"))</f>
        <v/>
      </c>
      <c r="D53" s="4" t="n"/>
      <c r="E53" s="4" t="n"/>
      <c r="F53" s="4" t="n"/>
      <c r="G53" s="4" t="n"/>
      <c r="H53" s="4" t="n"/>
      <c r="I53" s="4" t="n"/>
      <c r="J53" s="5">
        <f>_xlfn.TEXTJOIN(CHAR(10),TRUE,IF(G53="","","• "&amp;G53),IF(H53="","","• "&amp;H53),IF(I53="","","• "&amp;I53))</f>
        <v/>
      </c>
      <c r="K53" s="4" t="n"/>
      <c r="L53" s="4" t="n"/>
      <c r="M53" s="4" t="n"/>
      <c r="N53" s="16" t="n"/>
      <c r="O53" s="4" t="n"/>
      <c r="P53" s="16" t="n"/>
      <c r="Q53" s="4" t="n"/>
      <c r="R53" s="16" t="n"/>
      <c r="S53" s="20">
        <f>IF(OR(N53="",P53="",R53=""),"",(--TRIM(LEFT(N53,2)))*(--TRIM(LEFT(P53,2)))*(--TRIM(LEFT(R53,2))))</f>
        <v/>
      </c>
      <c r="T53" s="20">
        <f>IF(OR(N53="",P53="",R53=""),"",INDEX(APGrid,COUNTIF(APS,"&gt;"&amp;(--TRIM(LEFT(N53,2))))*5+COUNTIF(APO,"&gt;"&amp;(--TRIM(LEFT(P53,2))))+1,COUNTIF(APD,"&gt;"&amp;(--TRIM(LEFT(R53,2))))+1))</f>
        <v/>
      </c>
      <c r="U53" s="20">
        <f>IF(S53="","",IF(OR((--TRIM(LEFT(N53,2)))&gt;=SThr,S53&gt;=RPNThr,T53="H"),"Yes","No"))</f>
        <v/>
      </c>
      <c r="V53" s="4" t="n"/>
      <c r="W53" s="4" t="n"/>
      <c r="X53" s="4" t="n"/>
      <c r="Y53" s="29" t="n"/>
      <c r="Z53" s="16" t="n"/>
      <c r="AA53" s="16" t="n"/>
      <c r="AB53" s="16" t="n"/>
      <c r="AC53" s="20">
        <f>IF(OR(Z53="",AA53="",AB53=""),"",(--TRIM(LEFT(Z53,2)))*(--TRIM(LEFT(AA53,2)))*(--TRIM(LEFT(AB53,2))))</f>
        <v/>
      </c>
      <c r="AD53" s="20">
        <f>IF(OR(Z53="",AA53="",AB53=""),"",INDEX(APGrid,COUNTIF(APS,"&gt;"&amp;(--TRIM(LEFT(Z53,2))))*5+COUNTIF(APO,"&gt;"&amp;(--TRIM(LEFT(AA53,2))))+1,COUNTIF(APD,"&gt;"&amp;(--TRIM(LEFT(AB53,2))))+1))</f>
        <v/>
      </c>
      <c r="AE53" s="4" t="n"/>
      <c r="AF53" s="4" t="n"/>
      <c r="AH53">
        <f>IFERROR(INDEX(EqTag,_xlfn.AGGREGATE(15,6,(ROW(EqTag)-4)/((EqSys=$D$3)*(EqTag&lt;&gt;"")),ROWS($AH$14:AH53))),"")</f>
        <v/>
      </c>
    </row>
    <row r="54">
      <c r="A54" s="20">
        <f>IF(F54="","",LEFT($D$3,3)&amp;"-"&amp;TEXT(COUNTIF(F$14:F54,"?*"),"00"))</f>
        <v/>
      </c>
      <c r="B54" s="4" t="n"/>
      <c r="C54" s="5">
        <f>IF(B54="","",IFERROR(INDEX(EqTypeCol,MATCH(B54,EqTag,0)),"Tag not in register"))</f>
        <v/>
      </c>
      <c r="D54" s="4" t="n"/>
      <c r="E54" s="4" t="n"/>
      <c r="F54" s="4" t="n"/>
      <c r="G54" s="4" t="n"/>
      <c r="H54" s="4" t="n"/>
      <c r="I54" s="4" t="n"/>
      <c r="J54" s="5">
        <f>_xlfn.TEXTJOIN(CHAR(10),TRUE,IF(G54="","","• "&amp;G54),IF(H54="","","• "&amp;H54),IF(I54="","","• "&amp;I54))</f>
        <v/>
      </c>
      <c r="K54" s="4" t="n"/>
      <c r="L54" s="4" t="n"/>
      <c r="M54" s="4" t="n"/>
      <c r="N54" s="16" t="n"/>
      <c r="O54" s="4" t="n"/>
      <c r="P54" s="16" t="n"/>
      <c r="Q54" s="4" t="n"/>
      <c r="R54" s="16" t="n"/>
      <c r="S54" s="20">
        <f>IF(OR(N54="",P54="",R54=""),"",(--TRIM(LEFT(N54,2)))*(--TRIM(LEFT(P54,2)))*(--TRIM(LEFT(R54,2))))</f>
        <v/>
      </c>
      <c r="T54" s="20">
        <f>IF(OR(N54="",P54="",R54=""),"",INDEX(APGrid,COUNTIF(APS,"&gt;"&amp;(--TRIM(LEFT(N54,2))))*5+COUNTIF(APO,"&gt;"&amp;(--TRIM(LEFT(P54,2))))+1,COUNTIF(APD,"&gt;"&amp;(--TRIM(LEFT(R54,2))))+1))</f>
        <v/>
      </c>
      <c r="U54" s="20">
        <f>IF(S54="","",IF(OR((--TRIM(LEFT(N54,2)))&gt;=SThr,S54&gt;=RPNThr,T54="H"),"Yes","No"))</f>
        <v/>
      </c>
      <c r="V54" s="4" t="n"/>
      <c r="W54" s="4" t="n"/>
      <c r="X54" s="4" t="n"/>
      <c r="Y54" s="29" t="n"/>
      <c r="Z54" s="16" t="n"/>
      <c r="AA54" s="16" t="n"/>
      <c r="AB54" s="16" t="n"/>
      <c r="AC54" s="20">
        <f>IF(OR(Z54="",AA54="",AB54=""),"",(--TRIM(LEFT(Z54,2)))*(--TRIM(LEFT(AA54,2)))*(--TRIM(LEFT(AB54,2))))</f>
        <v/>
      </c>
      <c r="AD54" s="20">
        <f>IF(OR(Z54="",AA54="",AB54=""),"",INDEX(APGrid,COUNTIF(APS,"&gt;"&amp;(--TRIM(LEFT(Z54,2))))*5+COUNTIF(APO,"&gt;"&amp;(--TRIM(LEFT(AA54,2))))+1,COUNTIF(APD,"&gt;"&amp;(--TRIM(LEFT(AB54,2))))+1))</f>
        <v/>
      </c>
      <c r="AE54" s="4" t="n"/>
      <c r="AF54" s="4" t="n"/>
      <c r="AH54">
        <f>IFERROR(INDEX(EqTag,_xlfn.AGGREGATE(15,6,(ROW(EqTag)-4)/((EqSys=$D$3)*(EqTag&lt;&gt;"")),ROWS($AH$14:AH54))),"")</f>
        <v/>
      </c>
    </row>
    <row r="55">
      <c r="A55" s="20">
        <f>IF(F55="","",LEFT($D$3,3)&amp;"-"&amp;TEXT(COUNTIF(F$14:F55,"?*"),"00"))</f>
        <v/>
      </c>
      <c r="B55" s="4" t="n"/>
      <c r="C55" s="5">
        <f>IF(B55="","",IFERROR(INDEX(EqTypeCol,MATCH(B55,EqTag,0)),"Tag not in register"))</f>
        <v/>
      </c>
      <c r="D55" s="4" t="n"/>
      <c r="E55" s="4" t="n"/>
      <c r="F55" s="4" t="n"/>
      <c r="G55" s="4" t="n"/>
      <c r="H55" s="4" t="n"/>
      <c r="I55" s="4" t="n"/>
      <c r="J55" s="5">
        <f>_xlfn.TEXTJOIN(CHAR(10),TRUE,IF(G55="","","• "&amp;G55),IF(H55="","","• "&amp;H55),IF(I55="","","• "&amp;I55))</f>
        <v/>
      </c>
      <c r="K55" s="4" t="n"/>
      <c r="L55" s="4" t="n"/>
      <c r="M55" s="4" t="n"/>
      <c r="N55" s="16" t="n"/>
      <c r="O55" s="4" t="n"/>
      <c r="P55" s="16" t="n"/>
      <c r="Q55" s="4" t="n"/>
      <c r="R55" s="16" t="n"/>
      <c r="S55" s="20">
        <f>IF(OR(N55="",P55="",R55=""),"",(--TRIM(LEFT(N55,2)))*(--TRIM(LEFT(P55,2)))*(--TRIM(LEFT(R55,2))))</f>
        <v/>
      </c>
      <c r="T55" s="20">
        <f>IF(OR(N55="",P55="",R55=""),"",INDEX(APGrid,COUNTIF(APS,"&gt;"&amp;(--TRIM(LEFT(N55,2))))*5+COUNTIF(APO,"&gt;"&amp;(--TRIM(LEFT(P55,2))))+1,COUNTIF(APD,"&gt;"&amp;(--TRIM(LEFT(R55,2))))+1))</f>
        <v/>
      </c>
      <c r="U55" s="20">
        <f>IF(S55="","",IF(OR((--TRIM(LEFT(N55,2)))&gt;=SThr,S55&gt;=RPNThr,T55="H"),"Yes","No"))</f>
        <v/>
      </c>
      <c r="V55" s="4" t="n"/>
      <c r="W55" s="4" t="n"/>
      <c r="X55" s="4" t="n"/>
      <c r="Y55" s="29" t="n"/>
      <c r="Z55" s="16" t="n"/>
      <c r="AA55" s="16" t="n"/>
      <c r="AB55" s="16" t="n"/>
      <c r="AC55" s="20">
        <f>IF(OR(Z55="",AA55="",AB55=""),"",(--TRIM(LEFT(Z55,2)))*(--TRIM(LEFT(AA55,2)))*(--TRIM(LEFT(AB55,2))))</f>
        <v/>
      </c>
      <c r="AD55" s="20">
        <f>IF(OR(Z55="",AA55="",AB55=""),"",INDEX(APGrid,COUNTIF(APS,"&gt;"&amp;(--TRIM(LEFT(Z55,2))))*5+COUNTIF(APO,"&gt;"&amp;(--TRIM(LEFT(AA55,2))))+1,COUNTIF(APD,"&gt;"&amp;(--TRIM(LEFT(AB55,2))))+1))</f>
        <v/>
      </c>
      <c r="AE55" s="4" t="n"/>
      <c r="AF55" s="4" t="n"/>
      <c r="AH55">
        <f>IFERROR(INDEX(EqTag,_xlfn.AGGREGATE(15,6,(ROW(EqTag)-4)/((EqSys=$D$3)*(EqTag&lt;&gt;"")),ROWS($AH$14:AH55))),"")</f>
        <v/>
      </c>
    </row>
    <row r="56">
      <c r="A56" s="20">
        <f>IF(F56="","",LEFT($D$3,3)&amp;"-"&amp;TEXT(COUNTIF(F$14:F56,"?*"),"00"))</f>
        <v/>
      </c>
      <c r="B56" s="4" t="n"/>
      <c r="C56" s="5">
        <f>IF(B56="","",IFERROR(INDEX(EqTypeCol,MATCH(B56,EqTag,0)),"Tag not in register"))</f>
        <v/>
      </c>
      <c r="D56" s="4" t="n"/>
      <c r="E56" s="4" t="n"/>
      <c r="F56" s="4" t="n"/>
      <c r="G56" s="4" t="n"/>
      <c r="H56" s="4" t="n"/>
      <c r="I56" s="4" t="n"/>
      <c r="J56" s="5">
        <f>_xlfn.TEXTJOIN(CHAR(10),TRUE,IF(G56="","","• "&amp;G56),IF(H56="","","• "&amp;H56),IF(I56="","","• "&amp;I56))</f>
        <v/>
      </c>
      <c r="K56" s="4" t="n"/>
      <c r="L56" s="4" t="n"/>
      <c r="M56" s="4" t="n"/>
      <c r="N56" s="16" t="n"/>
      <c r="O56" s="4" t="n"/>
      <c r="P56" s="16" t="n"/>
      <c r="Q56" s="4" t="n"/>
      <c r="R56" s="16" t="n"/>
      <c r="S56" s="20">
        <f>IF(OR(N56="",P56="",R56=""),"",(--TRIM(LEFT(N56,2)))*(--TRIM(LEFT(P56,2)))*(--TRIM(LEFT(R56,2))))</f>
        <v/>
      </c>
      <c r="T56" s="20">
        <f>IF(OR(N56="",P56="",R56=""),"",INDEX(APGrid,COUNTIF(APS,"&gt;"&amp;(--TRIM(LEFT(N56,2))))*5+COUNTIF(APO,"&gt;"&amp;(--TRIM(LEFT(P56,2))))+1,COUNTIF(APD,"&gt;"&amp;(--TRIM(LEFT(R56,2))))+1))</f>
        <v/>
      </c>
      <c r="U56" s="20">
        <f>IF(S56="","",IF(OR((--TRIM(LEFT(N56,2)))&gt;=SThr,S56&gt;=RPNThr,T56="H"),"Yes","No"))</f>
        <v/>
      </c>
      <c r="V56" s="4" t="n"/>
      <c r="W56" s="4" t="n"/>
      <c r="X56" s="4" t="n"/>
      <c r="Y56" s="29" t="n"/>
      <c r="Z56" s="16" t="n"/>
      <c r="AA56" s="16" t="n"/>
      <c r="AB56" s="16" t="n"/>
      <c r="AC56" s="20">
        <f>IF(OR(Z56="",AA56="",AB56=""),"",(--TRIM(LEFT(Z56,2)))*(--TRIM(LEFT(AA56,2)))*(--TRIM(LEFT(AB56,2))))</f>
        <v/>
      </c>
      <c r="AD56" s="20">
        <f>IF(OR(Z56="",AA56="",AB56=""),"",INDEX(APGrid,COUNTIF(APS,"&gt;"&amp;(--TRIM(LEFT(Z56,2))))*5+COUNTIF(APO,"&gt;"&amp;(--TRIM(LEFT(AA56,2))))+1,COUNTIF(APD,"&gt;"&amp;(--TRIM(LEFT(AB56,2))))+1))</f>
        <v/>
      </c>
      <c r="AE56" s="4" t="n"/>
      <c r="AF56" s="4" t="n"/>
      <c r="AH56">
        <f>IFERROR(INDEX(EqTag,_xlfn.AGGREGATE(15,6,(ROW(EqTag)-4)/((EqSys=$D$3)*(EqTag&lt;&gt;"")),ROWS($AH$14:AH56))),"")</f>
        <v/>
      </c>
    </row>
    <row r="57">
      <c r="A57" s="20">
        <f>IF(F57="","",LEFT($D$3,3)&amp;"-"&amp;TEXT(COUNTIF(F$14:F57,"?*"),"00"))</f>
        <v/>
      </c>
      <c r="B57" s="4" t="n"/>
      <c r="C57" s="5">
        <f>IF(B57="","",IFERROR(INDEX(EqTypeCol,MATCH(B57,EqTag,0)),"Tag not in register"))</f>
        <v/>
      </c>
      <c r="D57" s="4" t="n"/>
      <c r="E57" s="4" t="n"/>
      <c r="F57" s="4" t="n"/>
      <c r="G57" s="4" t="n"/>
      <c r="H57" s="4" t="n"/>
      <c r="I57" s="4" t="n"/>
      <c r="J57" s="5">
        <f>_xlfn.TEXTJOIN(CHAR(10),TRUE,IF(G57="","","• "&amp;G57),IF(H57="","","• "&amp;H57),IF(I57="","","• "&amp;I57))</f>
        <v/>
      </c>
      <c r="K57" s="4" t="n"/>
      <c r="L57" s="4" t="n"/>
      <c r="M57" s="4" t="n"/>
      <c r="N57" s="16" t="n"/>
      <c r="O57" s="4" t="n"/>
      <c r="P57" s="16" t="n"/>
      <c r="Q57" s="4" t="n"/>
      <c r="R57" s="16" t="n"/>
      <c r="S57" s="20">
        <f>IF(OR(N57="",P57="",R57=""),"",(--TRIM(LEFT(N57,2)))*(--TRIM(LEFT(P57,2)))*(--TRIM(LEFT(R57,2))))</f>
        <v/>
      </c>
      <c r="T57" s="20">
        <f>IF(OR(N57="",P57="",R57=""),"",INDEX(APGrid,COUNTIF(APS,"&gt;"&amp;(--TRIM(LEFT(N57,2))))*5+COUNTIF(APO,"&gt;"&amp;(--TRIM(LEFT(P57,2))))+1,COUNTIF(APD,"&gt;"&amp;(--TRIM(LEFT(R57,2))))+1))</f>
        <v/>
      </c>
      <c r="U57" s="20">
        <f>IF(S57="","",IF(OR((--TRIM(LEFT(N57,2)))&gt;=SThr,S57&gt;=RPNThr,T57="H"),"Yes","No"))</f>
        <v/>
      </c>
      <c r="V57" s="4" t="n"/>
      <c r="W57" s="4" t="n"/>
      <c r="X57" s="4" t="n"/>
      <c r="Y57" s="29" t="n"/>
      <c r="Z57" s="16" t="n"/>
      <c r="AA57" s="16" t="n"/>
      <c r="AB57" s="16" t="n"/>
      <c r="AC57" s="20">
        <f>IF(OR(Z57="",AA57="",AB57=""),"",(--TRIM(LEFT(Z57,2)))*(--TRIM(LEFT(AA57,2)))*(--TRIM(LEFT(AB57,2))))</f>
        <v/>
      </c>
      <c r="AD57" s="20">
        <f>IF(OR(Z57="",AA57="",AB57=""),"",INDEX(APGrid,COUNTIF(APS,"&gt;"&amp;(--TRIM(LEFT(Z57,2))))*5+COUNTIF(APO,"&gt;"&amp;(--TRIM(LEFT(AA57,2))))+1,COUNTIF(APD,"&gt;"&amp;(--TRIM(LEFT(AB57,2))))+1))</f>
        <v/>
      </c>
      <c r="AE57" s="4" t="n"/>
      <c r="AF57" s="4" t="n"/>
      <c r="AH57">
        <f>IFERROR(INDEX(EqTag,_xlfn.AGGREGATE(15,6,(ROW(EqTag)-4)/((EqSys=$D$3)*(EqTag&lt;&gt;"")),ROWS($AH$14:AH57))),"")</f>
        <v/>
      </c>
    </row>
    <row r="58">
      <c r="A58" s="20">
        <f>IF(F58="","",LEFT($D$3,3)&amp;"-"&amp;TEXT(COUNTIF(F$14:F58,"?*"),"00"))</f>
        <v/>
      </c>
      <c r="B58" s="4" t="n"/>
      <c r="C58" s="5">
        <f>IF(B58="","",IFERROR(INDEX(EqTypeCol,MATCH(B58,EqTag,0)),"Tag not in register"))</f>
        <v/>
      </c>
      <c r="D58" s="4" t="n"/>
      <c r="E58" s="4" t="n"/>
      <c r="F58" s="4" t="n"/>
      <c r="G58" s="4" t="n"/>
      <c r="H58" s="4" t="n"/>
      <c r="I58" s="4" t="n"/>
      <c r="J58" s="5">
        <f>_xlfn.TEXTJOIN(CHAR(10),TRUE,IF(G58="","","• "&amp;G58),IF(H58="","","• "&amp;H58),IF(I58="","","• "&amp;I58))</f>
        <v/>
      </c>
      <c r="K58" s="4" t="n"/>
      <c r="L58" s="4" t="n"/>
      <c r="M58" s="4" t="n"/>
      <c r="N58" s="16" t="n"/>
      <c r="O58" s="4" t="n"/>
      <c r="P58" s="16" t="n"/>
      <c r="Q58" s="4" t="n"/>
      <c r="R58" s="16" t="n"/>
      <c r="S58" s="20">
        <f>IF(OR(N58="",P58="",R58=""),"",(--TRIM(LEFT(N58,2)))*(--TRIM(LEFT(P58,2)))*(--TRIM(LEFT(R58,2))))</f>
        <v/>
      </c>
      <c r="T58" s="20">
        <f>IF(OR(N58="",P58="",R58=""),"",INDEX(APGrid,COUNTIF(APS,"&gt;"&amp;(--TRIM(LEFT(N58,2))))*5+COUNTIF(APO,"&gt;"&amp;(--TRIM(LEFT(P58,2))))+1,COUNTIF(APD,"&gt;"&amp;(--TRIM(LEFT(R58,2))))+1))</f>
        <v/>
      </c>
      <c r="U58" s="20">
        <f>IF(S58="","",IF(OR((--TRIM(LEFT(N58,2)))&gt;=SThr,S58&gt;=RPNThr,T58="H"),"Yes","No"))</f>
        <v/>
      </c>
      <c r="V58" s="4" t="n"/>
      <c r="W58" s="4" t="n"/>
      <c r="X58" s="4" t="n"/>
      <c r="Y58" s="29" t="n"/>
      <c r="Z58" s="16" t="n"/>
      <c r="AA58" s="16" t="n"/>
      <c r="AB58" s="16" t="n"/>
      <c r="AC58" s="20">
        <f>IF(OR(Z58="",AA58="",AB58=""),"",(--TRIM(LEFT(Z58,2)))*(--TRIM(LEFT(AA58,2)))*(--TRIM(LEFT(AB58,2))))</f>
        <v/>
      </c>
      <c r="AD58" s="20">
        <f>IF(OR(Z58="",AA58="",AB58=""),"",INDEX(APGrid,COUNTIF(APS,"&gt;"&amp;(--TRIM(LEFT(Z58,2))))*5+COUNTIF(APO,"&gt;"&amp;(--TRIM(LEFT(AA58,2))))+1,COUNTIF(APD,"&gt;"&amp;(--TRIM(LEFT(AB58,2))))+1))</f>
        <v/>
      </c>
      <c r="AE58" s="4" t="n"/>
      <c r="AF58" s="4" t="n"/>
      <c r="AH58">
        <f>IFERROR(INDEX(EqTag,_xlfn.AGGREGATE(15,6,(ROW(EqTag)-4)/((EqSys=$D$3)*(EqTag&lt;&gt;"")),ROWS($AH$14:AH58))),"")</f>
        <v/>
      </c>
    </row>
    <row r="59">
      <c r="A59" s="20">
        <f>IF(F59="","",LEFT($D$3,3)&amp;"-"&amp;TEXT(COUNTIF(F$14:F59,"?*"),"00"))</f>
        <v/>
      </c>
      <c r="B59" s="4" t="n"/>
      <c r="C59" s="5">
        <f>IF(B59="","",IFERROR(INDEX(EqTypeCol,MATCH(B59,EqTag,0)),"Tag not in register"))</f>
        <v/>
      </c>
      <c r="D59" s="4" t="n"/>
      <c r="E59" s="4" t="n"/>
      <c r="F59" s="4" t="n"/>
      <c r="G59" s="4" t="n"/>
      <c r="H59" s="4" t="n"/>
      <c r="I59" s="4" t="n"/>
      <c r="J59" s="5">
        <f>_xlfn.TEXTJOIN(CHAR(10),TRUE,IF(G59="","","• "&amp;G59),IF(H59="","","• "&amp;H59),IF(I59="","","• "&amp;I59))</f>
        <v/>
      </c>
      <c r="K59" s="4" t="n"/>
      <c r="L59" s="4" t="n"/>
      <c r="M59" s="4" t="n"/>
      <c r="N59" s="16" t="n"/>
      <c r="O59" s="4" t="n"/>
      <c r="P59" s="16" t="n"/>
      <c r="Q59" s="4" t="n"/>
      <c r="R59" s="16" t="n"/>
      <c r="S59" s="20">
        <f>IF(OR(N59="",P59="",R59=""),"",(--TRIM(LEFT(N59,2)))*(--TRIM(LEFT(P59,2)))*(--TRIM(LEFT(R59,2))))</f>
        <v/>
      </c>
      <c r="T59" s="20">
        <f>IF(OR(N59="",P59="",R59=""),"",INDEX(APGrid,COUNTIF(APS,"&gt;"&amp;(--TRIM(LEFT(N59,2))))*5+COUNTIF(APO,"&gt;"&amp;(--TRIM(LEFT(P59,2))))+1,COUNTIF(APD,"&gt;"&amp;(--TRIM(LEFT(R59,2))))+1))</f>
        <v/>
      </c>
      <c r="U59" s="20">
        <f>IF(S59="","",IF(OR((--TRIM(LEFT(N59,2)))&gt;=SThr,S59&gt;=RPNThr,T59="H"),"Yes","No"))</f>
        <v/>
      </c>
      <c r="V59" s="4" t="n"/>
      <c r="W59" s="4" t="n"/>
      <c r="X59" s="4" t="n"/>
      <c r="Y59" s="29" t="n"/>
      <c r="Z59" s="16" t="n"/>
      <c r="AA59" s="16" t="n"/>
      <c r="AB59" s="16" t="n"/>
      <c r="AC59" s="20">
        <f>IF(OR(Z59="",AA59="",AB59=""),"",(--TRIM(LEFT(Z59,2)))*(--TRIM(LEFT(AA59,2)))*(--TRIM(LEFT(AB59,2))))</f>
        <v/>
      </c>
      <c r="AD59" s="20">
        <f>IF(OR(Z59="",AA59="",AB59=""),"",INDEX(APGrid,COUNTIF(APS,"&gt;"&amp;(--TRIM(LEFT(Z59,2))))*5+COUNTIF(APO,"&gt;"&amp;(--TRIM(LEFT(AA59,2))))+1,COUNTIF(APD,"&gt;"&amp;(--TRIM(LEFT(AB59,2))))+1))</f>
        <v/>
      </c>
      <c r="AE59" s="4" t="n"/>
      <c r="AF59" s="4" t="n"/>
      <c r="AH59">
        <f>IFERROR(INDEX(EqTag,_xlfn.AGGREGATE(15,6,(ROW(EqTag)-4)/((EqSys=$D$3)*(EqTag&lt;&gt;"")),ROWS($AH$14:AH59))),"")</f>
        <v/>
      </c>
    </row>
    <row r="60">
      <c r="A60" s="20">
        <f>IF(F60="","",LEFT($D$3,3)&amp;"-"&amp;TEXT(COUNTIF(F$14:F60,"?*"),"00"))</f>
        <v/>
      </c>
      <c r="B60" s="4" t="n"/>
      <c r="C60" s="5">
        <f>IF(B60="","",IFERROR(INDEX(EqTypeCol,MATCH(B60,EqTag,0)),"Tag not in register"))</f>
        <v/>
      </c>
      <c r="D60" s="4" t="n"/>
      <c r="E60" s="4" t="n"/>
      <c r="F60" s="4" t="n"/>
      <c r="G60" s="4" t="n"/>
      <c r="H60" s="4" t="n"/>
      <c r="I60" s="4" t="n"/>
      <c r="J60" s="5">
        <f>_xlfn.TEXTJOIN(CHAR(10),TRUE,IF(G60="","","• "&amp;G60),IF(H60="","","• "&amp;H60),IF(I60="","","• "&amp;I60))</f>
        <v/>
      </c>
      <c r="K60" s="4" t="n"/>
      <c r="L60" s="4" t="n"/>
      <c r="M60" s="4" t="n"/>
      <c r="N60" s="16" t="n"/>
      <c r="O60" s="4" t="n"/>
      <c r="P60" s="16" t="n"/>
      <c r="Q60" s="4" t="n"/>
      <c r="R60" s="16" t="n"/>
      <c r="S60" s="20">
        <f>IF(OR(N60="",P60="",R60=""),"",(--TRIM(LEFT(N60,2)))*(--TRIM(LEFT(P60,2)))*(--TRIM(LEFT(R60,2))))</f>
        <v/>
      </c>
      <c r="T60" s="20">
        <f>IF(OR(N60="",P60="",R60=""),"",INDEX(APGrid,COUNTIF(APS,"&gt;"&amp;(--TRIM(LEFT(N60,2))))*5+COUNTIF(APO,"&gt;"&amp;(--TRIM(LEFT(P60,2))))+1,COUNTIF(APD,"&gt;"&amp;(--TRIM(LEFT(R60,2))))+1))</f>
        <v/>
      </c>
      <c r="U60" s="20">
        <f>IF(S60="","",IF(OR((--TRIM(LEFT(N60,2)))&gt;=SThr,S60&gt;=RPNThr,T60="H"),"Yes","No"))</f>
        <v/>
      </c>
      <c r="V60" s="4" t="n"/>
      <c r="W60" s="4" t="n"/>
      <c r="X60" s="4" t="n"/>
      <c r="Y60" s="29" t="n"/>
      <c r="Z60" s="16" t="n"/>
      <c r="AA60" s="16" t="n"/>
      <c r="AB60" s="16" t="n"/>
      <c r="AC60" s="20">
        <f>IF(OR(Z60="",AA60="",AB60=""),"",(--TRIM(LEFT(Z60,2)))*(--TRIM(LEFT(AA60,2)))*(--TRIM(LEFT(AB60,2))))</f>
        <v/>
      </c>
      <c r="AD60" s="20">
        <f>IF(OR(Z60="",AA60="",AB60=""),"",INDEX(APGrid,COUNTIF(APS,"&gt;"&amp;(--TRIM(LEFT(Z60,2))))*5+COUNTIF(APO,"&gt;"&amp;(--TRIM(LEFT(AA60,2))))+1,COUNTIF(APD,"&gt;"&amp;(--TRIM(LEFT(AB60,2))))+1))</f>
        <v/>
      </c>
      <c r="AE60" s="4" t="n"/>
      <c r="AF60" s="4" t="n"/>
      <c r="AH60">
        <f>IFERROR(INDEX(EqTag,_xlfn.AGGREGATE(15,6,(ROW(EqTag)-4)/((EqSys=$D$3)*(EqTag&lt;&gt;"")),ROWS($AH$14:AH60))),"")</f>
        <v/>
      </c>
    </row>
    <row r="61">
      <c r="A61" s="20">
        <f>IF(F61="","",LEFT($D$3,3)&amp;"-"&amp;TEXT(COUNTIF(F$14:F61,"?*"),"00"))</f>
        <v/>
      </c>
      <c r="B61" s="4" t="n"/>
      <c r="C61" s="5">
        <f>IF(B61="","",IFERROR(INDEX(EqTypeCol,MATCH(B61,EqTag,0)),"Tag not in register"))</f>
        <v/>
      </c>
      <c r="D61" s="4" t="n"/>
      <c r="E61" s="4" t="n"/>
      <c r="F61" s="4" t="n"/>
      <c r="G61" s="4" t="n"/>
      <c r="H61" s="4" t="n"/>
      <c r="I61" s="4" t="n"/>
      <c r="J61" s="5">
        <f>_xlfn.TEXTJOIN(CHAR(10),TRUE,IF(G61="","","• "&amp;G61),IF(H61="","","• "&amp;H61),IF(I61="","","• "&amp;I61))</f>
        <v/>
      </c>
      <c r="K61" s="4" t="n"/>
      <c r="L61" s="4" t="n"/>
      <c r="M61" s="4" t="n"/>
      <c r="N61" s="16" t="n"/>
      <c r="O61" s="4" t="n"/>
      <c r="P61" s="16" t="n"/>
      <c r="Q61" s="4" t="n"/>
      <c r="R61" s="16" t="n"/>
      <c r="S61" s="20">
        <f>IF(OR(N61="",P61="",R61=""),"",(--TRIM(LEFT(N61,2)))*(--TRIM(LEFT(P61,2)))*(--TRIM(LEFT(R61,2))))</f>
        <v/>
      </c>
      <c r="T61" s="20">
        <f>IF(OR(N61="",P61="",R61=""),"",INDEX(APGrid,COUNTIF(APS,"&gt;"&amp;(--TRIM(LEFT(N61,2))))*5+COUNTIF(APO,"&gt;"&amp;(--TRIM(LEFT(P61,2))))+1,COUNTIF(APD,"&gt;"&amp;(--TRIM(LEFT(R61,2))))+1))</f>
        <v/>
      </c>
      <c r="U61" s="20">
        <f>IF(S61="","",IF(OR((--TRIM(LEFT(N61,2)))&gt;=SThr,S61&gt;=RPNThr,T61="H"),"Yes","No"))</f>
        <v/>
      </c>
      <c r="V61" s="4" t="n"/>
      <c r="W61" s="4" t="n"/>
      <c r="X61" s="4" t="n"/>
      <c r="Y61" s="29" t="n"/>
      <c r="Z61" s="16" t="n"/>
      <c r="AA61" s="16" t="n"/>
      <c r="AB61" s="16" t="n"/>
      <c r="AC61" s="20">
        <f>IF(OR(Z61="",AA61="",AB61=""),"",(--TRIM(LEFT(Z61,2)))*(--TRIM(LEFT(AA61,2)))*(--TRIM(LEFT(AB61,2))))</f>
        <v/>
      </c>
      <c r="AD61" s="20">
        <f>IF(OR(Z61="",AA61="",AB61=""),"",INDEX(APGrid,COUNTIF(APS,"&gt;"&amp;(--TRIM(LEFT(Z61,2))))*5+COUNTIF(APO,"&gt;"&amp;(--TRIM(LEFT(AA61,2))))+1,COUNTIF(APD,"&gt;"&amp;(--TRIM(LEFT(AB61,2))))+1))</f>
        <v/>
      </c>
      <c r="AE61" s="4" t="n"/>
      <c r="AF61" s="4" t="n"/>
      <c r="AH61">
        <f>IFERROR(INDEX(EqTag,_xlfn.AGGREGATE(15,6,(ROW(EqTag)-4)/((EqSys=$D$3)*(EqTag&lt;&gt;"")),ROWS($AH$14:AH61))),"")</f>
        <v/>
      </c>
    </row>
    <row r="62">
      <c r="A62" s="20">
        <f>IF(F62="","",LEFT($D$3,3)&amp;"-"&amp;TEXT(COUNTIF(F$14:F62,"?*"),"00"))</f>
        <v/>
      </c>
      <c r="B62" s="4" t="n"/>
      <c r="C62" s="5">
        <f>IF(B62="","",IFERROR(INDEX(EqTypeCol,MATCH(B62,EqTag,0)),"Tag not in register"))</f>
        <v/>
      </c>
      <c r="D62" s="4" t="n"/>
      <c r="E62" s="4" t="n"/>
      <c r="F62" s="4" t="n"/>
      <c r="G62" s="4" t="n"/>
      <c r="H62" s="4" t="n"/>
      <c r="I62" s="4" t="n"/>
      <c r="J62" s="5">
        <f>_xlfn.TEXTJOIN(CHAR(10),TRUE,IF(G62="","","• "&amp;G62),IF(H62="","","• "&amp;H62),IF(I62="","","• "&amp;I62))</f>
        <v/>
      </c>
      <c r="K62" s="4" t="n"/>
      <c r="L62" s="4" t="n"/>
      <c r="M62" s="4" t="n"/>
      <c r="N62" s="16" t="n"/>
      <c r="O62" s="4" t="n"/>
      <c r="P62" s="16" t="n"/>
      <c r="Q62" s="4" t="n"/>
      <c r="R62" s="16" t="n"/>
      <c r="S62" s="20">
        <f>IF(OR(N62="",P62="",R62=""),"",(--TRIM(LEFT(N62,2)))*(--TRIM(LEFT(P62,2)))*(--TRIM(LEFT(R62,2))))</f>
        <v/>
      </c>
      <c r="T62" s="20">
        <f>IF(OR(N62="",P62="",R62=""),"",INDEX(APGrid,COUNTIF(APS,"&gt;"&amp;(--TRIM(LEFT(N62,2))))*5+COUNTIF(APO,"&gt;"&amp;(--TRIM(LEFT(P62,2))))+1,COUNTIF(APD,"&gt;"&amp;(--TRIM(LEFT(R62,2))))+1))</f>
        <v/>
      </c>
      <c r="U62" s="20">
        <f>IF(S62="","",IF(OR((--TRIM(LEFT(N62,2)))&gt;=SThr,S62&gt;=RPNThr,T62="H"),"Yes","No"))</f>
        <v/>
      </c>
      <c r="V62" s="4" t="n"/>
      <c r="W62" s="4" t="n"/>
      <c r="X62" s="4" t="n"/>
      <c r="Y62" s="29" t="n"/>
      <c r="Z62" s="16" t="n"/>
      <c r="AA62" s="16" t="n"/>
      <c r="AB62" s="16" t="n"/>
      <c r="AC62" s="20">
        <f>IF(OR(Z62="",AA62="",AB62=""),"",(--TRIM(LEFT(Z62,2)))*(--TRIM(LEFT(AA62,2)))*(--TRIM(LEFT(AB62,2))))</f>
        <v/>
      </c>
      <c r="AD62" s="20">
        <f>IF(OR(Z62="",AA62="",AB62=""),"",INDEX(APGrid,COUNTIF(APS,"&gt;"&amp;(--TRIM(LEFT(Z62,2))))*5+COUNTIF(APO,"&gt;"&amp;(--TRIM(LEFT(AA62,2))))+1,COUNTIF(APD,"&gt;"&amp;(--TRIM(LEFT(AB62,2))))+1))</f>
        <v/>
      </c>
      <c r="AE62" s="4" t="n"/>
      <c r="AF62" s="4" t="n"/>
      <c r="AH62">
        <f>IFERROR(INDEX(EqTag,_xlfn.AGGREGATE(15,6,(ROW(EqTag)-4)/((EqSys=$D$3)*(EqTag&lt;&gt;"")),ROWS($AH$14:AH62))),"")</f>
        <v/>
      </c>
    </row>
    <row r="63">
      <c r="A63" s="20">
        <f>IF(F63="","",LEFT($D$3,3)&amp;"-"&amp;TEXT(COUNTIF(F$14:F63,"?*"),"00"))</f>
        <v/>
      </c>
      <c r="B63" s="4" t="n"/>
      <c r="C63" s="5">
        <f>IF(B63="","",IFERROR(INDEX(EqTypeCol,MATCH(B63,EqTag,0)),"Tag not in register"))</f>
        <v/>
      </c>
      <c r="D63" s="4" t="n"/>
      <c r="E63" s="4" t="n"/>
      <c r="F63" s="4" t="n"/>
      <c r="G63" s="4" t="n"/>
      <c r="H63" s="4" t="n"/>
      <c r="I63" s="4" t="n"/>
      <c r="J63" s="5">
        <f>_xlfn.TEXTJOIN(CHAR(10),TRUE,IF(G63="","","• "&amp;G63),IF(H63="","","• "&amp;H63),IF(I63="","","• "&amp;I63))</f>
        <v/>
      </c>
      <c r="K63" s="4" t="n"/>
      <c r="L63" s="4" t="n"/>
      <c r="M63" s="4" t="n"/>
      <c r="N63" s="16" t="n"/>
      <c r="O63" s="4" t="n"/>
      <c r="P63" s="16" t="n"/>
      <c r="Q63" s="4" t="n"/>
      <c r="R63" s="16" t="n"/>
      <c r="S63" s="20">
        <f>IF(OR(N63="",P63="",R63=""),"",(--TRIM(LEFT(N63,2)))*(--TRIM(LEFT(P63,2)))*(--TRIM(LEFT(R63,2))))</f>
        <v/>
      </c>
      <c r="T63" s="20">
        <f>IF(OR(N63="",P63="",R63=""),"",INDEX(APGrid,COUNTIF(APS,"&gt;"&amp;(--TRIM(LEFT(N63,2))))*5+COUNTIF(APO,"&gt;"&amp;(--TRIM(LEFT(P63,2))))+1,COUNTIF(APD,"&gt;"&amp;(--TRIM(LEFT(R63,2))))+1))</f>
        <v/>
      </c>
      <c r="U63" s="20">
        <f>IF(S63="","",IF(OR((--TRIM(LEFT(N63,2)))&gt;=SThr,S63&gt;=RPNThr,T63="H"),"Yes","No"))</f>
        <v/>
      </c>
      <c r="V63" s="4" t="n"/>
      <c r="W63" s="4" t="n"/>
      <c r="X63" s="4" t="n"/>
      <c r="Y63" s="29" t="n"/>
      <c r="Z63" s="16" t="n"/>
      <c r="AA63" s="16" t="n"/>
      <c r="AB63" s="16" t="n"/>
      <c r="AC63" s="20">
        <f>IF(OR(Z63="",AA63="",AB63=""),"",(--TRIM(LEFT(Z63,2)))*(--TRIM(LEFT(AA63,2)))*(--TRIM(LEFT(AB63,2))))</f>
        <v/>
      </c>
      <c r="AD63" s="20">
        <f>IF(OR(Z63="",AA63="",AB63=""),"",INDEX(APGrid,COUNTIF(APS,"&gt;"&amp;(--TRIM(LEFT(Z63,2))))*5+COUNTIF(APO,"&gt;"&amp;(--TRIM(LEFT(AA63,2))))+1,COUNTIF(APD,"&gt;"&amp;(--TRIM(LEFT(AB63,2))))+1))</f>
        <v/>
      </c>
      <c r="AE63" s="4" t="n"/>
      <c r="AF63" s="4" t="n"/>
      <c r="AH63">
        <f>IFERROR(INDEX(EqTag,_xlfn.AGGREGATE(15,6,(ROW(EqTag)-4)/((EqSys=$D$3)*(EqTag&lt;&gt;"")),ROWS($AH$14:AH63))),"")</f>
        <v/>
      </c>
    </row>
    <row r="64">
      <c r="A64" s="20">
        <f>IF(F64="","",LEFT($D$3,3)&amp;"-"&amp;TEXT(COUNTIF(F$14:F64,"?*"),"00"))</f>
        <v/>
      </c>
      <c r="B64" s="4" t="n"/>
      <c r="C64" s="5">
        <f>IF(B64="","",IFERROR(INDEX(EqTypeCol,MATCH(B64,EqTag,0)),"Tag not in register"))</f>
        <v/>
      </c>
      <c r="D64" s="4" t="n"/>
      <c r="E64" s="4" t="n"/>
      <c r="F64" s="4" t="n"/>
      <c r="G64" s="4" t="n"/>
      <c r="H64" s="4" t="n"/>
      <c r="I64" s="4" t="n"/>
      <c r="J64" s="5">
        <f>_xlfn.TEXTJOIN(CHAR(10),TRUE,IF(G64="","","• "&amp;G64),IF(H64="","","• "&amp;H64),IF(I64="","","• "&amp;I64))</f>
        <v/>
      </c>
      <c r="K64" s="4" t="n"/>
      <c r="L64" s="4" t="n"/>
      <c r="M64" s="4" t="n"/>
      <c r="N64" s="16" t="n"/>
      <c r="O64" s="4" t="n"/>
      <c r="P64" s="16" t="n"/>
      <c r="Q64" s="4" t="n"/>
      <c r="R64" s="16" t="n"/>
      <c r="S64" s="20">
        <f>IF(OR(N64="",P64="",R64=""),"",(--TRIM(LEFT(N64,2)))*(--TRIM(LEFT(P64,2)))*(--TRIM(LEFT(R64,2))))</f>
        <v/>
      </c>
      <c r="T64" s="20">
        <f>IF(OR(N64="",P64="",R64=""),"",INDEX(APGrid,COUNTIF(APS,"&gt;"&amp;(--TRIM(LEFT(N64,2))))*5+COUNTIF(APO,"&gt;"&amp;(--TRIM(LEFT(P64,2))))+1,COUNTIF(APD,"&gt;"&amp;(--TRIM(LEFT(R64,2))))+1))</f>
        <v/>
      </c>
      <c r="U64" s="20">
        <f>IF(S64="","",IF(OR((--TRIM(LEFT(N64,2)))&gt;=SThr,S64&gt;=RPNThr,T64="H"),"Yes","No"))</f>
        <v/>
      </c>
      <c r="V64" s="4" t="n"/>
      <c r="W64" s="4" t="n"/>
      <c r="X64" s="4" t="n"/>
      <c r="Y64" s="29" t="n"/>
      <c r="Z64" s="16" t="n"/>
      <c r="AA64" s="16" t="n"/>
      <c r="AB64" s="16" t="n"/>
      <c r="AC64" s="20">
        <f>IF(OR(Z64="",AA64="",AB64=""),"",(--TRIM(LEFT(Z64,2)))*(--TRIM(LEFT(AA64,2)))*(--TRIM(LEFT(AB64,2))))</f>
        <v/>
      </c>
      <c r="AD64" s="20">
        <f>IF(OR(Z64="",AA64="",AB64=""),"",INDEX(APGrid,COUNTIF(APS,"&gt;"&amp;(--TRIM(LEFT(Z64,2))))*5+COUNTIF(APO,"&gt;"&amp;(--TRIM(LEFT(AA64,2))))+1,COUNTIF(APD,"&gt;"&amp;(--TRIM(LEFT(AB64,2))))+1))</f>
        <v/>
      </c>
      <c r="AE64" s="4" t="n"/>
      <c r="AF64" s="4" t="n"/>
      <c r="AH64">
        <f>IFERROR(INDEX(EqTag,_xlfn.AGGREGATE(15,6,(ROW(EqTag)-4)/((EqSys=$D$3)*(EqTag&lt;&gt;"")),ROWS($AH$14:AH64))),"")</f>
        <v/>
      </c>
    </row>
    <row r="65">
      <c r="A65" s="20">
        <f>IF(F65="","",LEFT($D$3,3)&amp;"-"&amp;TEXT(COUNTIF(F$14:F65,"?*"),"00"))</f>
        <v/>
      </c>
      <c r="B65" s="4" t="n"/>
      <c r="C65" s="5">
        <f>IF(B65="","",IFERROR(INDEX(EqTypeCol,MATCH(B65,EqTag,0)),"Tag not in register"))</f>
        <v/>
      </c>
      <c r="D65" s="4" t="n"/>
      <c r="E65" s="4" t="n"/>
      <c r="F65" s="4" t="n"/>
      <c r="G65" s="4" t="n"/>
      <c r="H65" s="4" t="n"/>
      <c r="I65" s="4" t="n"/>
      <c r="J65" s="5">
        <f>_xlfn.TEXTJOIN(CHAR(10),TRUE,IF(G65="","","• "&amp;G65),IF(H65="","","• "&amp;H65),IF(I65="","","• "&amp;I65))</f>
        <v/>
      </c>
      <c r="K65" s="4" t="n"/>
      <c r="L65" s="4" t="n"/>
      <c r="M65" s="4" t="n"/>
      <c r="N65" s="16" t="n"/>
      <c r="O65" s="4" t="n"/>
      <c r="P65" s="16" t="n"/>
      <c r="Q65" s="4" t="n"/>
      <c r="R65" s="16" t="n"/>
      <c r="S65" s="20">
        <f>IF(OR(N65="",P65="",R65=""),"",(--TRIM(LEFT(N65,2)))*(--TRIM(LEFT(P65,2)))*(--TRIM(LEFT(R65,2))))</f>
        <v/>
      </c>
      <c r="T65" s="20">
        <f>IF(OR(N65="",P65="",R65=""),"",INDEX(APGrid,COUNTIF(APS,"&gt;"&amp;(--TRIM(LEFT(N65,2))))*5+COUNTIF(APO,"&gt;"&amp;(--TRIM(LEFT(P65,2))))+1,COUNTIF(APD,"&gt;"&amp;(--TRIM(LEFT(R65,2))))+1))</f>
        <v/>
      </c>
      <c r="U65" s="20">
        <f>IF(S65="","",IF(OR((--TRIM(LEFT(N65,2)))&gt;=SThr,S65&gt;=RPNThr,T65="H"),"Yes","No"))</f>
        <v/>
      </c>
      <c r="V65" s="4" t="n"/>
      <c r="W65" s="4" t="n"/>
      <c r="X65" s="4" t="n"/>
      <c r="Y65" s="29" t="n"/>
      <c r="Z65" s="16" t="n"/>
      <c r="AA65" s="16" t="n"/>
      <c r="AB65" s="16" t="n"/>
      <c r="AC65" s="20">
        <f>IF(OR(Z65="",AA65="",AB65=""),"",(--TRIM(LEFT(Z65,2)))*(--TRIM(LEFT(AA65,2)))*(--TRIM(LEFT(AB65,2))))</f>
        <v/>
      </c>
      <c r="AD65" s="20">
        <f>IF(OR(Z65="",AA65="",AB65=""),"",INDEX(APGrid,COUNTIF(APS,"&gt;"&amp;(--TRIM(LEFT(Z65,2))))*5+COUNTIF(APO,"&gt;"&amp;(--TRIM(LEFT(AA65,2))))+1,COUNTIF(APD,"&gt;"&amp;(--TRIM(LEFT(AB65,2))))+1))</f>
        <v/>
      </c>
      <c r="AE65" s="4" t="n"/>
      <c r="AF65" s="4" t="n"/>
      <c r="AH65">
        <f>IFERROR(INDEX(EqTag,_xlfn.AGGREGATE(15,6,(ROW(EqTag)-4)/((EqSys=$D$3)*(EqTag&lt;&gt;"")),ROWS($AH$14:AH65))),"")</f>
        <v/>
      </c>
    </row>
    <row r="66">
      <c r="A66" s="20">
        <f>IF(F66="","",LEFT($D$3,3)&amp;"-"&amp;TEXT(COUNTIF(F$14:F66,"?*"),"00"))</f>
        <v/>
      </c>
      <c r="B66" s="4" t="n"/>
      <c r="C66" s="5">
        <f>IF(B66="","",IFERROR(INDEX(EqTypeCol,MATCH(B66,EqTag,0)),"Tag not in register"))</f>
        <v/>
      </c>
      <c r="D66" s="4" t="n"/>
      <c r="E66" s="4" t="n"/>
      <c r="F66" s="4" t="n"/>
      <c r="G66" s="4" t="n"/>
      <c r="H66" s="4" t="n"/>
      <c r="I66" s="4" t="n"/>
      <c r="J66" s="5">
        <f>_xlfn.TEXTJOIN(CHAR(10),TRUE,IF(G66="","","• "&amp;G66),IF(H66="","","• "&amp;H66),IF(I66="","","• "&amp;I66))</f>
        <v/>
      </c>
      <c r="K66" s="4" t="n"/>
      <c r="L66" s="4" t="n"/>
      <c r="M66" s="4" t="n"/>
      <c r="N66" s="16" t="n"/>
      <c r="O66" s="4" t="n"/>
      <c r="P66" s="16" t="n"/>
      <c r="Q66" s="4" t="n"/>
      <c r="R66" s="16" t="n"/>
      <c r="S66" s="20">
        <f>IF(OR(N66="",P66="",R66=""),"",(--TRIM(LEFT(N66,2)))*(--TRIM(LEFT(P66,2)))*(--TRIM(LEFT(R66,2))))</f>
        <v/>
      </c>
      <c r="T66" s="20">
        <f>IF(OR(N66="",P66="",R66=""),"",INDEX(APGrid,COUNTIF(APS,"&gt;"&amp;(--TRIM(LEFT(N66,2))))*5+COUNTIF(APO,"&gt;"&amp;(--TRIM(LEFT(P66,2))))+1,COUNTIF(APD,"&gt;"&amp;(--TRIM(LEFT(R66,2))))+1))</f>
        <v/>
      </c>
      <c r="U66" s="20">
        <f>IF(S66="","",IF(OR((--TRIM(LEFT(N66,2)))&gt;=SThr,S66&gt;=RPNThr,T66="H"),"Yes","No"))</f>
        <v/>
      </c>
      <c r="V66" s="4" t="n"/>
      <c r="W66" s="4" t="n"/>
      <c r="X66" s="4" t="n"/>
      <c r="Y66" s="29" t="n"/>
      <c r="Z66" s="16" t="n"/>
      <c r="AA66" s="16" t="n"/>
      <c r="AB66" s="16" t="n"/>
      <c r="AC66" s="20">
        <f>IF(OR(Z66="",AA66="",AB66=""),"",(--TRIM(LEFT(Z66,2)))*(--TRIM(LEFT(AA66,2)))*(--TRIM(LEFT(AB66,2))))</f>
        <v/>
      </c>
      <c r="AD66" s="20">
        <f>IF(OR(Z66="",AA66="",AB66=""),"",INDEX(APGrid,COUNTIF(APS,"&gt;"&amp;(--TRIM(LEFT(Z66,2))))*5+COUNTIF(APO,"&gt;"&amp;(--TRIM(LEFT(AA66,2))))+1,COUNTIF(APD,"&gt;"&amp;(--TRIM(LEFT(AB66,2))))+1))</f>
        <v/>
      </c>
      <c r="AE66" s="4" t="n"/>
      <c r="AF66" s="4" t="n"/>
      <c r="AH66">
        <f>IFERROR(INDEX(EqTag,_xlfn.AGGREGATE(15,6,(ROW(EqTag)-4)/((EqSys=$D$3)*(EqTag&lt;&gt;"")),ROWS($AH$14:AH66))),"")</f>
        <v/>
      </c>
    </row>
    <row r="67">
      <c r="A67" s="20">
        <f>IF(F67="","",LEFT($D$3,3)&amp;"-"&amp;TEXT(COUNTIF(F$14:F67,"?*"),"00"))</f>
        <v/>
      </c>
      <c r="B67" s="4" t="n"/>
      <c r="C67" s="5">
        <f>IF(B67="","",IFERROR(INDEX(EqTypeCol,MATCH(B67,EqTag,0)),"Tag not in register"))</f>
        <v/>
      </c>
      <c r="D67" s="4" t="n"/>
      <c r="E67" s="4" t="n"/>
      <c r="F67" s="4" t="n"/>
      <c r="G67" s="4" t="n"/>
      <c r="H67" s="4" t="n"/>
      <c r="I67" s="4" t="n"/>
      <c r="J67" s="5">
        <f>_xlfn.TEXTJOIN(CHAR(10),TRUE,IF(G67="","","• "&amp;G67),IF(H67="","","• "&amp;H67),IF(I67="","","• "&amp;I67))</f>
        <v/>
      </c>
      <c r="K67" s="4" t="n"/>
      <c r="L67" s="4" t="n"/>
      <c r="M67" s="4" t="n"/>
      <c r="N67" s="16" t="n"/>
      <c r="O67" s="4" t="n"/>
      <c r="P67" s="16" t="n"/>
      <c r="Q67" s="4" t="n"/>
      <c r="R67" s="16" t="n"/>
      <c r="S67" s="20">
        <f>IF(OR(N67="",P67="",R67=""),"",(--TRIM(LEFT(N67,2)))*(--TRIM(LEFT(P67,2)))*(--TRIM(LEFT(R67,2))))</f>
        <v/>
      </c>
      <c r="T67" s="20">
        <f>IF(OR(N67="",P67="",R67=""),"",INDEX(APGrid,COUNTIF(APS,"&gt;"&amp;(--TRIM(LEFT(N67,2))))*5+COUNTIF(APO,"&gt;"&amp;(--TRIM(LEFT(P67,2))))+1,COUNTIF(APD,"&gt;"&amp;(--TRIM(LEFT(R67,2))))+1))</f>
        <v/>
      </c>
      <c r="U67" s="20">
        <f>IF(S67="","",IF(OR((--TRIM(LEFT(N67,2)))&gt;=SThr,S67&gt;=RPNThr,T67="H"),"Yes","No"))</f>
        <v/>
      </c>
      <c r="V67" s="4" t="n"/>
      <c r="W67" s="4" t="n"/>
      <c r="X67" s="4" t="n"/>
      <c r="Y67" s="29" t="n"/>
      <c r="Z67" s="16" t="n"/>
      <c r="AA67" s="16" t="n"/>
      <c r="AB67" s="16" t="n"/>
      <c r="AC67" s="20">
        <f>IF(OR(Z67="",AA67="",AB67=""),"",(--TRIM(LEFT(Z67,2)))*(--TRIM(LEFT(AA67,2)))*(--TRIM(LEFT(AB67,2))))</f>
        <v/>
      </c>
      <c r="AD67" s="20">
        <f>IF(OR(Z67="",AA67="",AB67=""),"",INDEX(APGrid,COUNTIF(APS,"&gt;"&amp;(--TRIM(LEFT(Z67,2))))*5+COUNTIF(APO,"&gt;"&amp;(--TRIM(LEFT(AA67,2))))+1,COUNTIF(APD,"&gt;"&amp;(--TRIM(LEFT(AB67,2))))+1))</f>
        <v/>
      </c>
      <c r="AE67" s="4" t="n"/>
      <c r="AF67" s="4" t="n"/>
      <c r="AH67">
        <f>IFERROR(INDEX(EqTag,_xlfn.AGGREGATE(15,6,(ROW(EqTag)-4)/((EqSys=$D$3)*(EqTag&lt;&gt;"")),ROWS($AH$14:AH67))),"")</f>
        <v/>
      </c>
    </row>
    <row r="68">
      <c r="A68" s="20">
        <f>IF(F68="","",LEFT($D$3,3)&amp;"-"&amp;TEXT(COUNTIF(F$14:F68,"?*"),"00"))</f>
        <v/>
      </c>
      <c r="B68" s="4" t="n"/>
      <c r="C68" s="5">
        <f>IF(B68="","",IFERROR(INDEX(EqTypeCol,MATCH(B68,EqTag,0)),"Tag not in register"))</f>
        <v/>
      </c>
      <c r="D68" s="4" t="n"/>
      <c r="E68" s="4" t="n"/>
      <c r="F68" s="4" t="n"/>
      <c r="G68" s="4" t="n"/>
      <c r="H68" s="4" t="n"/>
      <c r="I68" s="4" t="n"/>
      <c r="J68" s="5">
        <f>_xlfn.TEXTJOIN(CHAR(10),TRUE,IF(G68="","","• "&amp;G68),IF(H68="","","• "&amp;H68),IF(I68="","","• "&amp;I68))</f>
        <v/>
      </c>
      <c r="K68" s="4" t="n"/>
      <c r="L68" s="4" t="n"/>
      <c r="M68" s="4" t="n"/>
      <c r="N68" s="16" t="n"/>
      <c r="O68" s="4" t="n"/>
      <c r="P68" s="16" t="n"/>
      <c r="Q68" s="4" t="n"/>
      <c r="R68" s="16" t="n"/>
      <c r="S68" s="20">
        <f>IF(OR(N68="",P68="",R68=""),"",(--TRIM(LEFT(N68,2)))*(--TRIM(LEFT(P68,2)))*(--TRIM(LEFT(R68,2))))</f>
        <v/>
      </c>
      <c r="T68" s="20">
        <f>IF(OR(N68="",P68="",R68=""),"",INDEX(APGrid,COUNTIF(APS,"&gt;"&amp;(--TRIM(LEFT(N68,2))))*5+COUNTIF(APO,"&gt;"&amp;(--TRIM(LEFT(P68,2))))+1,COUNTIF(APD,"&gt;"&amp;(--TRIM(LEFT(R68,2))))+1))</f>
        <v/>
      </c>
      <c r="U68" s="20">
        <f>IF(S68="","",IF(OR((--TRIM(LEFT(N68,2)))&gt;=SThr,S68&gt;=RPNThr,T68="H"),"Yes","No"))</f>
        <v/>
      </c>
      <c r="V68" s="4" t="n"/>
      <c r="W68" s="4" t="n"/>
      <c r="X68" s="4" t="n"/>
      <c r="Y68" s="29" t="n"/>
      <c r="Z68" s="16" t="n"/>
      <c r="AA68" s="16" t="n"/>
      <c r="AB68" s="16" t="n"/>
      <c r="AC68" s="20">
        <f>IF(OR(Z68="",AA68="",AB68=""),"",(--TRIM(LEFT(Z68,2)))*(--TRIM(LEFT(AA68,2)))*(--TRIM(LEFT(AB68,2))))</f>
        <v/>
      </c>
      <c r="AD68" s="20">
        <f>IF(OR(Z68="",AA68="",AB68=""),"",INDEX(APGrid,COUNTIF(APS,"&gt;"&amp;(--TRIM(LEFT(Z68,2))))*5+COUNTIF(APO,"&gt;"&amp;(--TRIM(LEFT(AA68,2))))+1,COUNTIF(APD,"&gt;"&amp;(--TRIM(LEFT(AB68,2))))+1))</f>
        <v/>
      </c>
      <c r="AE68" s="4" t="n"/>
      <c r="AF68" s="4" t="n"/>
      <c r="AH68">
        <f>IFERROR(INDEX(EqTag,_xlfn.AGGREGATE(15,6,(ROW(EqTag)-4)/((EqSys=$D$3)*(EqTag&lt;&gt;"")),ROWS($AH$14:AH68))),"")</f>
        <v/>
      </c>
    </row>
    <row r="69">
      <c r="A69" s="20">
        <f>IF(F69="","",LEFT($D$3,3)&amp;"-"&amp;TEXT(COUNTIF(F$14:F69,"?*"),"00"))</f>
        <v/>
      </c>
      <c r="B69" s="4" t="n"/>
      <c r="C69" s="5">
        <f>IF(B69="","",IFERROR(INDEX(EqTypeCol,MATCH(B69,EqTag,0)),"Tag not in register"))</f>
        <v/>
      </c>
      <c r="D69" s="4" t="n"/>
      <c r="E69" s="4" t="n"/>
      <c r="F69" s="4" t="n"/>
      <c r="G69" s="4" t="n"/>
      <c r="H69" s="4" t="n"/>
      <c r="I69" s="4" t="n"/>
      <c r="J69" s="5">
        <f>_xlfn.TEXTJOIN(CHAR(10),TRUE,IF(G69="","","• "&amp;G69),IF(H69="","","• "&amp;H69),IF(I69="","","• "&amp;I69))</f>
        <v/>
      </c>
      <c r="K69" s="4" t="n"/>
      <c r="L69" s="4" t="n"/>
      <c r="M69" s="4" t="n"/>
      <c r="N69" s="16" t="n"/>
      <c r="O69" s="4" t="n"/>
      <c r="P69" s="16" t="n"/>
      <c r="Q69" s="4" t="n"/>
      <c r="R69" s="16" t="n"/>
      <c r="S69" s="20">
        <f>IF(OR(N69="",P69="",R69=""),"",(--TRIM(LEFT(N69,2)))*(--TRIM(LEFT(P69,2)))*(--TRIM(LEFT(R69,2))))</f>
        <v/>
      </c>
      <c r="T69" s="20">
        <f>IF(OR(N69="",P69="",R69=""),"",INDEX(APGrid,COUNTIF(APS,"&gt;"&amp;(--TRIM(LEFT(N69,2))))*5+COUNTIF(APO,"&gt;"&amp;(--TRIM(LEFT(P69,2))))+1,COUNTIF(APD,"&gt;"&amp;(--TRIM(LEFT(R69,2))))+1))</f>
        <v/>
      </c>
      <c r="U69" s="20">
        <f>IF(S69="","",IF(OR((--TRIM(LEFT(N69,2)))&gt;=SThr,S69&gt;=RPNThr,T69="H"),"Yes","No"))</f>
        <v/>
      </c>
      <c r="V69" s="4" t="n"/>
      <c r="W69" s="4" t="n"/>
      <c r="X69" s="4" t="n"/>
      <c r="Y69" s="29" t="n"/>
      <c r="Z69" s="16" t="n"/>
      <c r="AA69" s="16" t="n"/>
      <c r="AB69" s="16" t="n"/>
      <c r="AC69" s="20">
        <f>IF(OR(Z69="",AA69="",AB69=""),"",(--TRIM(LEFT(Z69,2)))*(--TRIM(LEFT(AA69,2)))*(--TRIM(LEFT(AB69,2))))</f>
        <v/>
      </c>
      <c r="AD69" s="20">
        <f>IF(OR(Z69="",AA69="",AB69=""),"",INDEX(APGrid,COUNTIF(APS,"&gt;"&amp;(--TRIM(LEFT(Z69,2))))*5+COUNTIF(APO,"&gt;"&amp;(--TRIM(LEFT(AA69,2))))+1,COUNTIF(APD,"&gt;"&amp;(--TRIM(LEFT(AB69,2))))+1))</f>
        <v/>
      </c>
      <c r="AE69" s="4" t="n"/>
      <c r="AF69" s="4" t="n"/>
      <c r="AH69">
        <f>IFERROR(INDEX(EqTag,_xlfn.AGGREGATE(15,6,(ROW(EqTag)-4)/((EqSys=$D$3)*(EqTag&lt;&gt;"")),ROWS($AH$14:AH69))),"")</f>
        <v/>
      </c>
    </row>
    <row r="70">
      <c r="A70" s="20">
        <f>IF(F70="","",LEFT($D$3,3)&amp;"-"&amp;TEXT(COUNTIF(F$14:F70,"?*"),"00"))</f>
        <v/>
      </c>
      <c r="B70" s="4" t="n"/>
      <c r="C70" s="5">
        <f>IF(B70="","",IFERROR(INDEX(EqTypeCol,MATCH(B70,EqTag,0)),"Tag not in register"))</f>
        <v/>
      </c>
      <c r="D70" s="4" t="n"/>
      <c r="E70" s="4" t="n"/>
      <c r="F70" s="4" t="n"/>
      <c r="G70" s="4" t="n"/>
      <c r="H70" s="4" t="n"/>
      <c r="I70" s="4" t="n"/>
      <c r="J70" s="5">
        <f>_xlfn.TEXTJOIN(CHAR(10),TRUE,IF(G70="","","• "&amp;G70),IF(H70="","","• "&amp;H70),IF(I70="","","• "&amp;I70))</f>
        <v/>
      </c>
      <c r="K70" s="4" t="n"/>
      <c r="L70" s="4" t="n"/>
      <c r="M70" s="4" t="n"/>
      <c r="N70" s="16" t="n"/>
      <c r="O70" s="4" t="n"/>
      <c r="P70" s="16" t="n"/>
      <c r="Q70" s="4" t="n"/>
      <c r="R70" s="16" t="n"/>
      <c r="S70" s="20">
        <f>IF(OR(N70="",P70="",R70=""),"",(--TRIM(LEFT(N70,2)))*(--TRIM(LEFT(P70,2)))*(--TRIM(LEFT(R70,2))))</f>
        <v/>
      </c>
      <c r="T70" s="20">
        <f>IF(OR(N70="",P70="",R70=""),"",INDEX(APGrid,COUNTIF(APS,"&gt;"&amp;(--TRIM(LEFT(N70,2))))*5+COUNTIF(APO,"&gt;"&amp;(--TRIM(LEFT(P70,2))))+1,COUNTIF(APD,"&gt;"&amp;(--TRIM(LEFT(R70,2))))+1))</f>
        <v/>
      </c>
      <c r="U70" s="20">
        <f>IF(S70="","",IF(OR((--TRIM(LEFT(N70,2)))&gt;=SThr,S70&gt;=RPNThr,T70="H"),"Yes","No"))</f>
        <v/>
      </c>
      <c r="V70" s="4" t="n"/>
      <c r="W70" s="4" t="n"/>
      <c r="X70" s="4" t="n"/>
      <c r="Y70" s="29" t="n"/>
      <c r="Z70" s="16" t="n"/>
      <c r="AA70" s="16" t="n"/>
      <c r="AB70" s="16" t="n"/>
      <c r="AC70" s="20">
        <f>IF(OR(Z70="",AA70="",AB70=""),"",(--TRIM(LEFT(Z70,2)))*(--TRIM(LEFT(AA70,2)))*(--TRIM(LEFT(AB70,2))))</f>
        <v/>
      </c>
      <c r="AD70" s="20">
        <f>IF(OR(Z70="",AA70="",AB70=""),"",INDEX(APGrid,COUNTIF(APS,"&gt;"&amp;(--TRIM(LEFT(Z70,2))))*5+COUNTIF(APO,"&gt;"&amp;(--TRIM(LEFT(AA70,2))))+1,COUNTIF(APD,"&gt;"&amp;(--TRIM(LEFT(AB70,2))))+1))</f>
        <v/>
      </c>
      <c r="AE70" s="4" t="n"/>
      <c r="AF70" s="4" t="n"/>
      <c r="AH70">
        <f>IFERROR(INDEX(EqTag,_xlfn.AGGREGATE(15,6,(ROW(EqTag)-4)/((EqSys=$D$3)*(EqTag&lt;&gt;"")),ROWS($AH$14:AH70))),"")</f>
        <v/>
      </c>
    </row>
    <row r="71">
      <c r="A71" s="20">
        <f>IF(F71="","",LEFT($D$3,3)&amp;"-"&amp;TEXT(COUNTIF(F$14:F71,"?*"),"00"))</f>
        <v/>
      </c>
      <c r="B71" s="4" t="n"/>
      <c r="C71" s="5">
        <f>IF(B71="","",IFERROR(INDEX(EqTypeCol,MATCH(B71,EqTag,0)),"Tag not in register"))</f>
        <v/>
      </c>
      <c r="D71" s="4" t="n"/>
      <c r="E71" s="4" t="n"/>
      <c r="F71" s="4" t="n"/>
      <c r="G71" s="4" t="n"/>
      <c r="H71" s="4" t="n"/>
      <c r="I71" s="4" t="n"/>
      <c r="J71" s="5">
        <f>_xlfn.TEXTJOIN(CHAR(10),TRUE,IF(G71="","","• "&amp;G71),IF(H71="","","• "&amp;H71),IF(I71="","","• "&amp;I71))</f>
        <v/>
      </c>
      <c r="K71" s="4" t="n"/>
      <c r="L71" s="4" t="n"/>
      <c r="M71" s="4" t="n"/>
      <c r="N71" s="16" t="n"/>
      <c r="O71" s="4" t="n"/>
      <c r="P71" s="16" t="n"/>
      <c r="Q71" s="4" t="n"/>
      <c r="R71" s="16" t="n"/>
      <c r="S71" s="20">
        <f>IF(OR(N71="",P71="",R71=""),"",(--TRIM(LEFT(N71,2)))*(--TRIM(LEFT(P71,2)))*(--TRIM(LEFT(R71,2))))</f>
        <v/>
      </c>
      <c r="T71" s="20">
        <f>IF(OR(N71="",P71="",R71=""),"",INDEX(APGrid,COUNTIF(APS,"&gt;"&amp;(--TRIM(LEFT(N71,2))))*5+COUNTIF(APO,"&gt;"&amp;(--TRIM(LEFT(P71,2))))+1,COUNTIF(APD,"&gt;"&amp;(--TRIM(LEFT(R71,2))))+1))</f>
        <v/>
      </c>
      <c r="U71" s="20">
        <f>IF(S71="","",IF(OR((--TRIM(LEFT(N71,2)))&gt;=SThr,S71&gt;=RPNThr,T71="H"),"Yes","No"))</f>
        <v/>
      </c>
      <c r="V71" s="4" t="n"/>
      <c r="W71" s="4" t="n"/>
      <c r="X71" s="4" t="n"/>
      <c r="Y71" s="29" t="n"/>
      <c r="Z71" s="16" t="n"/>
      <c r="AA71" s="16" t="n"/>
      <c r="AB71" s="16" t="n"/>
      <c r="AC71" s="20">
        <f>IF(OR(Z71="",AA71="",AB71=""),"",(--TRIM(LEFT(Z71,2)))*(--TRIM(LEFT(AA71,2)))*(--TRIM(LEFT(AB71,2))))</f>
        <v/>
      </c>
      <c r="AD71" s="20">
        <f>IF(OR(Z71="",AA71="",AB71=""),"",INDEX(APGrid,COUNTIF(APS,"&gt;"&amp;(--TRIM(LEFT(Z71,2))))*5+COUNTIF(APO,"&gt;"&amp;(--TRIM(LEFT(AA71,2))))+1,COUNTIF(APD,"&gt;"&amp;(--TRIM(LEFT(AB71,2))))+1))</f>
        <v/>
      </c>
      <c r="AE71" s="4" t="n"/>
      <c r="AF71" s="4" t="n"/>
      <c r="AH71">
        <f>IFERROR(INDEX(EqTag,_xlfn.AGGREGATE(15,6,(ROW(EqTag)-4)/((EqSys=$D$3)*(EqTag&lt;&gt;"")),ROWS($AH$14:AH71))),"")</f>
        <v/>
      </c>
    </row>
    <row r="72">
      <c r="A72" s="20">
        <f>IF(F72="","",LEFT($D$3,3)&amp;"-"&amp;TEXT(COUNTIF(F$14:F72,"?*"),"00"))</f>
        <v/>
      </c>
      <c r="B72" s="4" t="n"/>
      <c r="C72" s="5">
        <f>IF(B72="","",IFERROR(INDEX(EqTypeCol,MATCH(B72,EqTag,0)),"Tag not in register"))</f>
        <v/>
      </c>
      <c r="D72" s="4" t="n"/>
      <c r="E72" s="4" t="n"/>
      <c r="F72" s="4" t="n"/>
      <c r="G72" s="4" t="n"/>
      <c r="H72" s="4" t="n"/>
      <c r="I72" s="4" t="n"/>
      <c r="J72" s="5">
        <f>_xlfn.TEXTJOIN(CHAR(10),TRUE,IF(G72="","","• "&amp;G72),IF(H72="","","• "&amp;H72),IF(I72="","","• "&amp;I72))</f>
        <v/>
      </c>
      <c r="K72" s="4" t="n"/>
      <c r="L72" s="4" t="n"/>
      <c r="M72" s="4" t="n"/>
      <c r="N72" s="16" t="n"/>
      <c r="O72" s="4" t="n"/>
      <c r="P72" s="16" t="n"/>
      <c r="Q72" s="4" t="n"/>
      <c r="R72" s="16" t="n"/>
      <c r="S72" s="20">
        <f>IF(OR(N72="",P72="",R72=""),"",(--TRIM(LEFT(N72,2)))*(--TRIM(LEFT(P72,2)))*(--TRIM(LEFT(R72,2))))</f>
        <v/>
      </c>
      <c r="T72" s="20">
        <f>IF(OR(N72="",P72="",R72=""),"",INDEX(APGrid,COUNTIF(APS,"&gt;"&amp;(--TRIM(LEFT(N72,2))))*5+COUNTIF(APO,"&gt;"&amp;(--TRIM(LEFT(P72,2))))+1,COUNTIF(APD,"&gt;"&amp;(--TRIM(LEFT(R72,2))))+1))</f>
        <v/>
      </c>
      <c r="U72" s="20">
        <f>IF(S72="","",IF(OR((--TRIM(LEFT(N72,2)))&gt;=SThr,S72&gt;=RPNThr,T72="H"),"Yes","No"))</f>
        <v/>
      </c>
      <c r="V72" s="4" t="n"/>
      <c r="W72" s="4" t="n"/>
      <c r="X72" s="4" t="n"/>
      <c r="Y72" s="29" t="n"/>
      <c r="Z72" s="16" t="n"/>
      <c r="AA72" s="16" t="n"/>
      <c r="AB72" s="16" t="n"/>
      <c r="AC72" s="20">
        <f>IF(OR(Z72="",AA72="",AB72=""),"",(--TRIM(LEFT(Z72,2)))*(--TRIM(LEFT(AA72,2)))*(--TRIM(LEFT(AB72,2))))</f>
        <v/>
      </c>
      <c r="AD72" s="20">
        <f>IF(OR(Z72="",AA72="",AB72=""),"",INDEX(APGrid,COUNTIF(APS,"&gt;"&amp;(--TRIM(LEFT(Z72,2))))*5+COUNTIF(APO,"&gt;"&amp;(--TRIM(LEFT(AA72,2))))+1,COUNTIF(APD,"&gt;"&amp;(--TRIM(LEFT(AB72,2))))+1))</f>
        <v/>
      </c>
      <c r="AE72" s="4" t="n"/>
      <c r="AF72" s="4" t="n"/>
      <c r="AH72">
        <f>IFERROR(INDEX(EqTag,_xlfn.AGGREGATE(15,6,(ROW(EqTag)-4)/((EqSys=$D$3)*(EqTag&lt;&gt;"")),ROWS($AH$14:AH72))),"")</f>
        <v/>
      </c>
    </row>
    <row r="73">
      <c r="A73" s="20">
        <f>IF(F73="","",LEFT($D$3,3)&amp;"-"&amp;TEXT(COUNTIF(F$14:F73,"?*"),"00"))</f>
        <v/>
      </c>
      <c r="B73" s="4" t="n"/>
      <c r="C73" s="5">
        <f>IF(B73="","",IFERROR(INDEX(EqTypeCol,MATCH(B73,EqTag,0)),"Tag not in register"))</f>
        <v/>
      </c>
      <c r="D73" s="4" t="n"/>
      <c r="E73" s="4" t="n"/>
      <c r="F73" s="4" t="n"/>
      <c r="G73" s="4" t="n"/>
      <c r="H73" s="4" t="n"/>
      <c r="I73" s="4" t="n"/>
      <c r="J73" s="5">
        <f>_xlfn.TEXTJOIN(CHAR(10),TRUE,IF(G73="","","• "&amp;G73),IF(H73="","","• "&amp;H73),IF(I73="","","• "&amp;I73))</f>
        <v/>
      </c>
      <c r="K73" s="4" t="n"/>
      <c r="L73" s="4" t="n"/>
      <c r="M73" s="4" t="n"/>
      <c r="N73" s="16" t="n"/>
      <c r="O73" s="4" t="n"/>
      <c r="P73" s="16" t="n"/>
      <c r="Q73" s="4" t="n"/>
      <c r="R73" s="16" t="n"/>
      <c r="S73" s="20">
        <f>IF(OR(N73="",P73="",R73=""),"",(--TRIM(LEFT(N73,2)))*(--TRIM(LEFT(P73,2)))*(--TRIM(LEFT(R73,2))))</f>
        <v/>
      </c>
      <c r="T73" s="20">
        <f>IF(OR(N73="",P73="",R73=""),"",INDEX(APGrid,COUNTIF(APS,"&gt;"&amp;(--TRIM(LEFT(N73,2))))*5+COUNTIF(APO,"&gt;"&amp;(--TRIM(LEFT(P73,2))))+1,COUNTIF(APD,"&gt;"&amp;(--TRIM(LEFT(R73,2))))+1))</f>
        <v/>
      </c>
      <c r="U73" s="20">
        <f>IF(S73="","",IF(OR((--TRIM(LEFT(N73,2)))&gt;=SThr,S73&gt;=RPNThr,T73="H"),"Yes","No"))</f>
        <v/>
      </c>
      <c r="V73" s="4" t="n"/>
      <c r="W73" s="4" t="n"/>
      <c r="X73" s="4" t="n"/>
      <c r="Y73" s="29" t="n"/>
      <c r="Z73" s="16" t="n"/>
      <c r="AA73" s="16" t="n"/>
      <c r="AB73" s="16" t="n"/>
      <c r="AC73" s="20">
        <f>IF(OR(Z73="",AA73="",AB73=""),"",(--TRIM(LEFT(Z73,2)))*(--TRIM(LEFT(AA73,2)))*(--TRIM(LEFT(AB73,2))))</f>
        <v/>
      </c>
      <c r="AD73" s="20">
        <f>IF(OR(Z73="",AA73="",AB73=""),"",INDEX(APGrid,COUNTIF(APS,"&gt;"&amp;(--TRIM(LEFT(Z73,2))))*5+COUNTIF(APO,"&gt;"&amp;(--TRIM(LEFT(AA73,2))))+1,COUNTIF(APD,"&gt;"&amp;(--TRIM(LEFT(AB73,2))))+1))</f>
        <v/>
      </c>
      <c r="AE73" s="4" t="n"/>
      <c r="AF73" s="4" t="n"/>
      <c r="AH73">
        <f>IFERROR(INDEX(EqTag,_xlfn.AGGREGATE(15,6,(ROW(EqTag)-4)/((EqSys=$D$3)*(EqTag&lt;&gt;"")),ROWS($AH$14:AH73))),"")</f>
        <v/>
      </c>
    </row>
    <row r="74">
      <c r="A74" s="20">
        <f>IF(F74="","",LEFT($D$3,3)&amp;"-"&amp;TEXT(COUNTIF(F$14:F74,"?*"),"00"))</f>
        <v/>
      </c>
      <c r="B74" s="4" t="n"/>
      <c r="C74" s="5">
        <f>IF(B74="","",IFERROR(INDEX(EqTypeCol,MATCH(B74,EqTag,0)),"Tag not in register"))</f>
        <v/>
      </c>
      <c r="D74" s="4" t="n"/>
      <c r="E74" s="4" t="n"/>
      <c r="F74" s="4" t="n"/>
      <c r="G74" s="4" t="n"/>
      <c r="H74" s="4" t="n"/>
      <c r="I74" s="4" t="n"/>
      <c r="J74" s="5">
        <f>_xlfn.TEXTJOIN(CHAR(10),TRUE,IF(G74="","","• "&amp;G74),IF(H74="","","• "&amp;H74),IF(I74="","","• "&amp;I74))</f>
        <v/>
      </c>
      <c r="K74" s="4" t="n"/>
      <c r="L74" s="4" t="n"/>
      <c r="M74" s="4" t="n"/>
      <c r="N74" s="16" t="n"/>
      <c r="O74" s="4" t="n"/>
      <c r="P74" s="16" t="n"/>
      <c r="Q74" s="4" t="n"/>
      <c r="R74" s="16" t="n"/>
      <c r="S74" s="20">
        <f>IF(OR(N74="",P74="",R74=""),"",(--TRIM(LEFT(N74,2)))*(--TRIM(LEFT(P74,2)))*(--TRIM(LEFT(R74,2))))</f>
        <v/>
      </c>
      <c r="T74" s="20">
        <f>IF(OR(N74="",P74="",R74=""),"",INDEX(APGrid,COUNTIF(APS,"&gt;"&amp;(--TRIM(LEFT(N74,2))))*5+COUNTIF(APO,"&gt;"&amp;(--TRIM(LEFT(P74,2))))+1,COUNTIF(APD,"&gt;"&amp;(--TRIM(LEFT(R74,2))))+1))</f>
        <v/>
      </c>
      <c r="U74" s="20">
        <f>IF(S74="","",IF(OR((--TRIM(LEFT(N74,2)))&gt;=SThr,S74&gt;=RPNThr,T74="H"),"Yes","No"))</f>
        <v/>
      </c>
      <c r="V74" s="4" t="n"/>
      <c r="W74" s="4" t="n"/>
      <c r="X74" s="4" t="n"/>
      <c r="Y74" s="29" t="n"/>
      <c r="Z74" s="16" t="n"/>
      <c r="AA74" s="16" t="n"/>
      <c r="AB74" s="16" t="n"/>
      <c r="AC74" s="20">
        <f>IF(OR(Z74="",AA74="",AB74=""),"",(--TRIM(LEFT(Z74,2)))*(--TRIM(LEFT(AA74,2)))*(--TRIM(LEFT(AB74,2))))</f>
        <v/>
      </c>
      <c r="AD74" s="20">
        <f>IF(OR(Z74="",AA74="",AB74=""),"",INDEX(APGrid,COUNTIF(APS,"&gt;"&amp;(--TRIM(LEFT(Z74,2))))*5+COUNTIF(APO,"&gt;"&amp;(--TRIM(LEFT(AA74,2))))+1,COUNTIF(APD,"&gt;"&amp;(--TRIM(LEFT(AB74,2))))+1))</f>
        <v/>
      </c>
      <c r="AE74" s="4" t="n"/>
      <c r="AF74" s="4" t="n"/>
      <c r="AH74">
        <f>IFERROR(INDEX(EqTag,_xlfn.AGGREGATE(15,6,(ROW(EqTag)-4)/((EqSys=$D$3)*(EqTag&lt;&gt;"")),ROWS($AH$14:AH74))),"")</f>
        <v/>
      </c>
    </row>
    <row r="75">
      <c r="A75" s="20">
        <f>IF(F75="","",LEFT($D$3,3)&amp;"-"&amp;TEXT(COUNTIF(F$14:F75,"?*"),"00"))</f>
        <v/>
      </c>
      <c r="B75" s="4" t="n"/>
      <c r="C75" s="5">
        <f>IF(B75="","",IFERROR(INDEX(EqTypeCol,MATCH(B75,EqTag,0)),"Tag not in register"))</f>
        <v/>
      </c>
      <c r="D75" s="4" t="n"/>
      <c r="E75" s="4" t="n"/>
      <c r="F75" s="4" t="n"/>
      <c r="G75" s="4" t="n"/>
      <c r="H75" s="4" t="n"/>
      <c r="I75" s="4" t="n"/>
      <c r="J75" s="5">
        <f>_xlfn.TEXTJOIN(CHAR(10),TRUE,IF(G75="","","• "&amp;G75),IF(H75="","","• "&amp;H75),IF(I75="","","• "&amp;I75))</f>
        <v/>
      </c>
      <c r="K75" s="4" t="n"/>
      <c r="L75" s="4" t="n"/>
      <c r="M75" s="4" t="n"/>
      <c r="N75" s="16" t="n"/>
      <c r="O75" s="4" t="n"/>
      <c r="P75" s="16" t="n"/>
      <c r="Q75" s="4" t="n"/>
      <c r="R75" s="16" t="n"/>
      <c r="S75" s="20">
        <f>IF(OR(N75="",P75="",R75=""),"",(--TRIM(LEFT(N75,2)))*(--TRIM(LEFT(P75,2)))*(--TRIM(LEFT(R75,2))))</f>
        <v/>
      </c>
      <c r="T75" s="20">
        <f>IF(OR(N75="",P75="",R75=""),"",INDEX(APGrid,COUNTIF(APS,"&gt;"&amp;(--TRIM(LEFT(N75,2))))*5+COUNTIF(APO,"&gt;"&amp;(--TRIM(LEFT(P75,2))))+1,COUNTIF(APD,"&gt;"&amp;(--TRIM(LEFT(R75,2))))+1))</f>
        <v/>
      </c>
      <c r="U75" s="20">
        <f>IF(S75="","",IF(OR((--TRIM(LEFT(N75,2)))&gt;=SThr,S75&gt;=RPNThr,T75="H"),"Yes","No"))</f>
        <v/>
      </c>
      <c r="V75" s="4" t="n"/>
      <c r="W75" s="4" t="n"/>
      <c r="X75" s="4" t="n"/>
      <c r="Y75" s="29" t="n"/>
      <c r="Z75" s="16" t="n"/>
      <c r="AA75" s="16" t="n"/>
      <c r="AB75" s="16" t="n"/>
      <c r="AC75" s="20">
        <f>IF(OR(Z75="",AA75="",AB75=""),"",(--TRIM(LEFT(Z75,2)))*(--TRIM(LEFT(AA75,2)))*(--TRIM(LEFT(AB75,2))))</f>
        <v/>
      </c>
      <c r="AD75" s="20">
        <f>IF(OR(Z75="",AA75="",AB75=""),"",INDEX(APGrid,COUNTIF(APS,"&gt;"&amp;(--TRIM(LEFT(Z75,2))))*5+COUNTIF(APO,"&gt;"&amp;(--TRIM(LEFT(AA75,2))))+1,COUNTIF(APD,"&gt;"&amp;(--TRIM(LEFT(AB75,2))))+1))</f>
        <v/>
      </c>
      <c r="AE75" s="4" t="n"/>
      <c r="AF75" s="4" t="n"/>
      <c r="AH75">
        <f>IFERROR(INDEX(EqTag,_xlfn.AGGREGATE(15,6,(ROW(EqTag)-4)/((EqSys=$D$3)*(EqTag&lt;&gt;"")),ROWS($AH$14:AH75))),"")</f>
        <v/>
      </c>
    </row>
    <row r="76">
      <c r="A76" s="20">
        <f>IF(F76="","",LEFT($D$3,3)&amp;"-"&amp;TEXT(COUNTIF(F$14:F76,"?*"),"00"))</f>
        <v/>
      </c>
      <c r="B76" s="4" t="n"/>
      <c r="C76" s="5">
        <f>IF(B76="","",IFERROR(INDEX(EqTypeCol,MATCH(B76,EqTag,0)),"Tag not in register"))</f>
        <v/>
      </c>
      <c r="D76" s="4" t="n"/>
      <c r="E76" s="4" t="n"/>
      <c r="F76" s="4" t="n"/>
      <c r="G76" s="4" t="n"/>
      <c r="H76" s="4" t="n"/>
      <c r="I76" s="4" t="n"/>
      <c r="J76" s="5">
        <f>_xlfn.TEXTJOIN(CHAR(10),TRUE,IF(G76="","","• "&amp;G76),IF(H76="","","• "&amp;H76),IF(I76="","","• "&amp;I76))</f>
        <v/>
      </c>
      <c r="K76" s="4" t="n"/>
      <c r="L76" s="4" t="n"/>
      <c r="M76" s="4" t="n"/>
      <c r="N76" s="16" t="n"/>
      <c r="O76" s="4" t="n"/>
      <c r="P76" s="16" t="n"/>
      <c r="Q76" s="4" t="n"/>
      <c r="R76" s="16" t="n"/>
      <c r="S76" s="20">
        <f>IF(OR(N76="",P76="",R76=""),"",(--TRIM(LEFT(N76,2)))*(--TRIM(LEFT(P76,2)))*(--TRIM(LEFT(R76,2))))</f>
        <v/>
      </c>
      <c r="T76" s="20">
        <f>IF(OR(N76="",P76="",R76=""),"",INDEX(APGrid,COUNTIF(APS,"&gt;"&amp;(--TRIM(LEFT(N76,2))))*5+COUNTIF(APO,"&gt;"&amp;(--TRIM(LEFT(P76,2))))+1,COUNTIF(APD,"&gt;"&amp;(--TRIM(LEFT(R76,2))))+1))</f>
        <v/>
      </c>
      <c r="U76" s="20">
        <f>IF(S76="","",IF(OR((--TRIM(LEFT(N76,2)))&gt;=SThr,S76&gt;=RPNThr,T76="H"),"Yes","No"))</f>
        <v/>
      </c>
      <c r="V76" s="4" t="n"/>
      <c r="W76" s="4" t="n"/>
      <c r="X76" s="4" t="n"/>
      <c r="Y76" s="29" t="n"/>
      <c r="Z76" s="16" t="n"/>
      <c r="AA76" s="16" t="n"/>
      <c r="AB76" s="16" t="n"/>
      <c r="AC76" s="20">
        <f>IF(OR(Z76="",AA76="",AB76=""),"",(--TRIM(LEFT(Z76,2)))*(--TRIM(LEFT(AA76,2)))*(--TRIM(LEFT(AB76,2))))</f>
        <v/>
      </c>
      <c r="AD76" s="20">
        <f>IF(OR(Z76="",AA76="",AB76=""),"",INDEX(APGrid,COUNTIF(APS,"&gt;"&amp;(--TRIM(LEFT(Z76,2))))*5+COUNTIF(APO,"&gt;"&amp;(--TRIM(LEFT(AA76,2))))+1,COUNTIF(APD,"&gt;"&amp;(--TRIM(LEFT(AB76,2))))+1))</f>
        <v/>
      </c>
      <c r="AE76" s="4" t="n"/>
      <c r="AF76" s="4" t="n"/>
      <c r="AH76">
        <f>IFERROR(INDEX(EqTag,_xlfn.AGGREGATE(15,6,(ROW(EqTag)-4)/((EqSys=$D$3)*(EqTag&lt;&gt;"")),ROWS($AH$14:AH76))),"")</f>
        <v/>
      </c>
    </row>
    <row r="77">
      <c r="A77" s="20">
        <f>IF(F77="","",LEFT($D$3,3)&amp;"-"&amp;TEXT(COUNTIF(F$14:F77,"?*"),"00"))</f>
        <v/>
      </c>
      <c r="B77" s="4" t="n"/>
      <c r="C77" s="5">
        <f>IF(B77="","",IFERROR(INDEX(EqTypeCol,MATCH(B77,EqTag,0)),"Tag not in register"))</f>
        <v/>
      </c>
      <c r="D77" s="4" t="n"/>
      <c r="E77" s="4" t="n"/>
      <c r="F77" s="4" t="n"/>
      <c r="G77" s="4" t="n"/>
      <c r="H77" s="4" t="n"/>
      <c r="I77" s="4" t="n"/>
      <c r="J77" s="5">
        <f>_xlfn.TEXTJOIN(CHAR(10),TRUE,IF(G77="","","• "&amp;G77),IF(H77="","","• "&amp;H77),IF(I77="","","• "&amp;I77))</f>
        <v/>
      </c>
      <c r="K77" s="4" t="n"/>
      <c r="L77" s="4" t="n"/>
      <c r="M77" s="4" t="n"/>
      <c r="N77" s="16" t="n"/>
      <c r="O77" s="4" t="n"/>
      <c r="P77" s="16" t="n"/>
      <c r="Q77" s="4" t="n"/>
      <c r="R77" s="16" t="n"/>
      <c r="S77" s="20">
        <f>IF(OR(N77="",P77="",R77=""),"",(--TRIM(LEFT(N77,2)))*(--TRIM(LEFT(P77,2)))*(--TRIM(LEFT(R77,2))))</f>
        <v/>
      </c>
      <c r="T77" s="20">
        <f>IF(OR(N77="",P77="",R77=""),"",INDEX(APGrid,COUNTIF(APS,"&gt;"&amp;(--TRIM(LEFT(N77,2))))*5+COUNTIF(APO,"&gt;"&amp;(--TRIM(LEFT(P77,2))))+1,COUNTIF(APD,"&gt;"&amp;(--TRIM(LEFT(R77,2))))+1))</f>
        <v/>
      </c>
      <c r="U77" s="20">
        <f>IF(S77="","",IF(OR((--TRIM(LEFT(N77,2)))&gt;=SThr,S77&gt;=RPNThr,T77="H"),"Yes","No"))</f>
        <v/>
      </c>
      <c r="V77" s="4" t="n"/>
      <c r="W77" s="4" t="n"/>
      <c r="X77" s="4" t="n"/>
      <c r="Y77" s="29" t="n"/>
      <c r="Z77" s="16" t="n"/>
      <c r="AA77" s="16" t="n"/>
      <c r="AB77" s="16" t="n"/>
      <c r="AC77" s="20">
        <f>IF(OR(Z77="",AA77="",AB77=""),"",(--TRIM(LEFT(Z77,2)))*(--TRIM(LEFT(AA77,2)))*(--TRIM(LEFT(AB77,2))))</f>
        <v/>
      </c>
      <c r="AD77" s="20">
        <f>IF(OR(Z77="",AA77="",AB77=""),"",INDEX(APGrid,COUNTIF(APS,"&gt;"&amp;(--TRIM(LEFT(Z77,2))))*5+COUNTIF(APO,"&gt;"&amp;(--TRIM(LEFT(AA77,2))))+1,COUNTIF(APD,"&gt;"&amp;(--TRIM(LEFT(AB77,2))))+1))</f>
        <v/>
      </c>
      <c r="AE77" s="4" t="n"/>
      <c r="AF77" s="4" t="n"/>
      <c r="AH77">
        <f>IFERROR(INDEX(EqTag,_xlfn.AGGREGATE(15,6,(ROW(EqTag)-4)/((EqSys=$D$3)*(EqTag&lt;&gt;"")),ROWS($AH$14:AH77))),"")</f>
        <v/>
      </c>
    </row>
    <row r="78">
      <c r="A78" s="20">
        <f>IF(F78="","",LEFT($D$3,3)&amp;"-"&amp;TEXT(COUNTIF(F$14:F78,"?*"),"00"))</f>
        <v/>
      </c>
      <c r="B78" s="4" t="n"/>
      <c r="C78" s="5">
        <f>IF(B78="","",IFERROR(INDEX(EqTypeCol,MATCH(B78,EqTag,0)),"Tag not in register"))</f>
        <v/>
      </c>
      <c r="D78" s="4" t="n"/>
      <c r="E78" s="4" t="n"/>
      <c r="F78" s="4" t="n"/>
      <c r="G78" s="4" t="n"/>
      <c r="H78" s="4" t="n"/>
      <c r="I78" s="4" t="n"/>
      <c r="J78" s="5">
        <f>_xlfn.TEXTJOIN(CHAR(10),TRUE,IF(G78="","","• "&amp;G78),IF(H78="","","• "&amp;H78),IF(I78="","","• "&amp;I78))</f>
        <v/>
      </c>
      <c r="K78" s="4" t="n"/>
      <c r="L78" s="4" t="n"/>
      <c r="M78" s="4" t="n"/>
      <c r="N78" s="16" t="n"/>
      <c r="O78" s="4" t="n"/>
      <c r="P78" s="16" t="n"/>
      <c r="Q78" s="4" t="n"/>
      <c r="R78" s="16" t="n"/>
      <c r="S78" s="20">
        <f>IF(OR(N78="",P78="",R78=""),"",(--TRIM(LEFT(N78,2)))*(--TRIM(LEFT(P78,2)))*(--TRIM(LEFT(R78,2))))</f>
        <v/>
      </c>
      <c r="T78" s="20">
        <f>IF(OR(N78="",P78="",R78=""),"",INDEX(APGrid,COUNTIF(APS,"&gt;"&amp;(--TRIM(LEFT(N78,2))))*5+COUNTIF(APO,"&gt;"&amp;(--TRIM(LEFT(P78,2))))+1,COUNTIF(APD,"&gt;"&amp;(--TRIM(LEFT(R78,2))))+1))</f>
        <v/>
      </c>
      <c r="U78" s="20">
        <f>IF(S78="","",IF(OR((--TRIM(LEFT(N78,2)))&gt;=SThr,S78&gt;=RPNThr,T78="H"),"Yes","No"))</f>
        <v/>
      </c>
      <c r="V78" s="4" t="n"/>
      <c r="W78" s="4" t="n"/>
      <c r="X78" s="4" t="n"/>
      <c r="Y78" s="29" t="n"/>
      <c r="Z78" s="16" t="n"/>
      <c r="AA78" s="16" t="n"/>
      <c r="AB78" s="16" t="n"/>
      <c r="AC78" s="20">
        <f>IF(OR(Z78="",AA78="",AB78=""),"",(--TRIM(LEFT(Z78,2)))*(--TRIM(LEFT(AA78,2)))*(--TRIM(LEFT(AB78,2))))</f>
        <v/>
      </c>
      <c r="AD78" s="20">
        <f>IF(OR(Z78="",AA78="",AB78=""),"",INDEX(APGrid,COUNTIF(APS,"&gt;"&amp;(--TRIM(LEFT(Z78,2))))*5+COUNTIF(APO,"&gt;"&amp;(--TRIM(LEFT(AA78,2))))+1,COUNTIF(APD,"&gt;"&amp;(--TRIM(LEFT(AB78,2))))+1))</f>
        <v/>
      </c>
      <c r="AE78" s="4" t="n"/>
      <c r="AF78" s="4" t="n"/>
      <c r="AH78">
        <f>IFERROR(INDEX(EqTag,_xlfn.AGGREGATE(15,6,(ROW(EqTag)-4)/((EqSys=$D$3)*(EqTag&lt;&gt;"")),ROWS($AH$14:AH78))),"")</f>
        <v/>
      </c>
    </row>
    <row r="79">
      <c r="A79" s="20">
        <f>IF(F79="","",LEFT($D$3,3)&amp;"-"&amp;TEXT(COUNTIF(F$14:F79,"?*"),"00"))</f>
        <v/>
      </c>
      <c r="B79" s="4" t="n"/>
      <c r="C79" s="5">
        <f>IF(B79="","",IFERROR(INDEX(EqTypeCol,MATCH(B79,EqTag,0)),"Tag not in register"))</f>
        <v/>
      </c>
      <c r="D79" s="4" t="n"/>
      <c r="E79" s="4" t="n"/>
      <c r="F79" s="4" t="n"/>
      <c r="G79" s="4" t="n"/>
      <c r="H79" s="4" t="n"/>
      <c r="I79" s="4" t="n"/>
      <c r="J79" s="5">
        <f>_xlfn.TEXTJOIN(CHAR(10),TRUE,IF(G79="","","• "&amp;G79),IF(H79="","","• "&amp;H79),IF(I79="","","• "&amp;I79))</f>
        <v/>
      </c>
      <c r="K79" s="4" t="n"/>
      <c r="L79" s="4" t="n"/>
      <c r="M79" s="4" t="n"/>
      <c r="N79" s="16" t="n"/>
      <c r="O79" s="4" t="n"/>
      <c r="P79" s="16" t="n"/>
      <c r="Q79" s="4" t="n"/>
      <c r="R79" s="16" t="n"/>
      <c r="S79" s="20">
        <f>IF(OR(N79="",P79="",R79=""),"",(--TRIM(LEFT(N79,2)))*(--TRIM(LEFT(P79,2)))*(--TRIM(LEFT(R79,2))))</f>
        <v/>
      </c>
      <c r="T79" s="20">
        <f>IF(OR(N79="",P79="",R79=""),"",INDEX(APGrid,COUNTIF(APS,"&gt;"&amp;(--TRIM(LEFT(N79,2))))*5+COUNTIF(APO,"&gt;"&amp;(--TRIM(LEFT(P79,2))))+1,COUNTIF(APD,"&gt;"&amp;(--TRIM(LEFT(R79,2))))+1))</f>
        <v/>
      </c>
      <c r="U79" s="20">
        <f>IF(S79="","",IF(OR((--TRIM(LEFT(N79,2)))&gt;=SThr,S79&gt;=RPNThr,T79="H"),"Yes","No"))</f>
        <v/>
      </c>
      <c r="V79" s="4" t="n"/>
      <c r="W79" s="4" t="n"/>
      <c r="X79" s="4" t="n"/>
      <c r="Y79" s="29" t="n"/>
      <c r="Z79" s="16" t="n"/>
      <c r="AA79" s="16" t="n"/>
      <c r="AB79" s="16" t="n"/>
      <c r="AC79" s="20">
        <f>IF(OR(Z79="",AA79="",AB79=""),"",(--TRIM(LEFT(Z79,2)))*(--TRIM(LEFT(AA79,2)))*(--TRIM(LEFT(AB79,2))))</f>
        <v/>
      </c>
      <c r="AD79" s="20">
        <f>IF(OR(Z79="",AA79="",AB79=""),"",INDEX(APGrid,COUNTIF(APS,"&gt;"&amp;(--TRIM(LEFT(Z79,2))))*5+COUNTIF(APO,"&gt;"&amp;(--TRIM(LEFT(AA79,2))))+1,COUNTIF(APD,"&gt;"&amp;(--TRIM(LEFT(AB79,2))))+1))</f>
        <v/>
      </c>
      <c r="AE79" s="4" t="n"/>
      <c r="AF79" s="4" t="n"/>
      <c r="AH79">
        <f>IFERROR(INDEX(EqTag,_xlfn.AGGREGATE(15,6,(ROW(EqTag)-4)/((EqSys=$D$3)*(EqTag&lt;&gt;"")),ROWS($AH$14:AH79))),"")</f>
        <v/>
      </c>
    </row>
    <row r="80">
      <c r="A80" s="20">
        <f>IF(F80="","",LEFT($D$3,3)&amp;"-"&amp;TEXT(COUNTIF(F$14:F80,"?*"),"00"))</f>
        <v/>
      </c>
      <c r="B80" s="4" t="n"/>
      <c r="C80" s="5">
        <f>IF(B80="","",IFERROR(INDEX(EqTypeCol,MATCH(B80,EqTag,0)),"Tag not in register"))</f>
        <v/>
      </c>
      <c r="D80" s="4" t="n"/>
      <c r="E80" s="4" t="n"/>
      <c r="F80" s="4" t="n"/>
      <c r="G80" s="4" t="n"/>
      <c r="H80" s="4" t="n"/>
      <c r="I80" s="4" t="n"/>
      <c r="J80" s="5">
        <f>_xlfn.TEXTJOIN(CHAR(10),TRUE,IF(G80="","","• "&amp;G80),IF(H80="","","• "&amp;H80),IF(I80="","","• "&amp;I80))</f>
        <v/>
      </c>
      <c r="K80" s="4" t="n"/>
      <c r="L80" s="4" t="n"/>
      <c r="M80" s="4" t="n"/>
      <c r="N80" s="16" t="n"/>
      <c r="O80" s="4" t="n"/>
      <c r="P80" s="16" t="n"/>
      <c r="Q80" s="4" t="n"/>
      <c r="R80" s="16" t="n"/>
      <c r="S80" s="20">
        <f>IF(OR(N80="",P80="",R80=""),"",(--TRIM(LEFT(N80,2)))*(--TRIM(LEFT(P80,2)))*(--TRIM(LEFT(R80,2))))</f>
        <v/>
      </c>
      <c r="T80" s="20">
        <f>IF(OR(N80="",P80="",R80=""),"",INDEX(APGrid,COUNTIF(APS,"&gt;"&amp;(--TRIM(LEFT(N80,2))))*5+COUNTIF(APO,"&gt;"&amp;(--TRIM(LEFT(P80,2))))+1,COUNTIF(APD,"&gt;"&amp;(--TRIM(LEFT(R80,2))))+1))</f>
        <v/>
      </c>
      <c r="U80" s="20">
        <f>IF(S80="","",IF(OR((--TRIM(LEFT(N80,2)))&gt;=SThr,S80&gt;=RPNThr,T80="H"),"Yes","No"))</f>
        <v/>
      </c>
      <c r="V80" s="4" t="n"/>
      <c r="W80" s="4" t="n"/>
      <c r="X80" s="4" t="n"/>
      <c r="Y80" s="29" t="n"/>
      <c r="Z80" s="16" t="n"/>
      <c r="AA80" s="16" t="n"/>
      <c r="AB80" s="16" t="n"/>
      <c r="AC80" s="20">
        <f>IF(OR(Z80="",AA80="",AB80=""),"",(--TRIM(LEFT(Z80,2)))*(--TRIM(LEFT(AA80,2)))*(--TRIM(LEFT(AB80,2))))</f>
        <v/>
      </c>
      <c r="AD80" s="20">
        <f>IF(OR(Z80="",AA80="",AB80=""),"",INDEX(APGrid,COUNTIF(APS,"&gt;"&amp;(--TRIM(LEFT(Z80,2))))*5+COUNTIF(APO,"&gt;"&amp;(--TRIM(LEFT(AA80,2))))+1,COUNTIF(APD,"&gt;"&amp;(--TRIM(LEFT(AB80,2))))+1))</f>
        <v/>
      </c>
      <c r="AE80" s="4" t="n"/>
      <c r="AF80" s="4" t="n"/>
      <c r="AH80">
        <f>IFERROR(INDEX(EqTag,_xlfn.AGGREGATE(15,6,(ROW(EqTag)-4)/((EqSys=$D$3)*(EqTag&lt;&gt;"")),ROWS($AH$14:AH80))),"")</f>
        <v/>
      </c>
    </row>
    <row r="81">
      <c r="A81" s="20">
        <f>IF(F81="","",LEFT($D$3,3)&amp;"-"&amp;TEXT(COUNTIF(F$14:F81,"?*"),"00"))</f>
        <v/>
      </c>
      <c r="B81" s="4" t="n"/>
      <c r="C81" s="5">
        <f>IF(B81="","",IFERROR(INDEX(EqTypeCol,MATCH(B81,EqTag,0)),"Tag not in register"))</f>
        <v/>
      </c>
      <c r="D81" s="4" t="n"/>
      <c r="E81" s="4" t="n"/>
      <c r="F81" s="4" t="n"/>
      <c r="G81" s="4" t="n"/>
      <c r="H81" s="4" t="n"/>
      <c r="I81" s="4" t="n"/>
      <c r="J81" s="5">
        <f>_xlfn.TEXTJOIN(CHAR(10),TRUE,IF(G81="","","• "&amp;G81),IF(H81="","","• "&amp;H81),IF(I81="","","• "&amp;I81))</f>
        <v/>
      </c>
      <c r="K81" s="4" t="n"/>
      <c r="L81" s="4" t="n"/>
      <c r="M81" s="4" t="n"/>
      <c r="N81" s="16" t="n"/>
      <c r="O81" s="4" t="n"/>
      <c r="P81" s="16" t="n"/>
      <c r="Q81" s="4" t="n"/>
      <c r="R81" s="16" t="n"/>
      <c r="S81" s="20">
        <f>IF(OR(N81="",P81="",R81=""),"",(--TRIM(LEFT(N81,2)))*(--TRIM(LEFT(P81,2)))*(--TRIM(LEFT(R81,2))))</f>
        <v/>
      </c>
      <c r="T81" s="20">
        <f>IF(OR(N81="",P81="",R81=""),"",INDEX(APGrid,COUNTIF(APS,"&gt;"&amp;(--TRIM(LEFT(N81,2))))*5+COUNTIF(APO,"&gt;"&amp;(--TRIM(LEFT(P81,2))))+1,COUNTIF(APD,"&gt;"&amp;(--TRIM(LEFT(R81,2))))+1))</f>
        <v/>
      </c>
      <c r="U81" s="20">
        <f>IF(S81="","",IF(OR((--TRIM(LEFT(N81,2)))&gt;=SThr,S81&gt;=RPNThr,T81="H"),"Yes","No"))</f>
        <v/>
      </c>
      <c r="V81" s="4" t="n"/>
      <c r="W81" s="4" t="n"/>
      <c r="X81" s="4" t="n"/>
      <c r="Y81" s="29" t="n"/>
      <c r="Z81" s="16" t="n"/>
      <c r="AA81" s="16" t="n"/>
      <c r="AB81" s="16" t="n"/>
      <c r="AC81" s="20">
        <f>IF(OR(Z81="",AA81="",AB81=""),"",(--TRIM(LEFT(Z81,2)))*(--TRIM(LEFT(AA81,2)))*(--TRIM(LEFT(AB81,2))))</f>
        <v/>
      </c>
      <c r="AD81" s="20">
        <f>IF(OR(Z81="",AA81="",AB81=""),"",INDEX(APGrid,COUNTIF(APS,"&gt;"&amp;(--TRIM(LEFT(Z81,2))))*5+COUNTIF(APO,"&gt;"&amp;(--TRIM(LEFT(AA81,2))))+1,COUNTIF(APD,"&gt;"&amp;(--TRIM(LEFT(AB81,2))))+1))</f>
        <v/>
      </c>
      <c r="AE81" s="4" t="n"/>
      <c r="AF81" s="4" t="n"/>
      <c r="AH81">
        <f>IFERROR(INDEX(EqTag,_xlfn.AGGREGATE(15,6,(ROW(EqTag)-4)/((EqSys=$D$3)*(EqTag&lt;&gt;"")),ROWS($AH$14:AH81))),"")</f>
        <v/>
      </c>
    </row>
    <row r="82">
      <c r="A82" s="20">
        <f>IF(F82="","",LEFT($D$3,3)&amp;"-"&amp;TEXT(COUNTIF(F$14:F82,"?*"),"00"))</f>
        <v/>
      </c>
      <c r="B82" s="4" t="n"/>
      <c r="C82" s="5">
        <f>IF(B82="","",IFERROR(INDEX(EqTypeCol,MATCH(B82,EqTag,0)),"Tag not in register"))</f>
        <v/>
      </c>
      <c r="D82" s="4" t="n"/>
      <c r="E82" s="4" t="n"/>
      <c r="F82" s="4" t="n"/>
      <c r="G82" s="4" t="n"/>
      <c r="H82" s="4" t="n"/>
      <c r="I82" s="4" t="n"/>
      <c r="J82" s="5">
        <f>_xlfn.TEXTJOIN(CHAR(10),TRUE,IF(G82="","","• "&amp;G82),IF(H82="","","• "&amp;H82),IF(I82="","","• "&amp;I82))</f>
        <v/>
      </c>
      <c r="K82" s="4" t="n"/>
      <c r="L82" s="4" t="n"/>
      <c r="M82" s="4" t="n"/>
      <c r="N82" s="16" t="n"/>
      <c r="O82" s="4" t="n"/>
      <c r="P82" s="16" t="n"/>
      <c r="Q82" s="4" t="n"/>
      <c r="R82" s="16" t="n"/>
      <c r="S82" s="20">
        <f>IF(OR(N82="",P82="",R82=""),"",(--TRIM(LEFT(N82,2)))*(--TRIM(LEFT(P82,2)))*(--TRIM(LEFT(R82,2))))</f>
        <v/>
      </c>
      <c r="T82" s="20">
        <f>IF(OR(N82="",P82="",R82=""),"",INDEX(APGrid,COUNTIF(APS,"&gt;"&amp;(--TRIM(LEFT(N82,2))))*5+COUNTIF(APO,"&gt;"&amp;(--TRIM(LEFT(P82,2))))+1,COUNTIF(APD,"&gt;"&amp;(--TRIM(LEFT(R82,2))))+1))</f>
        <v/>
      </c>
      <c r="U82" s="20">
        <f>IF(S82="","",IF(OR((--TRIM(LEFT(N82,2)))&gt;=SThr,S82&gt;=RPNThr,T82="H"),"Yes","No"))</f>
        <v/>
      </c>
      <c r="V82" s="4" t="n"/>
      <c r="W82" s="4" t="n"/>
      <c r="X82" s="4" t="n"/>
      <c r="Y82" s="29" t="n"/>
      <c r="Z82" s="16" t="n"/>
      <c r="AA82" s="16" t="n"/>
      <c r="AB82" s="16" t="n"/>
      <c r="AC82" s="20">
        <f>IF(OR(Z82="",AA82="",AB82=""),"",(--TRIM(LEFT(Z82,2)))*(--TRIM(LEFT(AA82,2)))*(--TRIM(LEFT(AB82,2))))</f>
        <v/>
      </c>
      <c r="AD82" s="20">
        <f>IF(OR(Z82="",AA82="",AB82=""),"",INDEX(APGrid,COUNTIF(APS,"&gt;"&amp;(--TRIM(LEFT(Z82,2))))*5+COUNTIF(APO,"&gt;"&amp;(--TRIM(LEFT(AA82,2))))+1,COUNTIF(APD,"&gt;"&amp;(--TRIM(LEFT(AB82,2))))+1))</f>
        <v/>
      </c>
      <c r="AE82" s="4" t="n"/>
      <c r="AF82" s="4" t="n"/>
      <c r="AH82">
        <f>IFERROR(INDEX(EqTag,_xlfn.AGGREGATE(15,6,(ROW(EqTag)-4)/((EqSys=$D$3)*(EqTag&lt;&gt;"")),ROWS($AH$14:AH82))),"")</f>
        <v/>
      </c>
    </row>
    <row r="83">
      <c r="A83" s="20">
        <f>IF(F83="","",LEFT($D$3,3)&amp;"-"&amp;TEXT(COUNTIF(F$14:F83,"?*"),"00"))</f>
        <v/>
      </c>
      <c r="B83" s="4" t="n"/>
      <c r="C83" s="5">
        <f>IF(B83="","",IFERROR(INDEX(EqTypeCol,MATCH(B83,EqTag,0)),"Tag not in register"))</f>
        <v/>
      </c>
      <c r="D83" s="4" t="n"/>
      <c r="E83" s="4" t="n"/>
      <c r="F83" s="4" t="n"/>
      <c r="G83" s="4" t="n"/>
      <c r="H83" s="4" t="n"/>
      <c r="I83" s="4" t="n"/>
      <c r="J83" s="5">
        <f>_xlfn.TEXTJOIN(CHAR(10),TRUE,IF(G83="","","• "&amp;G83),IF(H83="","","• "&amp;H83),IF(I83="","","• "&amp;I83))</f>
        <v/>
      </c>
      <c r="K83" s="4" t="n"/>
      <c r="L83" s="4" t="n"/>
      <c r="M83" s="4" t="n"/>
      <c r="N83" s="16" t="n"/>
      <c r="O83" s="4" t="n"/>
      <c r="P83" s="16" t="n"/>
      <c r="Q83" s="4" t="n"/>
      <c r="R83" s="16" t="n"/>
      <c r="S83" s="20">
        <f>IF(OR(N83="",P83="",R83=""),"",(--TRIM(LEFT(N83,2)))*(--TRIM(LEFT(P83,2)))*(--TRIM(LEFT(R83,2))))</f>
        <v/>
      </c>
      <c r="T83" s="20">
        <f>IF(OR(N83="",P83="",R83=""),"",INDEX(APGrid,COUNTIF(APS,"&gt;"&amp;(--TRIM(LEFT(N83,2))))*5+COUNTIF(APO,"&gt;"&amp;(--TRIM(LEFT(P83,2))))+1,COUNTIF(APD,"&gt;"&amp;(--TRIM(LEFT(R83,2))))+1))</f>
        <v/>
      </c>
      <c r="U83" s="20">
        <f>IF(S83="","",IF(OR((--TRIM(LEFT(N83,2)))&gt;=SThr,S83&gt;=RPNThr,T83="H"),"Yes","No"))</f>
        <v/>
      </c>
      <c r="V83" s="4" t="n"/>
      <c r="W83" s="4" t="n"/>
      <c r="X83" s="4" t="n"/>
      <c r="Y83" s="29" t="n"/>
      <c r="Z83" s="16" t="n"/>
      <c r="AA83" s="16" t="n"/>
      <c r="AB83" s="16" t="n"/>
      <c r="AC83" s="20">
        <f>IF(OR(Z83="",AA83="",AB83=""),"",(--TRIM(LEFT(Z83,2)))*(--TRIM(LEFT(AA83,2)))*(--TRIM(LEFT(AB83,2))))</f>
        <v/>
      </c>
      <c r="AD83" s="20">
        <f>IF(OR(Z83="",AA83="",AB83=""),"",INDEX(APGrid,COUNTIF(APS,"&gt;"&amp;(--TRIM(LEFT(Z83,2))))*5+COUNTIF(APO,"&gt;"&amp;(--TRIM(LEFT(AA83,2))))+1,COUNTIF(APD,"&gt;"&amp;(--TRIM(LEFT(AB83,2))))+1))</f>
        <v/>
      </c>
      <c r="AE83" s="4" t="n"/>
      <c r="AF83" s="4" t="n"/>
      <c r="AH83">
        <f>IFERROR(INDEX(EqTag,_xlfn.AGGREGATE(15,6,(ROW(EqTag)-4)/((EqSys=$D$3)*(EqTag&lt;&gt;"")),ROWS($AH$14:AH83))),"")</f>
        <v/>
      </c>
    </row>
    <row r="84">
      <c r="A84" s="20">
        <f>IF(F84="","",LEFT($D$3,3)&amp;"-"&amp;TEXT(COUNTIF(F$14:F84,"?*"),"00"))</f>
        <v/>
      </c>
      <c r="B84" s="4" t="n"/>
      <c r="C84" s="5">
        <f>IF(B84="","",IFERROR(INDEX(EqTypeCol,MATCH(B84,EqTag,0)),"Tag not in register"))</f>
        <v/>
      </c>
      <c r="D84" s="4" t="n"/>
      <c r="E84" s="4" t="n"/>
      <c r="F84" s="4" t="n"/>
      <c r="G84" s="4" t="n"/>
      <c r="H84" s="4" t="n"/>
      <c r="I84" s="4" t="n"/>
      <c r="J84" s="5">
        <f>_xlfn.TEXTJOIN(CHAR(10),TRUE,IF(G84="","","• "&amp;G84),IF(H84="","","• "&amp;H84),IF(I84="","","• "&amp;I84))</f>
        <v/>
      </c>
      <c r="K84" s="4" t="n"/>
      <c r="L84" s="4" t="n"/>
      <c r="M84" s="4" t="n"/>
      <c r="N84" s="16" t="n"/>
      <c r="O84" s="4" t="n"/>
      <c r="P84" s="16" t="n"/>
      <c r="Q84" s="4" t="n"/>
      <c r="R84" s="16" t="n"/>
      <c r="S84" s="20">
        <f>IF(OR(N84="",P84="",R84=""),"",(--TRIM(LEFT(N84,2)))*(--TRIM(LEFT(P84,2)))*(--TRIM(LEFT(R84,2))))</f>
        <v/>
      </c>
      <c r="T84" s="20">
        <f>IF(OR(N84="",P84="",R84=""),"",INDEX(APGrid,COUNTIF(APS,"&gt;"&amp;(--TRIM(LEFT(N84,2))))*5+COUNTIF(APO,"&gt;"&amp;(--TRIM(LEFT(P84,2))))+1,COUNTIF(APD,"&gt;"&amp;(--TRIM(LEFT(R84,2))))+1))</f>
        <v/>
      </c>
      <c r="U84" s="20">
        <f>IF(S84="","",IF(OR((--TRIM(LEFT(N84,2)))&gt;=SThr,S84&gt;=RPNThr,T84="H"),"Yes","No"))</f>
        <v/>
      </c>
      <c r="V84" s="4" t="n"/>
      <c r="W84" s="4" t="n"/>
      <c r="X84" s="4" t="n"/>
      <c r="Y84" s="29" t="n"/>
      <c r="Z84" s="16" t="n"/>
      <c r="AA84" s="16" t="n"/>
      <c r="AB84" s="16" t="n"/>
      <c r="AC84" s="20">
        <f>IF(OR(Z84="",AA84="",AB84=""),"",(--TRIM(LEFT(Z84,2)))*(--TRIM(LEFT(AA84,2)))*(--TRIM(LEFT(AB84,2))))</f>
        <v/>
      </c>
      <c r="AD84" s="20">
        <f>IF(OR(Z84="",AA84="",AB84=""),"",INDEX(APGrid,COUNTIF(APS,"&gt;"&amp;(--TRIM(LEFT(Z84,2))))*5+COUNTIF(APO,"&gt;"&amp;(--TRIM(LEFT(AA84,2))))+1,COUNTIF(APD,"&gt;"&amp;(--TRIM(LEFT(AB84,2))))+1))</f>
        <v/>
      </c>
      <c r="AE84" s="4" t="n"/>
      <c r="AF84" s="4" t="n"/>
      <c r="AH84">
        <f>IFERROR(INDEX(EqTag,_xlfn.AGGREGATE(15,6,(ROW(EqTag)-4)/((EqSys=$D$3)*(EqTag&lt;&gt;"")),ROWS($AH$14:AH84))),"")</f>
        <v/>
      </c>
    </row>
    <row r="85">
      <c r="A85" s="20">
        <f>IF(F85="","",LEFT($D$3,3)&amp;"-"&amp;TEXT(COUNTIF(F$14:F85,"?*"),"00"))</f>
        <v/>
      </c>
      <c r="B85" s="4" t="n"/>
      <c r="C85" s="5">
        <f>IF(B85="","",IFERROR(INDEX(EqTypeCol,MATCH(B85,EqTag,0)),"Tag not in register"))</f>
        <v/>
      </c>
      <c r="D85" s="4" t="n"/>
      <c r="E85" s="4" t="n"/>
      <c r="F85" s="4" t="n"/>
      <c r="G85" s="4" t="n"/>
      <c r="H85" s="4" t="n"/>
      <c r="I85" s="4" t="n"/>
      <c r="J85" s="5">
        <f>_xlfn.TEXTJOIN(CHAR(10),TRUE,IF(G85="","","• "&amp;G85),IF(H85="","","• "&amp;H85),IF(I85="","","• "&amp;I85))</f>
        <v/>
      </c>
      <c r="K85" s="4" t="n"/>
      <c r="L85" s="4" t="n"/>
      <c r="M85" s="4" t="n"/>
      <c r="N85" s="16" t="n"/>
      <c r="O85" s="4" t="n"/>
      <c r="P85" s="16" t="n"/>
      <c r="Q85" s="4" t="n"/>
      <c r="R85" s="16" t="n"/>
      <c r="S85" s="20">
        <f>IF(OR(N85="",P85="",R85=""),"",(--TRIM(LEFT(N85,2)))*(--TRIM(LEFT(P85,2)))*(--TRIM(LEFT(R85,2))))</f>
        <v/>
      </c>
      <c r="T85" s="20">
        <f>IF(OR(N85="",P85="",R85=""),"",INDEX(APGrid,COUNTIF(APS,"&gt;"&amp;(--TRIM(LEFT(N85,2))))*5+COUNTIF(APO,"&gt;"&amp;(--TRIM(LEFT(P85,2))))+1,COUNTIF(APD,"&gt;"&amp;(--TRIM(LEFT(R85,2))))+1))</f>
        <v/>
      </c>
      <c r="U85" s="20">
        <f>IF(S85="","",IF(OR((--TRIM(LEFT(N85,2)))&gt;=SThr,S85&gt;=RPNThr,T85="H"),"Yes","No"))</f>
        <v/>
      </c>
      <c r="V85" s="4" t="n"/>
      <c r="W85" s="4" t="n"/>
      <c r="X85" s="4" t="n"/>
      <c r="Y85" s="29" t="n"/>
      <c r="Z85" s="16" t="n"/>
      <c r="AA85" s="16" t="n"/>
      <c r="AB85" s="16" t="n"/>
      <c r="AC85" s="20">
        <f>IF(OR(Z85="",AA85="",AB85=""),"",(--TRIM(LEFT(Z85,2)))*(--TRIM(LEFT(AA85,2)))*(--TRIM(LEFT(AB85,2))))</f>
        <v/>
      </c>
      <c r="AD85" s="20">
        <f>IF(OR(Z85="",AA85="",AB85=""),"",INDEX(APGrid,COUNTIF(APS,"&gt;"&amp;(--TRIM(LEFT(Z85,2))))*5+COUNTIF(APO,"&gt;"&amp;(--TRIM(LEFT(AA85,2))))+1,COUNTIF(APD,"&gt;"&amp;(--TRIM(LEFT(AB85,2))))+1))</f>
        <v/>
      </c>
      <c r="AE85" s="4" t="n"/>
      <c r="AF85" s="4" t="n"/>
      <c r="AH85">
        <f>IFERROR(INDEX(EqTag,_xlfn.AGGREGATE(15,6,(ROW(EqTag)-4)/((EqSys=$D$3)*(EqTag&lt;&gt;"")),ROWS($AH$14:AH85))),"")</f>
        <v/>
      </c>
    </row>
    <row r="86">
      <c r="A86" s="20">
        <f>IF(F86="","",LEFT($D$3,3)&amp;"-"&amp;TEXT(COUNTIF(F$14:F86,"?*"),"00"))</f>
        <v/>
      </c>
      <c r="B86" s="4" t="n"/>
      <c r="C86" s="5">
        <f>IF(B86="","",IFERROR(INDEX(EqTypeCol,MATCH(B86,EqTag,0)),"Tag not in register"))</f>
        <v/>
      </c>
      <c r="D86" s="4" t="n"/>
      <c r="E86" s="4" t="n"/>
      <c r="F86" s="4" t="n"/>
      <c r="G86" s="4" t="n"/>
      <c r="H86" s="4" t="n"/>
      <c r="I86" s="4" t="n"/>
      <c r="J86" s="5">
        <f>_xlfn.TEXTJOIN(CHAR(10),TRUE,IF(G86="","","• "&amp;G86),IF(H86="","","• "&amp;H86),IF(I86="","","• "&amp;I86))</f>
        <v/>
      </c>
      <c r="K86" s="4" t="n"/>
      <c r="L86" s="4" t="n"/>
      <c r="M86" s="4" t="n"/>
      <c r="N86" s="16" t="n"/>
      <c r="O86" s="4" t="n"/>
      <c r="P86" s="16" t="n"/>
      <c r="Q86" s="4" t="n"/>
      <c r="R86" s="16" t="n"/>
      <c r="S86" s="20">
        <f>IF(OR(N86="",P86="",R86=""),"",(--TRIM(LEFT(N86,2)))*(--TRIM(LEFT(P86,2)))*(--TRIM(LEFT(R86,2))))</f>
        <v/>
      </c>
      <c r="T86" s="20">
        <f>IF(OR(N86="",P86="",R86=""),"",INDEX(APGrid,COUNTIF(APS,"&gt;"&amp;(--TRIM(LEFT(N86,2))))*5+COUNTIF(APO,"&gt;"&amp;(--TRIM(LEFT(P86,2))))+1,COUNTIF(APD,"&gt;"&amp;(--TRIM(LEFT(R86,2))))+1))</f>
        <v/>
      </c>
      <c r="U86" s="20">
        <f>IF(S86="","",IF(OR((--TRIM(LEFT(N86,2)))&gt;=SThr,S86&gt;=RPNThr,T86="H"),"Yes","No"))</f>
        <v/>
      </c>
      <c r="V86" s="4" t="n"/>
      <c r="W86" s="4" t="n"/>
      <c r="X86" s="4" t="n"/>
      <c r="Y86" s="29" t="n"/>
      <c r="Z86" s="16" t="n"/>
      <c r="AA86" s="16" t="n"/>
      <c r="AB86" s="16" t="n"/>
      <c r="AC86" s="20">
        <f>IF(OR(Z86="",AA86="",AB86=""),"",(--TRIM(LEFT(Z86,2)))*(--TRIM(LEFT(AA86,2)))*(--TRIM(LEFT(AB86,2))))</f>
        <v/>
      </c>
      <c r="AD86" s="20">
        <f>IF(OR(Z86="",AA86="",AB86=""),"",INDEX(APGrid,COUNTIF(APS,"&gt;"&amp;(--TRIM(LEFT(Z86,2))))*5+COUNTIF(APO,"&gt;"&amp;(--TRIM(LEFT(AA86,2))))+1,COUNTIF(APD,"&gt;"&amp;(--TRIM(LEFT(AB86,2))))+1))</f>
        <v/>
      </c>
      <c r="AE86" s="4" t="n"/>
      <c r="AF86" s="4" t="n"/>
      <c r="AH86">
        <f>IFERROR(INDEX(EqTag,_xlfn.AGGREGATE(15,6,(ROW(EqTag)-4)/((EqSys=$D$3)*(EqTag&lt;&gt;"")),ROWS($AH$14:AH86))),"")</f>
        <v/>
      </c>
    </row>
    <row r="87">
      <c r="A87" s="20">
        <f>IF(F87="","",LEFT($D$3,3)&amp;"-"&amp;TEXT(COUNTIF(F$14:F87,"?*"),"00"))</f>
        <v/>
      </c>
      <c r="B87" s="4" t="n"/>
      <c r="C87" s="5">
        <f>IF(B87="","",IFERROR(INDEX(EqTypeCol,MATCH(B87,EqTag,0)),"Tag not in register"))</f>
        <v/>
      </c>
      <c r="D87" s="4" t="n"/>
      <c r="E87" s="4" t="n"/>
      <c r="F87" s="4" t="n"/>
      <c r="G87" s="4" t="n"/>
      <c r="H87" s="4" t="n"/>
      <c r="I87" s="4" t="n"/>
      <c r="J87" s="5">
        <f>_xlfn.TEXTJOIN(CHAR(10),TRUE,IF(G87="","","• "&amp;G87),IF(H87="","","• "&amp;H87),IF(I87="","","• "&amp;I87))</f>
        <v/>
      </c>
      <c r="K87" s="4" t="n"/>
      <c r="L87" s="4" t="n"/>
      <c r="M87" s="4" t="n"/>
      <c r="N87" s="16" t="n"/>
      <c r="O87" s="4" t="n"/>
      <c r="P87" s="16" t="n"/>
      <c r="Q87" s="4" t="n"/>
      <c r="R87" s="16" t="n"/>
      <c r="S87" s="20">
        <f>IF(OR(N87="",P87="",R87=""),"",(--TRIM(LEFT(N87,2)))*(--TRIM(LEFT(P87,2)))*(--TRIM(LEFT(R87,2))))</f>
        <v/>
      </c>
      <c r="T87" s="20">
        <f>IF(OR(N87="",P87="",R87=""),"",INDEX(APGrid,COUNTIF(APS,"&gt;"&amp;(--TRIM(LEFT(N87,2))))*5+COUNTIF(APO,"&gt;"&amp;(--TRIM(LEFT(P87,2))))+1,COUNTIF(APD,"&gt;"&amp;(--TRIM(LEFT(R87,2))))+1))</f>
        <v/>
      </c>
      <c r="U87" s="20">
        <f>IF(S87="","",IF(OR((--TRIM(LEFT(N87,2)))&gt;=SThr,S87&gt;=RPNThr,T87="H"),"Yes","No"))</f>
        <v/>
      </c>
      <c r="V87" s="4" t="n"/>
      <c r="W87" s="4" t="n"/>
      <c r="X87" s="4" t="n"/>
      <c r="Y87" s="29" t="n"/>
      <c r="Z87" s="16" t="n"/>
      <c r="AA87" s="16" t="n"/>
      <c r="AB87" s="16" t="n"/>
      <c r="AC87" s="20">
        <f>IF(OR(Z87="",AA87="",AB87=""),"",(--TRIM(LEFT(Z87,2)))*(--TRIM(LEFT(AA87,2)))*(--TRIM(LEFT(AB87,2))))</f>
        <v/>
      </c>
      <c r="AD87" s="20">
        <f>IF(OR(Z87="",AA87="",AB87=""),"",INDEX(APGrid,COUNTIF(APS,"&gt;"&amp;(--TRIM(LEFT(Z87,2))))*5+COUNTIF(APO,"&gt;"&amp;(--TRIM(LEFT(AA87,2))))+1,COUNTIF(APD,"&gt;"&amp;(--TRIM(LEFT(AB87,2))))+1))</f>
        <v/>
      </c>
      <c r="AE87" s="4" t="n"/>
      <c r="AF87" s="4" t="n"/>
      <c r="AH87">
        <f>IFERROR(INDEX(EqTag,_xlfn.AGGREGATE(15,6,(ROW(EqTag)-4)/((EqSys=$D$3)*(EqTag&lt;&gt;"")),ROWS($AH$14:AH87))),"")</f>
        <v/>
      </c>
    </row>
    <row r="88">
      <c r="A88" s="20">
        <f>IF(F88="","",LEFT($D$3,3)&amp;"-"&amp;TEXT(COUNTIF(F$14:F88,"?*"),"00"))</f>
        <v/>
      </c>
      <c r="B88" s="4" t="n"/>
      <c r="C88" s="5">
        <f>IF(B88="","",IFERROR(INDEX(EqTypeCol,MATCH(B88,EqTag,0)),"Tag not in register"))</f>
        <v/>
      </c>
      <c r="D88" s="4" t="n"/>
      <c r="E88" s="4" t="n"/>
      <c r="F88" s="4" t="n"/>
      <c r="G88" s="4" t="n"/>
      <c r="H88" s="4" t="n"/>
      <c r="I88" s="4" t="n"/>
      <c r="J88" s="5">
        <f>_xlfn.TEXTJOIN(CHAR(10),TRUE,IF(G88="","","• "&amp;G88),IF(H88="","","• "&amp;H88),IF(I88="","","• "&amp;I88))</f>
        <v/>
      </c>
      <c r="K88" s="4" t="n"/>
      <c r="L88" s="4" t="n"/>
      <c r="M88" s="4" t="n"/>
      <c r="N88" s="16" t="n"/>
      <c r="O88" s="4" t="n"/>
      <c r="P88" s="16" t="n"/>
      <c r="Q88" s="4" t="n"/>
      <c r="R88" s="16" t="n"/>
      <c r="S88" s="20">
        <f>IF(OR(N88="",P88="",R88=""),"",(--TRIM(LEFT(N88,2)))*(--TRIM(LEFT(P88,2)))*(--TRIM(LEFT(R88,2))))</f>
        <v/>
      </c>
      <c r="T88" s="20">
        <f>IF(OR(N88="",P88="",R88=""),"",INDEX(APGrid,COUNTIF(APS,"&gt;"&amp;(--TRIM(LEFT(N88,2))))*5+COUNTIF(APO,"&gt;"&amp;(--TRIM(LEFT(P88,2))))+1,COUNTIF(APD,"&gt;"&amp;(--TRIM(LEFT(R88,2))))+1))</f>
        <v/>
      </c>
      <c r="U88" s="20">
        <f>IF(S88="","",IF(OR((--TRIM(LEFT(N88,2)))&gt;=SThr,S88&gt;=RPNThr,T88="H"),"Yes","No"))</f>
        <v/>
      </c>
      <c r="V88" s="4" t="n"/>
      <c r="W88" s="4" t="n"/>
      <c r="X88" s="4" t="n"/>
      <c r="Y88" s="29" t="n"/>
      <c r="Z88" s="16" t="n"/>
      <c r="AA88" s="16" t="n"/>
      <c r="AB88" s="16" t="n"/>
      <c r="AC88" s="20">
        <f>IF(OR(Z88="",AA88="",AB88=""),"",(--TRIM(LEFT(Z88,2)))*(--TRIM(LEFT(AA88,2)))*(--TRIM(LEFT(AB88,2))))</f>
        <v/>
      </c>
      <c r="AD88" s="20">
        <f>IF(OR(Z88="",AA88="",AB88=""),"",INDEX(APGrid,COUNTIF(APS,"&gt;"&amp;(--TRIM(LEFT(Z88,2))))*5+COUNTIF(APO,"&gt;"&amp;(--TRIM(LEFT(AA88,2))))+1,COUNTIF(APD,"&gt;"&amp;(--TRIM(LEFT(AB88,2))))+1))</f>
        <v/>
      </c>
      <c r="AE88" s="4" t="n"/>
      <c r="AF88" s="4" t="n"/>
      <c r="AH88">
        <f>IFERROR(INDEX(EqTag,_xlfn.AGGREGATE(15,6,(ROW(EqTag)-4)/((EqSys=$D$3)*(EqTag&lt;&gt;"")),ROWS($AH$14:AH88))),"")</f>
        <v/>
      </c>
    </row>
    <row r="89">
      <c r="A89" s="20">
        <f>IF(F89="","",LEFT($D$3,3)&amp;"-"&amp;TEXT(COUNTIF(F$14:F89,"?*"),"00"))</f>
        <v/>
      </c>
      <c r="B89" s="4" t="n"/>
      <c r="C89" s="5">
        <f>IF(B89="","",IFERROR(INDEX(EqTypeCol,MATCH(B89,EqTag,0)),"Tag not in register"))</f>
        <v/>
      </c>
      <c r="D89" s="4" t="n"/>
      <c r="E89" s="4" t="n"/>
      <c r="F89" s="4" t="n"/>
      <c r="G89" s="4" t="n"/>
      <c r="H89" s="4" t="n"/>
      <c r="I89" s="4" t="n"/>
      <c r="J89" s="5">
        <f>_xlfn.TEXTJOIN(CHAR(10),TRUE,IF(G89="","","• "&amp;G89),IF(H89="","","• "&amp;H89),IF(I89="","","• "&amp;I89))</f>
        <v/>
      </c>
      <c r="K89" s="4" t="n"/>
      <c r="L89" s="4" t="n"/>
      <c r="M89" s="4" t="n"/>
      <c r="N89" s="16" t="n"/>
      <c r="O89" s="4" t="n"/>
      <c r="P89" s="16" t="n"/>
      <c r="Q89" s="4" t="n"/>
      <c r="R89" s="16" t="n"/>
      <c r="S89" s="20">
        <f>IF(OR(N89="",P89="",R89=""),"",(--TRIM(LEFT(N89,2)))*(--TRIM(LEFT(P89,2)))*(--TRIM(LEFT(R89,2))))</f>
        <v/>
      </c>
      <c r="T89" s="20">
        <f>IF(OR(N89="",P89="",R89=""),"",INDEX(APGrid,COUNTIF(APS,"&gt;"&amp;(--TRIM(LEFT(N89,2))))*5+COUNTIF(APO,"&gt;"&amp;(--TRIM(LEFT(P89,2))))+1,COUNTIF(APD,"&gt;"&amp;(--TRIM(LEFT(R89,2))))+1))</f>
        <v/>
      </c>
      <c r="U89" s="20">
        <f>IF(S89="","",IF(OR((--TRIM(LEFT(N89,2)))&gt;=SThr,S89&gt;=RPNThr,T89="H"),"Yes","No"))</f>
        <v/>
      </c>
      <c r="V89" s="4" t="n"/>
      <c r="W89" s="4" t="n"/>
      <c r="X89" s="4" t="n"/>
      <c r="Y89" s="29" t="n"/>
      <c r="Z89" s="16" t="n"/>
      <c r="AA89" s="16" t="n"/>
      <c r="AB89" s="16" t="n"/>
      <c r="AC89" s="20">
        <f>IF(OR(Z89="",AA89="",AB89=""),"",(--TRIM(LEFT(Z89,2)))*(--TRIM(LEFT(AA89,2)))*(--TRIM(LEFT(AB89,2))))</f>
        <v/>
      </c>
      <c r="AD89" s="20">
        <f>IF(OR(Z89="",AA89="",AB89=""),"",INDEX(APGrid,COUNTIF(APS,"&gt;"&amp;(--TRIM(LEFT(Z89,2))))*5+COUNTIF(APO,"&gt;"&amp;(--TRIM(LEFT(AA89,2))))+1,COUNTIF(APD,"&gt;"&amp;(--TRIM(LEFT(AB89,2))))+1))</f>
        <v/>
      </c>
      <c r="AE89" s="4" t="n"/>
      <c r="AF89" s="4" t="n"/>
      <c r="AH89">
        <f>IFERROR(INDEX(EqTag,_xlfn.AGGREGATE(15,6,(ROW(EqTag)-4)/((EqSys=$D$3)*(EqTag&lt;&gt;"")),ROWS($AH$14:AH89))),"")</f>
        <v/>
      </c>
    </row>
    <row r="90">
      <c r="A90" s="20">
        <f>IF(F90="","",LEFT($D$3,3)&amp;"-"&amp;TEXT(COUNTIF(F$14:F90,"?*"),"00"))</f>
        <v/>
      </c>
      <c r="B90" s="4" t="n"/>
      <c r="C90" s="5">
        <f>IF(B90="","",IFERROR(INDEX(EqTypeCol,MATCH(B90,EqTag,0)),"Tag not in register"))</f>
        <v/>
      </c>
      <c r="D90" s="4" t="n"/>
      <c r="E90" s="4" t="n"/>
      <c r="F90" s="4" t="n"/>
      <c r="G90" s="4" t="n"/>
      <c r="H90" s="4" t="n"/>
      <c r="I90" s="4" t="n"/>
      <c r="J90" s="5">
        <f>_xlfn.TEXTJOIN(CHAR(10),TRUE,IF(G90="","","• "&amp;G90),IF(H90="","","• "&amp;H90),IF(I90="","","• "&amp;I90))</f>
        <v/>
      </c>
      <c r="K90" s="4" t="n"/>
      <c r="L90" s="4" t="n"/>
      <c r="M90" s="4" t="n"/>
      <c r="N90" s="16" t="n"/>
      <c r="O90" s="4" t="n"/>
      <c r="P90" s="16" t="n"/>
      <c r="Q90" s="4" t="n"/>
      <c r="R90" s="16" t="n"/>
      <c r="S90" s="20">
        <f>IF(OR(N90="",P90="",R90=""),"",(--TRIM(LEFT(N90,2)))*(--TRIM(LEFT(P90,2)))*(--TRIM(LEFT(R90,2))))</f>
        <v/>
      </c>
      <c r="T90" s="20">
        <f>IF(OR(N90="",P90="",R90=""),"",INDEX(APGrid,COUNTIF(APS,"&gt;"&amp;(--TRIM(LEFT(N90,2))))*5+COUNTIF(APO,"&gt;"&amp;(--TRIM(LEFT(P90,2))))+1,COUNTIF(APD,"&gt;"&amp;(--TRIM(LEFT(R90,2))))+1))</f>
        <v/>
      </c>
      <c r="U90" s="20">
        <f>IF(S90="","",IF(OR((--TRIM(LEFT(N90,2)))&gt;=SThr,S90&gt;=RPNThr,T90="H"),"Yes","No"))</f>
        <v/>
      </c>
      <c r="V90" s="4" t="n"/>
      <c r="W90" s="4" t="n"/>
      <c r="X90" s="4" t="n"/>
      <c r="Y90" s="29" t="n"/>
      <c r="Z90" s="16" t="n"/>
      <c r="AA90" s="16" t="n"/>
      <c r="AB90" s="16" t="n"/>
      <c r="AC90" s="20">
        <f>IF(OR(Z90="",AA90="",AB90=""),"",(--TRIM(LEFT(Z90,2)))*(--TRIM(LEFT(AA90,2)))*(--TRIM(LEFT(AB90,2))))</f>
        <v/>
      </c>
      <c r="AD90" s="20">
        <f>IF(OR(Z90="",AA90="",AB90=""),"",INDEX(APGrid,COUNTIF(APS,"&gt;"&amp;(--TRIM(LEFT(Z90,2))))*5+COUNTIF(APO,"&gt;"&amp;(--TRIM(LEFT(AA90,2))))+1,COUNTIF(APD,"&gt;"&amp;(--TRIM(LEFT(AB90,2))))+1))</f>
        <v/>
      </c>
      <c r="AE90" s="4" t="n"/>
      <c r="AF90" s="4" t="n"/>
      <c r="AH90">
        <f>IFERROR(INDEX(EqTag,_xlfn.AGGREGATE(15,6,(ROW(EqTag)-4)/((EqSys=$D$3)*(EqTag&lt;&gt;"")),ROWS($AH$14:AH90))),"")</f>
        <v/>
      </c>
    </row>
    <row r="91">
      <c r="A91" s="20">
        <f>IF(F91="","",LEFT($D$3,3)&amp;"-"&amp;TEXT(COUNTIF(F$14:F91,"?*"),"00"))</f>
        <v/>
      </c>
      <c r="B91" s="4" t="n"/>
      <c r="C91" s="5">
        <f>IF(B91="","",IFERROR(INDEX(EqTypeCol,MATCH(B91,EqTag,0)),"Tag not in register"))</f>
        <v/>
      </c>
      <c r="D91" s="4" t="n"/>
      <c r="E91" s="4" t="n"/>
      <c r="F91" s="4" t="n"/>
      <c r="G91" s="4" t="n"/>
      <c r="H91" s="4" t="n"/>
      <c r="I91" s="4" t="n"/>
      <c r="J91" s="5">
        <f>_xlfn.TEXTJOIN(CHAR(10),TRUE,IF(G91="","","• "&amp;G91),IF(H91="","","• "&amp;H91),IF(I91="","","• "&amp;I91))</f>
        <v/>
      </c>
      <c r="K91" s="4" t="n"/>
      <c r="L91" s="4" t="n"/>
      <c r="M91" s="4" t="n"/>
      <c r="N91" s="16" t="n"/>
      <c r="O91" s="4" t="n"/>
      <c r="P91" s="16" t="n"/>
      <c r="Q91" s="4" t="n"/>
      <c r="R91" s="16" t="n"/>
      <c r="S91" s="20">
        <f>IF(OR(N91="",P91="",R91=""),"",(--TRIM(LEFT(N91,2)))*(--TRIM(LEFT(P91,2)))*(--TRIM(LEFT(R91,2))))</f>
        <v/>
      </c>
      <c r="T91" s="20">
        <f>IF(OR(N91="",P91="",R91=""),"",INDEX(APGrid,COUNTIF(APS,"&gt;"&amp;(--TRIM(LEFT(N91,2))))*5+COUNTIF(APO,"&gt;"&amp;(--TRIM(LEFT(P91,2))))+1,COUNTIF(APD,"&gt;"&amp;(--TRIM(LEFT(R91,2))))+1))</f>
        <v/>
      </c>
      <c r="U91" s="20">
        <f>IF(S91="","",IF(OR((--TRIM(LEFT(N91,2)))&gt;=SThr,S91&gt;=RPNThr,T91="H"),"Yes","No"))</f>
        <v/>
      </c>
      <c r="V91" s="4" t="n"/>
      <c r="W91" s="4" t="n"/>
      <c r="X91" s="4" t="n"/>
      <c r="Y91" s="29" t="n"/>
      <c r="Z91" s="16" t="n"/>
      <c r="AA91" s="16" t="n"/>
      <c r="AB91" s="16" t="n"/>
      <c r="AC91" s="20">
        <f>IF(OR(Z91="",AA91="",AB91=""),"",(--TRIM(LEFT(Z91,2)))*(--TRIM(LEFT(AA91,2)))*(--TRIM(LEFT(AB91,2))))</f>
        <v/>
      </c>
      <c r="AD91" s="20">
        <f>IF(OR(Z91="",AA91="",AB91=""),"",INDEX(APGrid,COUNTIF(APS,"&gt;"&amp;(--TRIM(LEFT(Z91,2))))*5+COUNTIF(APO,"&gt;"&amp;(--TRIM(LEFT(AA91,2))))+1,COUNTIF(APD,"&gt;"&amp;(--TRIM(LEFT(AB91,2))))+1))</f>
        <v/>
      </c>
      <c r="AE91" s="4" t="n"/>
      <c r="AF91" s="4" t="n"/>
      <c r="AH91">
        <f>IFERROR(INDEX(EqTag,_xlfn.AGGREGATE(15,6,(ROW(EqTag)-4)/((EqSys=$D$3)*(EqTag&lt;&gt;"")),ROWS($AH$14:AH91))),"")</f>
        <v/>
      </c>
    </row>
    <row r="92">
      <c r="A92" s="20">
        <f>IF(F92="","",LEFT($D$3,3)&amp;"-"&amp;TEXT(COUNTIF(F$14:F92,"?*"),"00"))</f>
        <v/>
      </c>
      <c r="B92" s="4" t="n"/>
      <c r="C92" s="5">
        <f>IF(B92="","",IFERROR(INDEX(EqTypeCol,MATCH(B92,EqTag,0)),"Tag not in register"))</f>
        <v/>
      </c>
      <c r="D92" s="4" t="n"/>
      <c r="E92" s="4" t="n"/>
      <c r="F92" s="4" t="n"/>
      <c r="G92" s="4" t="n"/>
      <c r="H92" s="4" t="n"/>
      <c r="I92" s="4" t="n"/>
      <c r="J92" s="5">
        <f>_xlfn.TEXTJOIN(CHAR(10),TRUE,IF(G92="","","• "&amp;G92),IF(H92="","","• "&amp;H92),IF(I92="","","• "&amp;I92))</f>
        <v/>
      </c>
      <c r="K92" s="4" t="n"/>
      <c r="L92" s="4" t="n"/>
      <c r="M92" s="4" t="n"/>
      <c r="N92" s="16" t="n"/>
      <c r="O92" s="4" t="n"/>
      <c r="P92" s="16" t="n"/>
      <c r="Q92" s="4" t="n"/>
      <c r="R92" s="16" t="n"/>
      <c r="S92" s="20">
        <f>IF(OR(N92="",P92="",R92=""),"",(--TRIM(LEFT(N92,2)))*(--TRIM(LEFT(P92,2)))*(--TRIM(LEFT(R92,2))))</f>
        <v/>
      </c>
      <c r="T92" s="20">
        <f>IF(OR(N92="",P92="",R92=""),"",INDEX(APGrid,COUNTIF(APS,"&gt;"&amp;(--TRIM(LEFT(N92,2))))*5+COUNTIF(APO,"&gt;"&amp;(--TRIM(LEFT(P92,2))))+1,COUNTIF(APD,"&gt;"&amp;(--TRIM(LEFT(R92,2))))+1))</f>
        <v/>
      </c>
      <c r="U92" s="20">
        <f>IF(S92="","",IF(OR((--TRIM(LEFT(N92,2)))&gt;=SThr,S92&gt;=RPNThr,T92="H"),"Yes","No"))</f>
        <v/>
      </c>
      <c r="V92" s="4" t="n"/>
      <c r="W92" s="4" t="n"/>
      <c r="X92" s="4" t="n"/>
      <c r="Y92" s="29" t="n"/>
      <c r="Z92" s="16" t="n"/>
      <c r="AA92" s="16" t="n"/>
      <c r="AB92" s="16" t="n"/>
      <c r="AC92" s="20">
        <f>IF(OR(Z92="",AA92="",AB92=""),"",(--TRIM(LEFT(Z92,2)))*(--TRIM(LEFT(AA92,2)))*(--TRIM(LEFT(AB92,2))))</f>
        <v/>
      </c>
      <c r="AD92" s="20">
        <f>IF(OR(Z92="",AA92="",AB92=""),"",INDEX(APGrid,COUNTIF(APS,"&gt;"&amp;(--TRIM(LEFT(Z92,2))))*5+COUNTIF(APO,"&gt;"&amp;(--TRIM(LEFT(AA92,2))))+1,COUNTIF(APD,"&gt;"&amp;(--TRIM(LEFT(AB92,2))))+1))</f>
        <v/>
      </c>
      <c r="AE92" s="4" t="n"/>
      <c r="AF92" s="4" t="n"/>
      <c r="AH92">
        <f>IFERROR(INDEX(EqTag,_xlfn.AGGREGATE(15,6,(ROW(EqTag)-4)/((EqSys=$D$3)*(EqTag&lt;&gt;"")),ROWS($AH$14:AH92))),"")</f>
        <v/>
      </c>
    </row>
    <row r="93">
      <c r="A93" s="20">
        <f>IF(F93="","",LEFT($D$3,3)&amp;"-"&amp;TEXT(COUNTIF(F$14:F93,"?*"),"00"))</f>
        <v/>
      </c>
      <c r="B93" s="4" t="n"/>
      <c r="C93" s="5">
        <f>IF(B93="","",IFERROR(INDEX(EqTypeCol,MATCH(B93,EqTag,0)),"Tag not in register"))</f>
        <v/>
      </c>
      <c r="D93" s="4" t="n"/>
      <c r="E93" s="4" t="n"/>
      <c r="F93" s="4" t="n"/>
      <c r="G93" s="4" t="n"/>
      <c r="H93" s="4" t="n"/>
      <c r="I93" s="4" t="n"/>
      <c r="J93" s="5">
        <f>_xlfn.TEXTJOIN(CHAR(10),TRUE,IF(G93="","","• "&amp;G93),IF(H93="","","• "&amp;H93),IF(I93="","","• "&amp;I93))</f>
        <v/>
      </c>
      <c r="K93" s="4" t="n"/>
      <c r="L93" s="4" t="n"/>
      <c r="M93" s="4" t="n"/>
      <c r="N93" s="16" t="n"/>
      <c r="O93" s="4" t="n"/>
      <c r="P93" s="16" t="n"/>
      <c r="Q93" s="4" t="n"/>
      <c r="R93" s="16" t="n"/>
      <c r="S93" s="20">
        <f>IF(OR(N93="",P93="",R93=""),"",(--TRIM(LEFT(N93,2)))*(--TRIM(LEFT(P93,2)))*(--TRIM(LEFT(R93,2))))</f>
        <v/>
      </c>
      <c r="T93" s="20">
        <f>IF(OR(N93="",P93="",R93=""),"",INDEX(APGrid,COUNTIF(APS,"&gt;"&amp;(--TRIM(LEFT(N93,2))))*5+COUNTIF(APO,"&gt;"&amp;(--TRIM(LEFT(P93,2))))+1,COUNTIF(APD,"&gt;"&amp;(--TRIM(LEFT(R93,2))))+1))</f>
        <v/>
      </c>
      <c r="U93" s="20">
        <f>IF(S93="","",IF(OR((--TRIM(LEFT(N93,2)))&gt;=SThr,S93&gt;=RPNThr,T93="H"),"Yes","No"))</f>
        <v/>
      </c>
      <c r="V93" s="4" t="n"/>
      <c r="W93" s="4" t="n"/>
      <c r="X93" s="4" t="n"/>
      <c r="Y93" s="29" t="n"/>
      <c r="Z93" s="16" t="n"/>
      <c r="AA93" s="16" t="n"/>
      <c r="AB93" s="16" t="n"/>
      <c r="AC93" s="20">
        <f>IF(OR(Z93="",AA93="",AB93=""),"",(--TRIM(LEFT(Z93,2)))*(--TRIM(LEFT(AA93,2)))*(--TRIM(LEFT(AB93,2))))</f>
        <v/>
      </c>
      <c r="AD93" s="20">
        <f>IF(OR(Z93="",AA93="",AB93=""),"",INDEX(APGrid,COUNTIF(APS,"&gt;"&amp;(--TRIM(LEFT(Z93,2))))*5+COUNTIF(APO,"&gt;"&amp;(--TRIM(LEFT(AA93,2))))+1,COUNTIF(APD,"&gt;"&amp;(--TRIM(LEFT(AB93,2))))+1))</f>
        <v/>
      </c>
      <c r="AE93" s="4" t="n"/>
      <c r="AF93" s="4" t="n"/>
      <c r="AH93">
        <f>IFERROR(INDEX(EqTag,_xlfn.AGGREGATE(15,6,(ROW(EqTag)-4)/((EqSys=$D$3)*(EqTag&lt;&gt;"")),ROWS($AH$14:AH93))),"")</f>
        <v/>
      </c>
    </row>
    <row r="94">
      <c r="A94" s="20">
        <f>IF(F94="","",LEFT($D$3,3)&amp;"-"&amp;TEXT(COUNTIF(F$14:F94,"?*"),"00"))</f>
        <v/>
      </c>
      <c r="B94" s="4" t="n"/>
      <c r="C94" s="5">
        <f>IF(B94="","",IFERROR(INDEX(EqTypeCol,MATCH(B94,EqTag,0)),"Tag not in register"))</f>
        <v/>
      </c>
      <c r="D94" s="4" t="n"/>
      <c r="E94" s="4" t="n"/>
      <c r="F94" s="4" t="n"/>
      <c r="G94" s="4" t="n"/>
      <c r="H94" s="4" t="n"/>
      <c r="I94" s="4" t="n"/>
      <c r="J94" s="5">
        <f>_xlfn.TEXTJOIN(CHAR(10),TRUE,IF(G94="","","• "&amp;G94),IF(H94="","","• "&amp;H94),IF(I94="","","• "&amp;I94))</f>
        <v/>
      </c>
      <c r="K94" s="4" t="n"/>
      <c r="L94" s="4" t="n"/>
      <c r="M94" s="4" t="n"/>
      <c r="N94" s="16" t="n"/>
      <c r="O94" s="4" t="n"/>
      <c r="P94" s="16" t="n"/>
      <c r="Q94" s="4" t="n"/>
      <c r="R94" s="16" t="n"/>
      <c r="S94" s="20">
        <f>IF(OR(N94="",P94="",R94=""),"",(--TRIM(LEFT(N94,2)))*(--TRIM(LEFT(P94,2)))*(--TRIM(LEFT(R94,2))))</f>
        <v/>
      </c>
      <c r="T94" s="20">
        <f>IF(OR(N94="",P94="",R94=""),"",INDEX(APGrid,COUNTIF(APS,"&gt;"&amp;(--TRIM(LEFT(N94,2))))*5+COUNTIF(APO,"&gt;"&amp;(--TRIM(LEFT(P94,2))))+1,COUNTIF(APD,"&gt;"&amp;(--TRIM(LEFT(R94,2))))+1))</f>
        <v/>
      </c>
      <c r="U94" s="20">
        <f>IF(S94="","",IF(OR((--TRIM(LEFT(N94,2)))&gt;=SThr,S94&gt;=RPNThr,T94="H"),"Yes","No"))</f>
        <v/>
      </c>
      <c r="V94" s="4" t="n"/>
      <c r="W94" s="4" t="n"/>
      <c r="X94" s="4" t="n"/>
      <c r="Y94" s="29" t="n"/>
      <c r="Z94" s="16" t="n"/>
      <c r="AA94" s="16" t="n"/>
      <c r="AB94" s="16" t="n"/>
      <c r="AC94" s="20">
        <f>IF(OR(Z94="",AA94="",AB94=""),"",(--TRIM(LEFT(Z94,2)))*(--TRIM(LEFT(AA94,2)))*(--TRIM(LEFT(AB94,2))))</f>
        <v/>
      </c>
      <c r="AD94" s="20">
        <f>IF(OR(Z94="",AA94="",AB94=""),"",INDEX(APGrid,COUNTIF(APS,"&gt;"&amp;(--TRIM(LEFT(Z94,2))))*5+COUNTIF(APO,"&gt;"&amp;(--TRIM(LEFT(AA94,2))))+1,COUNTIF(APD,"&gt;"&amp;(--TRIM(LEFT(AB94,2))))+1))</f>
        <v/>
      </c>
      <c r="AE94" s="4" t="n"/>
      <c r="AF94" s="4" t="n"/>
      <c r="AH94">
        <f>IFERROR(INDEX(EqTag,_xlfn.AGGREGATE(15,6,(ROW(EqTag)-4)/((EqSys=$D$3)*(EqTag&lt;&gt;"")),ROWS($AH$14:AH94))),"")</f>
        <v/>
      </c>
    </row>
    <row r="95">
      <c r="A95" s="20">
        <f>IF(F95="","",LEFT($D$3,3)&amp;"-"&amp;TEXT(COUNTIF(F$14:F95,"?*"),"00"))</f>
        <v/>
      </c>
      <c r="B95" s="4" t="n"/>
      <c r="C95" s="5">
        <f>IF(B95="","",IFERROR(INDEX(EqTypeCol,MATCH(B95,EqTag,0)),"Tag not in register"))</f>
        <v/>
      </c>
      <c r="D95" s="4" t="n"/>
      <c r="E95" s="4" t="n"/>
      <c r="F95" s="4" t="n"/>
      <c r="G95" s="4" t="n"/>
      <c r="H95" s="4" t="n"/>
      <c r="I95" s="4" t="n"/>
      <c r="J95" s="5">
        <f>_xlfn.TEXTJOIN(CHAR(10),TRUE,IF(G95="","","• "&amp;G95),IF(H95="","","• "&amp;H95),IF(I95="","","• "&amp;I95))</f>
        <v/>
      </c>
      <c r="K95" s="4" t="n"/>
      <c r="L95" s="4" t="n"/>
      <c r="M95" s="4" t="n"/>
      <c r="N95" s="16" t="n"/>
      <c r="O95" s="4" t="n"/>
      <c r="P95" s="16" t="n"/>
      <c r="Q95" s="4" t="n"/>
      <c r="R95" s="16" t="n"/>
      <c r="S95" s="20">
        <f>IF(OR(N95="",P95="",R95=""),"",(--TRIM(LEFT(N95,2)))*(--TRIM(LEFT(P95,2)))*(--TRIM(LEFT(R95,2))))</f>
        <v/>
      </c>
      <c r="T95" s="20">
        <f>IF(OR(N95="",P95="",R95=""),"",INDEX(APGrid,COUNTIF(APS,"&gt;"&amp;(--TRIM(LEFT(N95,2))))*5+COUNTIF(APO,"&gt;"&amp;(--TRIM(LEFT(P95,2))))+1,COUNTIF(APD,"&gt;"&amp;(--TRIM(LEFT(R95,2))))+1))</f>
        <v/>
      </c>
      <c r="U95" s="20">
        <f>IF(S95="","",IF(OR((--TRIM(LEFT(N95,2)))&gt;=SThr,S95&gt;=RPNThr,T95="H"),"Yes","No"))</f>
        <v/>
      </c>
      <c r="V95" s="4" t="n"/>
      <c r="W95" s="4" t="n"/>
      <c r="X95" s="4" t="n"/>
      <c r="Y95" s="29" t="n"/>
      <c r="Z95" s="16" t="n"/>
      <c r="AA95" s="16" t="n"/>
      <c r="AB95" s="16" t="n"/>
      <c r="AC95" s="20">
        <f>IF(OR(Z95="",AA95="",AB95=""),"",(--TRIM(LEFT(Z95,2)))*(--TRIM(LEFT(AA95,2)))*(--TRIM(LEFT(AB95,2))))</f>
        <v/>
      </c>
      <c r="AD95" s="20">
        <f>IF(OR(Z95="",AA95="",AB95=""),"",INDEX(APGrid,COUNTIF(APS,"&gt;"&amp;(--TRIM(LEFT(Z95,2))))*5+COUNTIF(APO,"&gt;"&amp;(--TRIM(LEFT(AA95,2))))+1,COUNTIF(APD,"&gt;"&amp;(--TRIM(LEFT(AB95,2))))+1))</f>
        <v/>
      </c>
      <c r="AE95" s="4" t="n"/>
      <c r="AF95" s="4" t="n"/>
      <c r="AH95">
        <f>IFERROR(INDEX(EqTag,_xlfn.AGGREGATE(15,6,(ROW(EqTag)-4)/((EqSys=$D$3)*(EqTag&lt;&gt;"")),ROWS($AH$14:AH95))),"")</f>
        <v/>
      </c>
    </row>
    <row r="96">
      <c r="A96" s="20">
        <f>IF(F96="","",LEFT($D$3,3)&amp;"-"&amp;TEXT(COUNTIF(F$14:F96,"?*"),"00"))</f>
        <v/>
      </c>
      <c r="B96" s="4" t="n"/>
      <c r="C96" s="5">
        <f>IF(B96="","",IFERROR(INDEX(EqTypeCol,MATCH(B96,EqTag,0)),"Tag not in register"))</f>
        <v/>
      </c>
      <c r="D96" s="4" t="n"/>
      <c r="E96" s="4" t="n"/>
      <c r="F96" s="4" t="n"/>
      <c r="G96" s="4" t="n"/>
      <c r="H96" s="4" t="n"/>
      <c r="I96" s="4" t="n"/>
      <c r="J96" s="5">
        <f>_xlfn.TEXTJOIN(CHAR(10),TRUE,IF(G96="","","• "&amp;G96),IF(H96="","","• "&amp;H96),IF(I96="","","• "&amp;I96))</f>
        <v/>
      </c>
      <c r="K96" s="4" t="n"/>
      <c r="L96" s="4" t="n"/>
      <c r="M96" s="4" t="n"/>
      <c r="N96" s="16" t="n"/>
      <c r="O96" s="4" t="n"/>
      <c r="P96" s="16" t="n"/>
      <c r="Q96" s="4" t="n"/>
      <c r="R96" s="16" t="n"/>
      <c r="S96" s="20">
        <f>IF(OR(N96="",P96="",R96=""),"",(--TRIM(LEFT(N96,2)))*(--TRIM(LEFT(P96,2)))*(--TRIM(LEFT(R96,2))))</f>
        <v/>
      </c>
      <c r="T96" s="20">
        <f>IF(OR(N96="",P96="",R96=""),"",INDEX(APGrid,COUNTIF(APS,"&gt;"&amp;(--TRIM(LEFT(N96,2))))*5+COUNTIF(APO,"&gt;"&amp;(--TRIM(LEFT(P96,2))))+1,COUNTIF(APD,"&gt;"&amp;(--TRIM(LEFT(R96,2))))+1))</f>
        <v/>
      </c>
      <c r="U96" s="20">
        <f>IF(S96="","",IF(OR((--TRIM(LEFT(N96,2)))&gt;=SThr,S96&gt;=RPNThr,T96="H"),"Yes","No"))</f>
        <v/>
      </c>
      <c r="V96" s="4" t="n"/>
      <c r="W96" s="4" t="n"/>
      <c r="X96" s="4" t="n"/>
      <c r="Y96" s="29" t="n"/>
      <c r="Z96" s="16" t="n"/>
      <c r="AA96" s="16" t="n"/>
      <c r="AB96" s="16" t="n"/>
      <c r="AC96" s="20">
        <f>IF(OR(Z96="",AA96="",AB96=""),"",(--TRIM(LEFT(Z96,2)))*(--TRIM(LEFT(AA96,2)))*(--TRIM(LEFT(AB96,2))))</f>
        <v/>
      </c>
      <c r="AD96" s="20">
        <f>IF(OR(Z96="",AA96="",AB96=""),"",INDEX(APGrid,COUNTIF(APS,"&gt;"&amp;(--TRIM(LEFT(Z96,2))))*5+COUNTIF(APO,"&gt;"&amp;(--TRIM(LEFT(AA96,2))))+1,COUNTIF(APD,"&gt;"&amp;(--TRIM(LEFT(AB96,2))))+1))</f>
        <v/>
      </c>
      <c r="AE96" s="4" t="n"/>
      <c r="AF96" s="4" t="n"/>
      <c r="AH96">
        <f>IFERROR(INDEX(EqTag,_xlfn.AGGREGATE(15,6,(ROW(EqTag)-4)/((EqSys=$D$3)*(EqTag&lt;&gt;"")),ROWS($AH$14:AH96))),"")</f>
        <v/>
      </c>
    </row>
    <row r="97">
      <c r="A97" s="20">
        <f>IF(F97="","",LEFT($D$3,3)&amp;"-"&amp;TEXT(COUNTIF(F$14:F97,"?*"),"00"))</f>
        <v/>
      </c>
      <c r="B97" s="4" t="n"/>
      <c r="C97" s="5">
        <f>IF(B97="","",IFERROR(INDEX(EqTypeCol,MATCH(B97,EqTag,0)),"Tag not in register"))</f>
        <v/>
      </c>
      <c r="D97" s="4" t="n"/>
      <c r="E97" s="4" t="n"/>
      <c r="F97" s="4" t="n"/>
      <c r="G97" s="4" t="n"/>
      <c r="H97" s="4" t="n"/>
      <c r="I97" s="4" t="n"/>
      <c r="J97" s="5">
        <f>_xlfn.TEXTJOIN(CHAR(10),TRUE,IF(G97="","","• "&amp;G97),IF(H97="","","• "&amp;H97),IF(I97="","","• "&amp;I97))</f>
        <v/>
      </c>
      <c r="K97" s="4" t="n"/>
      <c r="L97" s="4" t="n"/>
      <c r="M97" s="4" t="n"/>
      <c r="N97" s="16" t="n"/>
      <c r="O97" s="4" t="n"/>
      <c r="P97" s="16" t="n"/>
      <c r="Q97" s="4" t="n"/>
      <c r="R97" s="16" t="n"/>
      <c r="S97" s="20">
        <f>IF(OR(N97="",P97="",R97=""),"",(--TRIM(LEFT(N97,2)))*(--TRIM(LEFT(P97,2)))*(--TRIM(LEFT(R97,2))))</f>
        <v/>
      </c>
      <c r="T97" s="20">
        <f>IF(OR(N97="",P97="",R97=""),"",INDEX(APGrid,COUNTIF(APS,"&gt;"&amp;(--TRIM(LEFT(N97,2))))*5+COUNTIF(APO,"&gt;"&amp;(--TRIM(LEFT(P97,2))))+1,COUNTIF(APD,"&gt;"&amp;(--TRIM(LEFT(R97,2))))+1))</f>
        <v/>
      </c>
      <c r="U97" s="20">
        <f>IF(S97="","",IF(OR((--TRIM(LEFT(N97,2)))&gt;=SThr,S97&gt;=RPNThr,T97="H"),"Yes","No"))</f>
        <v/>
      </c>
      <c r="V97" s="4" t="n"/>
      <c r="W97" s="4" t="n"/>
      <c r="X97" s="4" t="n"/>
      <c r="Y97" s="29" t="n"/>
      <c r="Z97" s="16" t="n"/>
      <c r="AA97" s="16" t="n"/>
      <c r="AB97" s="16" t="n"/>
      <c r="AC97" s="20">
        <f>IF(OR(Z97="",AA97="",AB97=""),"",(--TRIM(LEFT(Z97,2)))*(--TRIM(LEFT(AA97,2)))*(--TRIM(LEFT(AB97,2))))</f>
        <v/>
      </c>
      <c r="AD97" s="20">
        <f>IF(OR(Z97="",AA97="",AB97=""),"",INDEX(APGrid,COUNTIF(APS,"&gt;"&amp;(--TRIM(LEFT(Z97,2))))*5+COUNTIF(APO,"&gt;"&amp;(--TRIM(LEFT(AA97,2))))+1,COUNTIF(APD,"&gt;"&amp;(--TRIM(LEFT(AB97,2))))+1))</f>
        <v/>
      </c>
      <c r="AE97" s="4" t="n"/>
      <c r="AF97" s="4" t="n"/>
      <c r="AH97">
        <f>IFERROR(INDEX(EqTag,_xlfn.AGGREGATE(15,6,(ROW(EqTag)-4)/((EqSys=$D$3)*(EqTag&lt;&gt;"")),ROWS($AH$14:AH97))),"")</f>
        <v/>
      </c>
    </row>
    <row r="98">
      <c r="A98" s="20">
        <f>IF(F98="","",LEFT($D$3,3)&amp;"-"&amp;TEXT(COUNTIF(F$14:F98,"?*"),"00"))</f>
        <v/>
      </c>
      <c r="B98" s="4" t="n"/>
      <c r="C98" s="5">
        <f>IF(B98="","",IFERROR(INDEX(EqTypeCol,MATCH(B98,EqTag,0)),"Tag not in register"))</f>
        <v/>
      </c>
      <c r="D98" s="4" t="n"/>
      <c r="E98" s="4" t="n"/>
      <c r="F98" s="4" t="n"/>
      <c r="G98" s="4" t="n"/>
      <c r="H98" s="4" t="n"/>
      <c r="I98" s="4" t="n"/>
      <c r="J98" s="5">
        <f>_xlfn.TEXTJOIN(CHAR(10),TRUE,IF(G98="","","• "&amp;G98),IF(H98="","","• "&amp;H98),IF(I98="","","• "&amp;I98))</f>
        <v/>
      </c>
      <c r="K98" s="4" t="n"/>
      <c r="L98" s="4" t="n"/>
      <c r="M98" s="4" t="n"/>
      <c r="N98" s="16" t="n"/>
      <c r="O98" s="4" t="n"/>
      <c r="P98" s="16" t="n"/>
      <c r="Q98" s="4" t="n"/>
      <c r="R98" s="16" t="n"/>
      <c r="S98" s="20">
        <f>IF(OR(N98="",P98="",R98=""),"",(--TRIM(LEFT(N98,2)))*(--TRIM(LEFT(P98,2)))*(--TRIM(LEFT(R98,2))))</f>
        <v/>
      </c>
      <c r="T98" s="20">
        <f>IF(OR(N98="",P98="",R98=""),"",INDEX(APGrid,COUNTIF(APS,"&gt;"&amp;(--TRIM(LEFT(N98,2))))*5+COUNTIF(APO,"&gt;"&amp;(--TRIM(LEFT(P98,2))))+1,COUNTIF(APD,"&gt;"&amp;(--TRIM(LEFT(R98,2))))+1))</f>
        <v/>
      </c>
      <c r="U98" s="20">
        <f>IF(S98="","",IF(OR((--TRIM(LEFT(N98,2)))&gt;=SThr,S98&gt;=RPNThr,T98="H"),"Yes","No"))</f>
        <v/>
      </c>
      <c r="V98" s="4" t="n"/>
      <c r="W98" s="4" t="n"/>
      <c r="X98" s="4" t="n"/>
      <c r="Y98" s="29" t="n"/>
      <c r="Z98" s="16" t="n"/>
      <c r="AA98" s="16" t="n"/>
      <c r="AB98" s="16" t="n"/>
      <c r="AC98" s="20">
        <f>IF(OR(Z98="",AA98="",AB98=""),"",(--TRIM(LEFT(Z98,2)))*(--TRIM(LEFT(AA98,2)))*(--TRIM(LEFT(AB98,2))))</f>
        <v/>
      </c>
      <c r="AD98" s="20">
        <f>IF(OR(Z98="",AA98="",AB98=""),"",INDEX(APGrid,COUNTIF(APS,"&gt;"&amp;(--TRIM(LEFT(Z98,2))))*5+COUNTIF(APO,"&gt;"&amp;(--TRIM(LEFT(AA98,2))))+1,COUNTIF(APD,"&gt;"&amp;(--TRIM(LEFT(AB98,2))))+1))</f>
        <v/>
      </c>
      <c r="AE98" s="4" t="n"/>
      <c r="AF98" s="4" t="n"/>
      <c r="AH98">
        <f>IFERROR(INDEX(EqTag,_xlfn.AGGREGATE(15,6,(ROW(EqTag)-4)/((EqSys=$D$3)*(EqTag&lt;&gt;"")),ROWS($AH$14:AH98))),"")</f>
        <v/>
      </c>
    </row>
    <row r="99">
      <c r="A99" s="20">
        <f>IF(F99="","",LEFT($D$3,3)&amp;"-"&amp;TEXT(COUNTIF(F$14:F99,"?*"),"00"))</f>
        <v/>
      </c>
      <c r="B99" s="4" t="n"/>
      <c r="C99" s="5">
        <f>IF(B99="","",IFERROR(INDEX(EqTypeCol,MATCH(B99,EqTag,0)),"Tag not in register"))</f>
        <v/>
      </c>
      <c r="D99" s="4" t="n"/>
      <c r="E99" s="4" t="n"/>
      <c r="F99" s="4" t="n"/>
      <c r="G99" s="4" t="n"/>
      <c r="H99" s="4" t="n"/>
      <c r="I99" s="4" t="n"/>
      <c r="J99" s="5">
        <f>_xlfn.TEXTJOIN(CHAR(10),TRUE,IF(G99="","","• "&amp;G99),IF(H99="","","• "&amp;H99),IF(I99="","","• "&amp;I99))</f>
        <v/>
      </c>
      <c r="K99" s="4" t="n"/>
      <c r="L99" s="4" t="n"/>
      <c r="M99" s="4" t="n"/>
      <c r="N99" s="16" t="n"/>
      <c r="O99" s="4" t="n"/>
      <c r="P99" s="16" t="n"/>
      <c r="Q99" s="4" t="n"/>
      <c r="R99" s="16" t="n"/>
      <c r="S99" s="20">
        <f>IF(OR(N99="",P99="",R99=""),"",(--TRIM(LEFT(N99,2)))*(--TRIM(LEFT(P99,2)))*(--TRIM(LEFT(R99,2))))</f>
        <v/>
      </c>
      <c r="T99" s="20">
        <f>IF(OR(N99="",P99="",R99=""),"",INDEX(APGrid,COUNTIF(APS,"&gt;"&amp;(--TRIM(LEFT(N99,2))))*5+COUNTIF(APO,"&gt;"&amp;(--TRIM(LEFT(P99,2))))+1,COUNTIF(APD,"&gt;"&amp;(--TRIM(LEFT(R99,2))))+1))</f>
        <v/>
      </c>
      <c r="U99" s="20">
        <f>IF(S99="","",IF(OR((--TRIM(LEFT(N99,2)))&gt;=SThr,S99&gt;=RPNThr,T99="H"),"Yes","No"))</f>
        <v/>
      </c>
      <c r="V99" s="4" t="n"/>
      <c r="W99" s="4" t="n"/>
      <c r="X99" s="4" t="n"/>
      <c r="Y99" s="29" t="n"/>
      <c r="Z99" s="16" t="n"/>
      <c r="AA99" s="16" t="n"/>
      <c r="AB99" s="16" t="n"/>
      <c r="AC99" s="20">
        <f>IF(OR(Z99="",AA99="",AB99=""),"",(--TRIM(LEFT(Z99,2)))*(--TRIM(LEFT(AA99,2)))*(--TRIM(LEFT(AB99,2))))</f>
        <v/>
      </c>
      <c r="AD99" s="20">
        <f>IF(OR(Z99="",AA99="",AB99=""),"",INDEX(APGrid,COUNTIF(APS,"&gt;"&amp;(--TRIM(LEFT(Z99,2))))*5+COUNTIF(APO,"&gt;"&amp;(--TRIM(LEFT(AA99,2))))+1,COUNTIF(APD,"&gt;"&amp;(--TRIM(LEFT(AB99,2))))+1))</f>
        <v/>
      </c>
      <c r="AE99" s="4" t="n"/>
      <c r="AF99" s="4" t="n"/>
      <c r="AH99">
        <f>IFERROR(INDEX(EqTag,_xlfn.AGGREGATE(15,6,(ROW(EqTag)-4)/((EqSys=$D$3)*(EqTag&lt;&gt;"")),ROWS($AH$14:AH99))),"")</f>
        <v/>
      </c>
    </row>
    <row r="100">
      <c r="A100" s="20">
        <f>IF(F100="","",LEFT($D$3,3)&amp;"-"&amp;TEXT(COUNTIF(F$14:F100,"?*"),"00"))</f>
        <v/>
      </c>
      <c r="B100" s="4" t="n"/>
      <c r="C100" s="5">
        <f>IF(B100="","",IFERROR(INDEX(EqTypeCol,MATCH(B100,EqTag,0)),"Tag not in register"))</f>
        <v/>
      </c>
      <c r="D100" s="4" t="n"/>
      <c r="E100" s="4" t="n"/>
      <c r="F100" s="4" t="n"/>
      <c r="G100" s="4" t="n"/>
      <c r="H100" s="4" t="n"/>
      <c r="I100" s="4" t="n"/>
      <c r="J100" s="5">
        <f>_xlfn.TEXTJOIN(CHAR(10),TRUE,IF(G100="","","• "&amp;G100),IF(H100="","","• "&amp;H100),IF(I100="","","• "&amp;I100))</f>
        <v/>
      </c>
      <c r="K100" s="4" t="n"/>
      <c r="L100" s="4" t="n"/>
      <c r="M100" s="4" t="n"/>
      <c r="N100" s="16" t="n"/>
      <c r="O100" s="4" t="n"/>
      <c r="P100" s="16" t="n"/>
      <c r="Q100" s="4" t="n"/>
      <c r="R100" s="16" t="n"/>
      <c r="S100" s="20">
        <f>IF(OR(N100="",P100="",R100=""),"",(--TRIM(LEFT(N100,2)))*(--TRIM(LEFT(P100,2)))*(--TRIM(LEFT(R100,2))))</f>
        <v/>
      </c>
      <c r="T100" s="20">
        <f>IF(OR(N100="",P100="",R100=""),"",INDEX(APGrid,COUNTIF(APS,"&gt;"&amp;(--TRIM(LEFT(N100,2))))*5+COUNTIF(APO,"&gt;"&amp;(--TRIM(LEFT(P100,2))))+1,COUNTIF(APD,"&gt;"&amp;(--TRIM(LEFT(R100,2))))+1))</f>
        <v/>
      </c>
      <c r="U100" s="20">
        <f>IF(S100="","",IF(OR((--TRIM(LEFT(N100,2)))&gt;=SThr,S100&gt;=RPNThr,T100="H"),"Yes","No"))</f>
        <v/>
      </c>
      <c r="V100" s="4" t="n"/>
      <c r="W100" s="4" t="n"/>
      <c r="X100" s="4" t="n"/>
      <c r="Y100" s="29" t="n"/>
      <c r="Z100" s="16" t="n"/>
      <c r="AA100" s="16" t="n"/>
      <c r="AB100" s="16" t="n"/>
      <c r="AC100" s="20">
        <f>IF(OR(Z100="",AA100="",AB100=""),"",(--TRIM(LEFT(Z100,2)))*(--TRIM(LEFT(AA100,2)))*(--TRIM(LEFT(AB100,2))))</f>
        <v/>
      </c>
      <c r="AD100" s="20">
        <f>IF(OR(Z100="",AA100="",AB100=""),"",INDEX(APGrid,COUNTIF(APS,"&gt;"&amp;(--TRIM(LEFT(Z100,2))))*5+COUNTIF(APO,"&gt;"&amp;(--TRIM(LEFT(AA100,2))))+1,COUNTIF(APD,"&gt;"&amp;(--TRIM(LEFT(AB100,2))))+1))</f>
        <v/>
      </c>
      <c r="AE100" s="4" t="n"/>
      <c r="AF100" s="4" t="n"/>
      <c r="AH100">
        <f>IFERROR(INDEX(EqTag,_xlfn.AGGREGATE(15,6,(ROW(EqTag)-4)/((EqSys=$D$3)*(EqTag&lt;&gt;"")),ROWS($AH$14:AH100))),"")</f>
        <v/>
      </c>
    </row>
    <row r="101">
      <c r="A101" s="20">
        <f>IF(F101="","",LEFT($D$3,3)&amp;"-"&amp;TEXT(COUNTIF(F$14:F101,"?*"),"00"))</f>
        <v/>
      </c>
      <c r="B101" s="4" t="n"/>
      <c r="C101" s="5">
        <f>IF(B101="","",IFERROR(INDEX(EqTypeCol,MATCH(B101,EqTag,0)),"Tag not in register"))</f>
        <v/>
      </c>
      <c r="D101" s="4" t="n"/>
      <c r="E101" s="4" t="n"/>
      <c r="F101" s="4" t="n"/>
      <c r="G101" s="4" t="n"/>
      <c r="H101" s="4" t="n"/>
      <c r="I101" s="4" t="n"/>
      <c r="J101" s="5">
        <f>_xlfn.TEXTJOIN(CHAR(10),TRUE,IF(G101="","","• "&amp;G101),IF(H101="","","• "&amp;H101),IF(I101="","","• "&amp;I101))</f>
        <v/>
      </c>
      <c r="K101" s="4" t="n"/>
      <c r="L101" s="4" t="n"/>
      <c r="M101" s="4" t="n"/>
      <c r="N101" s="16" t="n"/>
      <c r="O101" s="4" t="n"/>
      <c r="P101" s="16" t="n"/>
      <c r="Q101" s="4" t="n"/>
      <c r="R101" s="16" t="n"/>
      <c r="S101" s="20">
        <f>IF(OR(N101="",P101="",R101=""),"",(--TRIM(LEFT(N101,2)))*(--TRIM(LEFT(P101,2)))*(--TRIM(LEFT(R101,2))))</f>
        <v/>
      </c>
      <c r="T101" s="20">
        <f>IF(OR(N101="",P101="",R101=""),"",INDEX(APGrid,COUNTIF(APS,"&gt;"&amp;(--TRIM(LEFT(N101,2))))*5+COUNTIF(APO,"&gt;"&amp;(--TRIM(LEFT(P101,2))))+1,COUNTIF(APD,"&gt;"&amp;(--TRIM(LEFT(R101,2))))+1))</f>
        <v/>
      </c>
      <c r="U101" s="20">
        <f>IF(S101="","",IF(OR((--TRIM(LEFT(N101,2)))&gt;=SThr,S101&gt;=RPNThr,T101="H"),"Yes","No"))</f>
        <v/>
      </c>
      <c r="V101" s="4" t="n"/>
      <c r="W101" s="4" t="n"/>
      <c r="X101" s="4" t="n"/>
      <c r="Y101" s="29" t="n"/>
      <c r="Z101" s="16" t="n"/>
      <c r="AA101" s="16" t="n"/>
      <c r="AB101" s="16" t="n"/>
      <c r="AC101" s="20">
        <f>IF(OR(Z101="",AA101="",AB101=""),"",(--TRIM(LEFT(Z101,2)))*(--TRIM(LEFT(AA101,2)))*(--TRIM(LEFT(AB101,2))))</f>
        <v/>
      </c>
      <c r="AD101" s="20">
        <f>IF(OR(Z101="",AA101="",AB101=""),"",INDEX(APGrid,COUNTIF(APS,"&gt;"&amp;(--TRIM(LEFT(Z101,2))))*5+COUNTIF(APO,"&gt;"&amp;(--TRIM(LEFT(AA101,2))))+1,COUNTIF(APD,"&gt;"&amp;(--TRIM(LEFT(AB101,2))))+1))</f>
        <v/>
      </c>
      <c r="AE101" s="4" t="n"/>
      <c r="AF101" s="4" t="n"/>
      <c r="AH101">
        <f>IFERROR(INDEX(EqTag,_xlfn.AGGREGATE(15,6,(ROW(EqTag)-4)/((EqSys=$D$3)*(EqTag&lt;&gt;"")),ROWS($AH$14:AH101))),"")</f>
        <v/>
      </c>
    </row>
    <row r="102">
      <c r="A102" s="20">
        <f>IF(F102="","",LEFT($D$3,3)&amp;"-"&amp;TEXT(COUNTIF(F$14:F102,"?*"),"00"))</f>
        <v/>
      </c>
      <c r="B102" s="4" t="n"/>
      <c r="C102" s="5">
        <f>IF(B102="","",IFERROR(INDEX(EqTypeCol,MATCH(B102,EqTag,0)),"Tag not in register"))</f>
        <v/>
      </c>
      <c r="D102" s="4" t="n"/>
      <c r="E102" s="4" t="n"/>
      <c r="F102" s="4" t="n"/>
      <c r="G102" s="4" t="n"/>
      <c r="H102" s="4" t="n"/>
      <c r="I102" s="4" t="n"/>
      <c r="J102" s="5">
        <f>_xlfn.TEXTJOIN(CHAR(10),TRUE,IF(G102="","","• "&amp;G102),IF(H102="","","• "&amp;H102),IF(I102="","","• "&amp;I102))</f>
        <v/>
      </c>
      <c r="K102" s="4" t="n"/>
      <c r="L102" s="4" t="n"/>
      <c r="M102" s="4" t="n"/>
      <c r="N102" s="16" t="n"/>
      <c r="O102" s="4" t="n"/>
      <c r="P102" s="16" t="n"/>
      <c r="Q102" s="4" t="n"/>
      <c r="R102" s="16" t="n"/>
      <c r="S102" s="20">
        <f>IF(OR(N102="",P102="",R102=""),"",(--TRIM(LEFT(N102,2)))*(--TRIM(LEFT(P102,2)))*(--TRIM(LEFT(R102,2))))</f>
        <v/>
      </c>
      <c r="T102" s="20">
        <f>IF(OR(N102="",P102="",R102=""),"",INDEX(APGrid,COUNTIF(APS,"&gt;"&amp;(--TRIM(LEFT(N102,2))))*5+COUNTIF(APO,"&gt;"&amp;(--TRIM(LEFT(P102,2))))+1,COUNTIF(APD,"&gt;"&amp;(--TRIM(LEFT(R102,2))))+1))</f>
        <v/>
      </c>
      <c r="U102" s="20">
        <f>IF(S102="","",IF(OR((--TRIM(LEFT(N102,2)))&gt;=SThr,S102&gt;=RPNThr,T102="H"),"Yes","No"))</f>
        <v/>
      </c>
      <c r="V102" s="4" t="n"/>
      <c r="W102" s="4" t="n"/>
      <c r="X102" s="4" t="n"/>
      <c r="Y102" s="29" t="n"/>
      <c r="Z102" s="16" t="n"/>
      <c r="AA102" s="16" t="n"/>
      <c r="AB102" s="16" t="n"/>
      <c r="AC102" s="20">
        <f>IF(OR(Z102="",AA102="",AB102=""),"",(--TRIM(LEFT(Z102,2)))*(--TRIM(LEFT(AA102,2)))*(--TRIM(LEFT(AB102,2))))</f>
        <v/>
      </c>
      <c r="AD102" s="20">
        <f>IF(OR(Z102="",AA102="",AB102=""),"",INDEX(APGrid,COUNTIF(APS,"&gt;"&amp;(--TRIM(LEFT(Z102,2))))*5+COUNTIF(APO,"&gt;"&amp;(--TRIM(LEFT(AA102,2))))+1,COUNTIF(APD,"&gt;"&amp;(--TRIM(LEFT(AB102,2))))+1))</f>
        <v/>
      </c>
      <c r="AE102" s="4" t="n"/>
      <c r="AF102" s="4" t="n"/>
      <c r="AH102">
        <f>IFERROR(INDEX(EqTag,_xlfn.AGGREGATE(15,6,(ROW(EqTag)-4)/((EqSys=$D$3)*(EqTag&lt;&gt;"")),ROWS($AH$14:AH102))),"")</f>
        <v/>
      </c>
    </row>
    <row r="103">
      <c r="A103" s="20">
        <f>IF(F103="","",LEFT($D$3,3)&amp;"-"&amp;TEXT(COUNTIF(F$14:F103,"?*"),"00"))</f>
        <v/>
      </c>
      <c r="B103" s="4" t="n"/>
      <c r="C103" s="5">
        <f>IF(B103="","",IFERROR(INDEX(EqTypeCol,MATCH(B103,EqTag,0)),"Tag not in register"))</f>
        <v/>
      </c>
      <c r="D103" s="4" t="n"/>
      <c r="E103" s="4" t="n"/>
      <c r="F103" s="4" t="n"/>
      <c r="G103" s="4" t="n"/>
      <c r="H103" s="4" t="n"/>
      <c r="I103" s="4" t="n"/>
      <c r="J103" s="5">
        <f>_xlfn.TEXTJOIN(CHAR(10),TRUE,IF(G103="","","• "&amp;G103),IF(H103="","","• "&amp;H103),IF(I103="","","• "&amp;I103))</f>
        <v/>
      </c>
      <c r="K103" s="4" t="n"/>
      <c r="L103" s="4" t="n"/>
      <c r="M103" s="4" t="n"/>
      <c r="N103" s="16" t="n"/>
      <c r="O103" s="4" t="n"/>
      <c r="P103" s="16" t="n"/>
      <c r="Q103" s="4" t="n"/>
      <c r="R103" s="16" t="n"/>
      <c r="S103" s="20">
        <f>IF(OR(N103="",P103="",R103=""),"",(--TRIM(LEFT(N103,2)))*(--TRIM(LEFT(P103,2)))*(--TRIM(LEFT(R103,2))))</f>
        <v/>
      </c>
      <c r="T103" s="20">
        <f>IF(OR(N103="",P103="",R103=""),"",INDEX(APGrid,COUNTIF(APS,"&gt;"&amp;(--TRIM(LEFT(N103,2))))*5+COUNTIF(APO,"&gt;"&amp;(--TRIM(LEFT(P103,2))))+1,COUNTIF(APD,"&gt;"&amp;(--TRIM(LEFT(R103,2))))+1))</f>
        <v/>
      </c>
      <c r="U103" s="20">
        <f>IF(S103="","",IF(OR((--TRIM(LEFT(N103,2)))&gt;=SThr,S103&gt;=RPNThr,T103="H"),"Yes","No"))</f>
        <v/>
      </c>
      <c r="V103" s="4" t="n"/>
      <c r="W103" s="4" t="n"/>
      <c r="X103" s="4" t="n"/>
      <c r="Y103" s="29" t="n"/>
      <c r="Z103" s="16" t="n"/>
      <c r="AA103" s="16" t="n"/>
      <c r="AB103" s="16" t="n"/>
      <c r="AC103" s="20">
        <f>IF(OR(Z103="",AA103="",AB103=""),"",(--TRIM(LEFT(Z103,2)))*(--TRIM(LEFT(AA103,2)))*(--TRIM(LEFT(AB103,2))))</f>
        <v/>
      </c>
      <c r="AD103" s="20">
        <f>IF(OR(Z103="",AA103="",AB103=""),"",INDEX(APGrid,COUNTIF(APS,"&gt;"&amp;(--TRIM(LEFT(Z103,2))))*5+COUNTIF(APO,"&gt;"&amp;(--TRIM(LEFT(AA103,2))))+1,COUNTIF(APD,"&gt;"&amp;(--TRIM(LEFT(AB103,2))))+1))</f>
        <v/>
      </c>
      <c r="AE103" s="4" t="n"/>
      <c r="AF103" s="4" t="n"/>
      <c r="AH103">
        <f>IFERROR(INDEX(EqTag,_xlfn.AGGREGATE(15,6,(ROW(EqTag)-4)/((EqSys=$D$3)*(EqTag&lt;&gt;"")),ROWS($AH$14:AH103))),"")</f>
        <v/>
      </c>
    </row>
    <row r="104">
      <c r="A104" s="20">
        <f>IF(F104="","",LEFT($D$3,3)&amp;"-"&amp;TEXT(COUNTIF(F$14:F104,"?*"),"00"))</f>
        <v/>
      </c>
      <c r="B104" s="4" t="n"/>
      <c r="C104" s="5">
        <f>IF(B104="","",IFERROR(INDEX(EqTypeCol,MATCH(B104,EqTag,0)),"Tag not in register"))</f>
        <v/>
      </c>
      <c r="D104" s="4" t="n"/>
      <c r="E104" s="4" t="n"/>
      <c r="F104" s="4" t="n"/>
      <c r="G104" s="4" t="n"/>
      <c r="H104" s="4" t="n"/>
      <c r="I104" s="4" t="n"/>
      <c r="J104" s="5">
        <f>_xlfn.TEXTJOIN(CHAR(10),TRUE,IF(G104="","","• "&amp;G104),IF(H104="","","• "&amp;H104),IF(I104="","","• "&amp;I104))</f>
        <v/>
      </c>
      <c r="K104" s="4" t="n"/>
      <c r="L104" s="4" t="n"/>
      <c r="M104" s="4" t="n"/>
      <c r="N104" s="16" t="n"/>
      <c r="O104" s="4" t="n"/>
      <c r="P104" s="16" t="n"/>
      <c r="Q104" s="4" t="n"/>
      <c r="R104" s="16" t="n"/>
      <c r="S104" s="20">
        <f>IF(OR(N104="",P104="",R104=""),"",(--TRIM(LEFT(N104,2)))*(--TRIM(LEFT(P104,2)))*(--TRIM(LEFT(R104,2))))</f>
        <v/>
      </c>
      <c r="T104" s="20">
        <f>IF(OR(N104="",P104="",R104=""),"",INDEX(APGrid,COUNTIF(APS,"&gt;"&amp;(--TRIM(LEFT(N104,2))))*5+COUNTIF(APO,"&gt;"&amp;(--TRIM(LEFT(P104,2))))+1,COUNTIF(APD,"&gt;"&amp;(--TRIM(LEFT(R104,2))))+1))</f>
        <v/>
      </c>
      <c r="U104" s="20">
        <f>IF(S104="","",IF(OR((--TRIM(LEFT(N104,2)))&gt;=SThr,S104&gt;=RPNThr,T104="H"),"Yes","No"))</f>
        <v/>
      </c>
      <c r="V104" s="4" t="n"/>
      <c r="W104" s="4" t="n"/>
      <c r="X104" s="4" t="n"/>
      <c r="Y104" s="29" t="n"/>
      <c r="Z104" s="16" t="n"/>
      <c r="AA104" s="16" t="n"/>
      <c r="AB104" s="16" t="n"/>
      <c r="AC104" s="20">
        <f>IF(OR(Z104="",AA104="",AB104=""),"",(--TRIM(LEFT(Z104,2)))*(--TRIM(LEFT(AA104,2)))*(--TRIM(LEFT(AB104,2))))</f>
        <v/>
      </c>
      <c r="AD104" s="20">
        <f>IF(OR(Z104="",AA104="",AB104=""),"",INDEX(APGrid,COUNTIF(APS,"&gt;"&amp;(--TRIM(LEFT(Z104,2))))*5+COUNTIF(APO,"&gt;"&amp;(--TRIM(LEFT(AA104,2))))+1,COUNTIF(APD,"&gt;"&amp;(--TRIM(LEFT(AB104,2))))+1))</f>
        <v/>
      </c>
      <c r="AE104" s="4" t="n"/>
      <c r="AF104" s="4" t="n"/>
      <c r="AH104">
        <f>IFERROR(INDEX(EqTag,_xlfn.AGGREGATE(15,6,(ROW(EqTag)-4)/((EqSys=$D$3)*(EqTag&lt;&gt;"")),ROWS($AH$14:AH104))),"")</f>
        <v/>
      </c>
    </row>
    <row r="105">
      <c r="A105" s="20">
        <f>IF(F105="","",LEFT($D$3,3)&amp;"-"&amp;TEXT(COUNTIF(F$14:F105,"?*"),"00"))</f>
        <v/>
      </c>
      <c r="B105" s="4" t="n"/>
      <c r="C105" s="5">
        <f>IF(B105="","",IFERROR(INDEX(EqTypeCol,MATCH(B105,EqTag,0)),"Tag not in register"))</f>
        <v/>
      </c>
      <c r="D105" s="4" t="n"/>
      <c r="E105" s="4" t="n"/>
      <c r="F105" s="4" t="n"/>
      <c r="G105" s="4" t="n"/>
      <c r="H105" s="4" t="n"/>
      <c r="I105" s="4" t="n"/>
      <c r="J105" s="5">
        <f>_xlfn.TEXTJOIN(CHAR(10),TRUE,IF(G105="","","• "&amp;G105),IF(H105="","","• "&amp;H105),IF(I105="","","• "&amp;I105))</f>
        <v/>
      </c>
      <c r="K105" s="4" t="n"/>
      <c r="L105" s="4" t="n"/>
      <c r="M105" s="4" t="n"/>
      <c r="N105" s="16" t="n"/>
      <c r="O105" s="4" t="n"/>
      <c r="P105" s="16" t="n"/>
      <c r="Q105" s="4" t="n"/>
      <c r="R105" s="16" t="n"/>
      <c r="S105" s="20">
        <f>IF(OR(N105="",P105="",R105=""),"",(--TRIM(LEFT(N105,2)))*(--TRIM(LEFT(P105,2)))*(--TRIM(LEFT(R105,2))))</f>
        <v/>
      </c>
      <c r="T105" s="20">
        <f>IF(OR(N105="",P105="",R105=""),"",INDEX(APGrid,COUNTIF(APS,"&gt;"&amp;(--TRIM(LEFT(N105,2))))*5+COUNTIF(APO,"&gt;"&amp;(--TRIM(LEFT(P105,2))))+1,COUNTIF(APD,"&gt;"&amp;(--TRIM(LEFT(R105,2))))+1))</f>
        <v/>
      </c>
      <c r="U105" s="20">
        <f>IF(S105="","",IF(OR((--TRIM(LEFT(N105,2)))&gt;=SThr,S105&gt;=RPNThr,T105="H"),"Yes","No"))</f>
        <v/>
      </c>
      <c r="V105" s="4" t="n"/>
      <c r="W105" s="4" t="n"/>
      <c r="X105" s="4" t="n"/>
      <c r="Y105" s="29" t="n"/>
      <c r="Z105" s="16" t="n"/>
      <c r="AA105" s="16" t="n"/>
      <c r="AB105" s="16" t="n"/>
      <c r="AC105" s="20">
        <f>IF(OR(Z105="",AA105="",AB105=""),"",(--TRIM(LEFT(Z105,2)))*(--TRIM(LEFT(AA105,2)))*(--TRIM(LEFT(AB105,2))))</f>
        <v/>
      </c>
      <c r="AD105" s="20">
        <f>IF(OR(Z105="",AA105="",AB105=""),"",INDEX(APGrid,COUNTIF(APS,"&gt;"&amp;(--TRIM(LEFT(Z105,2))))*5+COUNTIF(APO,"&gt;"&amp;(--TRIM(LEFT(AA105,2))))+1,COUNTIF(APD,"&gt;"&amp;(--TRIM(LEFT(AB105,2))))+1))</f>
        <v/>
      </c>
      <c r="AE105" s="4" t="n"/>
      <c r="AF105" s="4" t="n"/>
      <c r="AH105">
        <f>IFERROR(INDEX(EqTag,_xlfn.AGGREGATE(15,6,(ROW(EqTag)-4)/((EqSys=$D$3)*(EqTag&lt;&gt;"")),ROWS($AH$14:AH105))),"")</f>
        <v/>
      </c>
    </row>
    <row r="106">
      <c r="A106" s="20">
        <f>IF(F106="","",LEFT($D$3,3)&amp;"-"&amp;TEXT(COUNTIF(F$14:F106,"?*"),"00"))</f>
        <v/>
      </c>
      <c r="B106" s="4" t="n"/>
      <c r="C106" s="5">
        <f>IF(B106="","",IFERROR(INDEX(EqTypeCol,MATCH(B106,EqTag,0)),"Tag not in register"))</f>
        <v/>
      </c>
      <c r="D106" s="4" t="n"/>
      <c r="E106" s="4" t="n"/>
      <c r="F106" s="4" t="n"/>
      <c r="G106" s="4" t="n"/>
      <c r="H106" s="4" t="n"/>
      <c r="I106" s="4" t="n"/>
      <c r="J106" s="5">
        <f>_xlfn.TEXTJOIN(CHAR(10),TRUE,IF(G106="","","• "&amp;G106),IF(H106="","","• "&amp;H106),IF(I106="","","• "&amp;I106))</f>
        <v/>
      </c>
      <c r="K106" s="4" t="n"/>
      <c r="L106" s="4" t="n"/>
      <c r="M106" s="4" t="n"/>
      <c r="N106" s="16" t="n"/>
      <c r="O106" s="4" t="n"/>
      <c r="P106" s="16" t="n"/>
      <c r="Q106" s="4" t="n"/>
      <c r="R106" s="16" t="n"/>
      <c r="S106" s="20">
        <f>IF(OR(N106="",P106="",R106=""),"",(--TRIM(LEFT(N106,2)))*(--TRIM(LEFT(P106,2)))*(--TRIM(LEFT(R106,2))))</f>
        <v/>
      </c>
      <c r="T106" s="20">
        <f>IF(OR(N106="",P106="",R106=""),"",INDEX(APGrid,COUNTIF(APS,"&gt;"&amp;(--TRIM(LEFT(N106,2))))*5+COUNTIF(APO,"&gt;"&amp;(--TRIM(LEFT(P106,2))))+1,COUNTIF(APD,"&gt;"&amp;(--TRIM(LEFT(R106,2))))+1))</f>
        <v/>
      </c>
      <c r="U106" s="20">
        <f>IF(S106="","",IF(OR((--TRIM(LEFT(N106,2)))&gt;=SThr,S106&gt;=RPNThr,T106="H"),"Yes","No"))</f>
        <v/>
      </c>
      <c r="V106" s="4" t="n"/>
      <c r="W106" s="4" t="n"/>
      <c r="X106" s="4" t="n"/>
      <c r="Y106" s="29" t="n"/>
      <c r="Z106" s="16" t="n"/>
      <c r="AA106" s="16" t="n"/>
      <c r="AB106" s="16" t="n"/>
      <c r="AC106" s="20">
        <f>IF(OR(Z106="",AA106="",AB106=""),"",(--TRIM(LEFT(Z106,2)))*(--TRIM(LEFT(AA106,2)))*(--TRIM(LEFT(AB106,2))))</f>
        <v/>
      </c>
      <c r="AD106" s="20">
        <f>IF(OR(Z106="",AA106="",AB106=""),"",INDEX(APGrid,COUNTIF(APS,"&gt;"&amp;(--TRIM(LEFT(Z106,2))))*5+COUNTIF(APO,"&gt;"&amp;(--TRIM(LEFT(AA106,2))))+1,COUNTIF(APD,"&gt;"&amp;(--TRIM(LEFT(AB106,2))))+1))</f>
        <v/>
      </c>
      <c r="AE106" s="4" t="n"/>
      <c r="AF106" s="4" t="n"/>
      <c r="AH106">
        <f>IFERROR(INDEX(EqTag,_xlfn.AGGREGATE(15,6,(ROW(EqTag)-4)/((EqSys=$D$3)*(EqTag&lt;&gt;"")),ROWS($AH$14:AH106))),"")</f>
        <v/>
      </c>
    </row>
    <row r="107">
      <c r="A107" s="20">
        <f>IF(F107="","",LEFT($D$3,3)&amp;"-"&amp;TEXT(COUNTIF(F$14:F107,"?*"),"00"))</f>
        <v/>
      </c>
      <c r="B107" s="4" t="n"/>
      <c r="C107" s="5">
        <f>IF(B107="","",IFERROR(INDEX(EqTypeCol,MATCH(B107,EqTag,0)),"Tag not in register"))</f>
        <v/>
      </c>
      <c r="D107" s="4" t="n"/>
      <c r="E107" s="4" t="n"/>
      <c r="F107" s="4" t="n"/>
      <c r="G107" s="4" t="n"/>
      <c r="H107" s="4" t="n"/>
      <c r="I107" s="4" t="n"/>
      <c r="J107" s="5">
        <f>_xlfn.TEXTJOIN(CHAR(10),TRUE,IF(G107="","","• "&amp;G107),IF(H107="","","• "&amp;H107),IF(I107="","","• "&amp;I107))</f>
        <v/>
      </c>
      <c r="K107" s="4" t="n"/>
      <c r="L107" s="4" t="n"/>
      <c r="M107" s="4" t="n"/>
      <c r="N107" s="16" t="n"/>
      <c r="O107" s="4" t="n"/>
      <c r="P107" s="16" t="n"/>
      <c r="Q107" s="4" t="n"/>
      <c r="R107" s="16" t="n"/>
      <c r="S107" s="20">
        <f>IF(OR(N107="",P107="",R107=""),"",(--TRIM(LEFT(N107,2)))*(--TRIM(LEFT(P107,2)))*(--TRIM(LEFT(R107,2))))</f>
        <v/>
      </c>
      <c r="T107" s="20">
        <f>IF(OR(N107="",P107="",R107=""),"",INDEX(APGrid,COUNTIF(APS,"&gt;"&amp;(--TRIM(LEFT(N107,2))))*5+COUNTIF(APO,"&gt;"&amp;(--TRIM(LEFT(P107,2))))+1,COUNTIF(APD,"&gt;"&amp;(--TRIM(LEFT(R107,2))))+1))</f>
        <v/>
      </c>
      <c r="U107" s="20">
        <f>IF(S107="","",IF(OR((--TRIM(LEFT(N107,2)))&gt;=SThr,S107&gt;=RPNThr,T107="H"),"Yes","No"))</f>
        <v/>
      </c>
      <c r="V107" s="4" t="n"/>
      <c r="W107" s="4" t="n"/>
      <c r="X107" s="4" t="n"/>
      <c r="Y107" s="29" t="n"/>
      <c r="Z107" s="16" t="n"/>
      <c r="AA107" s="16" t="n"/>
      <c r="AB107" s="16" t="n"/>
      <c r="AC107" s="20">
        <f>IF(OR(Z107="",AA107="",AB107=""),"",(--TRIM(LEFT(Z107,2)))*(--TRIM(LEFT(AA107,2)))*(--TRIM(LEFT(AB107,2))))</f>
        <v/>
      </c>
      <c r="AD107" s="20">
        <f>IF(OR(Z107="",AA107="",AB107=""),"",INDEX(APGrid,COUNTIF(APS,"&gt;"&amp;(--TRIM(LEFT(Z107,2))))*5+COUNTIF(APO,"&gt;"&amp;(--TRIM(LEFT(AA107,2))))+1,COUNTIF(APD,"&gt;"&amp;(--TRIM(LEFT(AB107,2))))+1))</f>
        <v/>
      </c>
      <c r="AE107" s="4" t="n"/>
      <c r="AF107" s="4" t="n"/>
      <c r="AH107">
        <f>IFERROR(INDEX(EqTag,_xlfn.AGGREGATE(15,6,(ROW(EqTag)-4)/((EqSys=$D$3)*(EqTag&lt;&gt;"")),ROWS($AH$14:AH107))),"")</f>
        <v/>
      </c>
    </row>
    <row r="108">
      <c r="A108" s="20">
        <f>IF(F108="","",LEFT($D$3,3)&amp;"-"&amp;TEXT(COUNTIF(F$14:F108,"?*"),"00"))</f>
        <v/>
      </c>
      <c r="B108" s="4" t="n"/>
      <c r="C108" s="5">
        <f>IF(B108="","",IFERROR(INDEX(EqTypeCol,MATCH(B108,EqTag,0)),"Tag not in register"))</f>
        <v/>
      </c>
      <c r="D108" s="4" t="n"/>
      <c r="E108" s="4" t="n"/>
      <c r="F108" s="4" t="n"/>
      <c r="G108" s="4" t="n"/>
      <c r="H108" s="4" t="n"/>
      <c r="I108" s="4" t="n"/>
      <c r="J108" s="5">
        <f>_xlfn.TEXTJOIN(CHAR(10),TRUE,IF(G108="","","• "&amp;G108),IF(H108="","","• "&amp;H108),IF(I108="","","• "&amp;I108))</f>
        <v/>
      </c>
      <c r="K108" s="4" t="n"/>
      <c r="L108" s="4" t="n"/>
      <c r="M108" s="4" t="n"/>
      <c r="N108" s="16" t="n"/>
      <c r="O108" s="4" t="n"/>
      <c r="P108" s="16" t="n"/>
      <c r="Q108" s="4" t="n"/>
      <c r="R108" s="16" t="n"/>
      <c r="S108" s="20">
        <f>IF(OR(N108="",P108="",R108=""),"",(--TRIM(LEFT(N108,2)))*(--TRIM(LEFT(P108,2)))*(--TRIM(LEFT(R108,2))))</f>
        <v/>
      </c>
      <c r="T108" s="20">
        <f>IF(OR(N108="",P108="",R108=""),"",INDEX(APGrid,COUNTIF(APS,"&gt;"&amp;(--TRIM(LEFT(N108,2))))*5+COUNTIF(APO,"&gt;"&amp;(--TRIM(LEFT(P108,2))))+1,COUNTIF(APD,"&gt;"&amp;(--TRIM(LEFT(R108,2))))+1))</f>
        <v/>
      </c>
      <c r="U108" s="20">
        <f>IF(S108="","",IF(OR((--TRIM(LEFT(N108,2)))&gt;=SThr,S108&gt;=RPNThr,T108="H"),"Yes","No"))</f>
        <v/>
      </c>
      <c r="V108" s="4" t="n"/>
      <c r="W108" s="4" t="n"/>
      <c r="X108" s="4" t="n"/>
      <c r="Y108" s="29" t="n"/>
      <c r="Z108" s="16" t="n"/>
      <c r="AA108" s="16" t="n"/>
      <c r="AB108" s="16" t="n"/>
      <c r="AC108" s="20">
        <f>IF(OR(Z108="",AA108="",AB108=""),"",(--TRIM(LEFT(Z108,2)))*(--TRIM(LEFT(AA108,2)))*(--TRIM(LEFT(AB108,2))))</f>
        <v/>
      </c>
      <c r="AD108" s="20">
        <f>IF(OR(Z108="",AA108="",AB108=""),"",INDEX(APGrid,COUNTIF(APS,"&gt;"&amp;(--TRIM(LEFT(Z108,2))))*5+COUNTIF(APO,"&gt;"&amp;(--TRIM(LEFT(AA108,2))))+1,COUNTIF(APD,"&gt;"&amp;(--TRIM(LEFT(AB108,2))))+1))</f>
        <v/>
      </c>
      <c r="AE108" s="4" t="n"/>
      <c r="AF108" s="4" t="n"/>
      <c r="AH108">
        <f>IFERROR(INDEX(EqTag,_xlfn.AGGREGATE(15,6,(ROW(EqTag)-4)/((EqSys=$D$3)*(EqTag&lt;&gt;"")),ROWS($AH$14:AH108))),"")</f>
        <v/>
      </c>
    </row>
    <row r="109">
      <c r="A109" s="20">
        <f>IF(F109="","",LEFT($D$3,3)&amp;"-"&amp;TEXT(COUNTIF(F$14:F109,"?*"),"00"))</f>
        <v/>
      </c>
      <c r="B109" s="4" t="n"/>
      <c r="C109" s="5">
        <f>IF(B109="","",IFERROR(INDEX(EqTypeCol,MATCH(B109,EqTag,0)),"Tag not in register"))</f>
        <v/>
      </c>
      <c r="D109" s="4" t="n"/>
      <c r="E109" s="4" t="n"/>
      <c r="F109" s="4" t="n"/>
      <c r="G109" s="4" t="n"/>
      <c r="H109" s="4" t="n"/>
      <c r="I109" s="4" t="n"/>
      <c r="J109" s="5">
        <f>_xlfn.TEXTJOIN(CHAR(10),TRUE,IF(G109="","","• "&amp;G109),IF(H109="","","• "&amp;H109),IF(I109="","","• "&amp;I109))</f>
        <v/>
      </c>
      <c r="K109" s="4" t="n"/>
      <c r="L109" s="4" t="n"/>
      <c r="M109" s="4" t="n"/>
      <c r="N109" s="16" t="n"/>
      <c r="O109" s="4" t="n"/>
      <c r="P109" s="16" t="n"/>
      <c r="Q109" s="4" t="n"/>
      <c r="R109" s="16" t="n"/>
      <c r="S109" s="20">
        <f>IF(OR(N109="",P109="",R109=""),"",(--TRIM(LEFT(N109,2)))*(--TRIM(LEFT(P109,2)))*(--TRIM(LEFT(R109,2))))</f>
        <v/>
      </c>
      <c r="T109" s="20">
        <f>IF(OR(N109="",P109="",R109=""),"",INDEX(APGrid,COUNTIF(APS,"&gt;"&amp;(--TRIM(LEFT(N109,2))))*5+COUNTIF(APO,"&gt;"&amp;(--TRIM(LEFT(P109,2))))+1,COUNTIF(APD,"&gt;"&amp;(--TRIM(LEFT(R109,2))))+1))</f>
        <v/>
      </c>
      <c r="U109" s="20">
        <f>IF(S109="","",IF(OR((--TRIM(LEFT(N109,2)))&gt;=SThr,S109&gt;=RPNThr,T109="H"),"Yes","No"))</f>
        <v/>
      </c>
      <c r="V109" s="4" t="n"/>
      <c r="W109" s="4" t="n"/>
      <c r="X109" s="4" t="n"/>
      <c r="Y109" s="29" t="n"/>
      <c r="Z109" s="16" t="n"/>
      <c r="AA109" s="16" t="n"/>
      <c r="AB109" s="16" t="n"/>
      <c r="AC109" s="20">
        <f>IF(OR(Z109="",AA109="",AB109=""),"",(--TRIM(LEFT(Z109,2)))*(--TRIM(LEFT(AA109,2)))*(--TRIM(LEFT(AB109,2))))</f>
        <v/>
      </c>
      <c r="AD109" s="20">
        <f>IF(OR(Z109="",AA109="",AB109=""),"",INDEX(APGrid,COUNTIF(APS,"&gt;"&amp;(--TRIM(LEFT(Z109,2))))*5+COUNTIF(APO,"&gt;"&amp;(--TRIM(LEFT(AA109,2))))+1,COUNTIF(APD,"&gt;"&amp;(--TRIM(LEFT(AB109,2))))+1))</f>
        <v/>
      </c>
      <c r="AE109" s="4" t="n"/>
      <c r="AF109" s="4" t="n"/>
      <c r="AH109">
        <f>IFERROR(INDEX(EqTag,_xlfn.AGGREGATE(15,6,(ROW(EqTag)-4)/((EqSys=$D$3)*(EqTag&lt;&gt;"")),ROWS($AH$14:AH109))),"")</f>
        <v/>
      </c>
    </row>
    <row r="110">
      <c r="A110" s="20">
        <f>IF(F110="","",LEFT($D$3,3)&amp;"-"&amp;TEXT(COUNTIF(F$14:F110,"?*"),"00"))</f>
        <v/>
      </c>
      <c r="B110" s="4" t="n"/>
      <c r="C110" s="5">
        <f>IF(B110="","",IFERROR(INDEX(EqTypeCol,MATCH(B110,EqTag,0)),"Tag not in register"))</f>
        <v/>
      </c>
      <c r="D110" s="4" t="n"/>
      <c r="E110" s="4" t="n"/>
      <c r="F110" s="4" t="n"/>
      <c r="G110" s="4" t="n"/>
      <c r="H110" s="4" t="n"/>
      <c r="I110" s="4" t="n"/>
      <c r="J110" s="5">
        <f>_xlfn.TEXTJOIN(CHAR(10),TRUE,IF(G110="","","• "&amp;G110),IF(H110="","","• "&amp;H110),IF(I110="","","• "&amp;I110))</f>
        <v/>
      </c>
      <c r="K110" s="4" t="n"/>
      <c r="L110" s="4" t="n"/>
      <c r="M110" s="4" t="n"/>
      <c r="N110" s="16" t="n"/>
      <c r="O110" s="4" t="n"/>
      <c r="P110" s="16" t="n"/>
      <c r="Q110" s="4" t="n"/>
      <c r="R110" s="16" t="n"/>
      <c r="S110" s="20">
        <f>IF(OR(N110="",P110="",R110=""),"",(--TRIM(LEFT(N110,2)))*(--TRIM(LEFT(P110,2)))*(--TRIM(LEFT(R110,2))))</f>
        <v/>
      </c>
      <c r="T110" s="20">
        <f>IF(OR(N110="",P110="",R110=""),"",INDEX(APGrid,COUNTIF(APS,"&gt;"&amp;(--TRIM(LEFT(N110,2))))*5+COUNTIF(APO,"&gt;"&amp;(--TRIM(LEFT(P110,2))))+1,COUNTIF(APD,"&gt;"&amp;(--TRIM(LEFT(R110,2))))+1))</f>
        <v/>
      </c>
      <c r="U110" s="20">
        <f>IF(S110="","",IF(OR((--TRIM(LEFT(N110,2)))&gt;=SThr,S110&gt;=RPNThr,T110="H"),"Yes","No"))</f>
        <v/>
      </c>
      <c r="V110" s="4" t="n"/>
      <c r="W110" s="4" t="n"/>
      <c r="X110" s="4" t="n"/>
      <c r="Y110" s="29" t="n"/>
      <c r="Z110" s="16" t="n"/>
      <c r="AA110" s="16" t="n"/>
      <c r="AB110" s="16" t="n"/>
      <c r="AC110" s="20">
        <f>IF(OR(Z110="",AA110="",AB110=""),"",(--TRIM(LEFT(Z110,2)))*(--TRIM(LEFT(AA110,2)))*(--TRIM(LEFT(AB110,2))))</f>
        <v/>
      </c>
      <c r="AD110" s="20">
        <f>IF(OR(Z110="",AA110="",AB110=""),"",INDEX(APGrid,COUNTIF(APS,"&gt;"&amp;(--TRIM(LEFT(Z110,2))))*5+COUNTIF(APO,"&gt;"&amp;(--TRIM(LEFT(AA110,2))))+1,COUNTIF(APD,"&gt;"&amp;(--TRIM(LEFT(AB110,2))))+1))</f>
        <v/>
      </c>
      <c r="AE110" s="4" t="n"/>
      <c r="AF110" s="4" t="n"/>
      <c r="AH110">
        <f>IFERROR(INDEX(EqTag,_xlfn.AGGREGATE(15,6,(ROW(EqTag)-4)/((EqSys=$D$3)*(EqTag&lt;&gt;"")),ROWS($AH$14:AH110))),"")</f>
        <v/>
      </c>
    </row>
    <row r="111">
      <c r="A111" s="20">
        <f>IF(F111="","",LEFT($D$3,3)&amp;"-"&amp;TEXT(COUNTIF(F$14:F111,"?*"),"00"))</f>
        <v/>
      </c>
      <c r="B111" s="4" t="n"/>
      <c r="C111" s="5">
        <f>IF(B111="","",IFERROR(INDEX(EqTypeCol,MATCH(B111,EqTag,0)),"Tag not in register"))</f>
        <v/>
      </c>
      <c r="D111" s="4" t="n"/>
      <c r="E111" s="4" t="n"/>
      <c r="F111" s="4" t="n"/>
      <c r="G111" s="4" t="n"/>
      <c r="H111" s="4" t="n"/>
      <c r="I111" s="4" t="n"/>
      <c r="J111" s="5">
        <f>_xlfn.TEXTJOIN(CHAR(10),TRUE,IF(G111="","","• "&amp;G111),IF(H111="","","• "&amp;H111),IF(I111="","","• "&amp;I111))</f>
        <v/>
      </c>
      <c r="K111" s="4" t="n"/>
      <c r="L111" s="4" t="n"/>
      <c r="M111" s="4" t="n"/>
      <c r="N111" s="16" t="n"/>
      <c r="O111" s="4" t="n"/>
      <c r="P111" s="16" t="n"/>
      <c r="Q111" s="4" t="n"/>
      <c r="R111" s="16" t="n"/>
      <c r="S111" s="20">
        <f>IF(OR(N111="",P111="",R111=""),"",(--TRIM(LEFT(N111,2)))*(--TRIM(LEFT(P111,2)))*(--TRIM(LEFT(R111,2))))</f>
        <v/>
      </c>
      <c r="T111" s="20">
        <f>IF(OR(N111="",P111="",R111=""),"",INDEX(APGrid,COUNTIF(APS,"&gt;"&amp;(--TRIM(LEFT(N111,2))))*5+COUNTIF(APO,"&gt;"&amp;(--TRIM(LEFT(P111,2))))+1,COUNTIF(APD,"&gt;"&amp;(--TRIM(LEFT(R111,2))))+1))</f>
        <v/>
      </c>
      <c r="U111" s="20">
        <f>IF(S111="","",IF(OR((--TRIM(LEFT(N111,2)))&gt;=SThr,S111&gt;=RPNThr,T111="H"),"Yes","No"))</f>
        <v/>
      </c>
      <c r="V111" s="4" t="n"/>
      <c r="W111" s="4" t="n"/>
      <c r="X111" s="4" t="n"/>
      <c r="Y111" s="29" t="n"/>
      <c r="Z111" s="16" t="n"/>
      <c r="AA111" s="16" t="n"/>
      <c r="AB111" s="16" t="n"/>
      <c r="AC111" s="20">
        <f>IF(OR(Z111="",AA111="",AB111=""),"",(--TRIM(LEFT(Z111,2)))*(--TRIM(LEFT(AA111,2)))*(--TRIM(LEFT(AB111,2))))</f>
        <v/>
      </c>
      <c r="AD111" s="20">
        <f>IF(OR(Z111="",AA111="",AB111=""),"",INDEX(APGrid,COUNTIF(APS,"&gt;"&amp;(--TRIM(LEFT(Z111,2))))*5+COUNTIF(APO,"&gt;"&amp;(--TRIM(LEFT(AA111,2))))+1,COUNTIF(APD,"&gt;"&amp;(--TRIM(LEFT(AB111,2))))+1))</f>
        <v/>
      </c>
      <c r="AE111" s="4" t="n"/>
      <c r="AF111" s="4" t="n"/>
      <c r="AH111">
        <f>IFERROR(INDEX(EqTag,_xlfn.AGGREGATE(15,6,(ROW(EqTag)-4)/((EqSys=$D$3)*(EqTag&lt;&gt;"")),ROWS($AH$14:AH111))),"")</f>
        <v/>
      </c>
    </row>
    <row r="112">
      <c r="A112" s="20">
        <f>IF(F112="","",LEFT($D$3,3)&amp;"-"&amp;TEXT(COUNTIF(F$14:F112,"?*"),"00"))</f>
        <v/>
      </c>
      <c r="B112" s="4" t="n"/>
      <c r="C112" s="5">
        <f>IF(B112="","",IFERROR(INDEX(EqTypeCol,MATCH(B112,EqTag,0)),"Tag not in register"))</f>
        <v/>
      </c>
      <c r="D112" s="4" t="n"/>
      <c r="E112" s="4" t="n"/>
      <c r="F112" s="4" t="n"/>
      <c r="G112" s="4" t="n"/>
      <c r="H112" s="4" t="n"/>
      <c r="I112" s="4" t="n"/>
      <c r="J112" s="5">
        <f>_xlfn.TEXTJOIN(CHAR(10),TRUE,IF(G112="","","• "&amp;G112),IF(H112="","","• "&amp;H112),IF(I112="","","• "&amp;I112))</f>
        <v/>
      </c>
      <c r="K112" s="4" t="n"/>
      <c r="L112" s="4" t="n"/>
      <c r="M112" s="4" t="n"/>
      <c r="N112" s="16" t="n"/>
      <c r="O112" s="4" t="n"/>
      <c r="P112" s="16" t="n"/>
      <c r="Q112" s="4" t="n"/>
      <c r="R112" s="16" t="n"/>
      <c r="S112" s="20">
        <f>IF(OR(N112="",P112="",R112=""),"",(--TRIM(LEFT(N112,2)))*(--TRIM(LEFT(P112,2)))*(--TRIM(LEFT(R112,2))))</f>
        <v/>
      </c>
      <c r="T112" s="20">
        <f>IF(OR(N112="",P112="",R112=""),"",INDEX(APGrid,COUNTIF(APS,"&gt;"&amp;(--TRIM(LEFT(N112,2))))*5+COUNTIF(APO,"&gt;"&amp;(--TRIM(LEFT(P112,2))))+1,COUNTIF(APD,"&gt;"&amp;(--TRIM(LEFT(R112,2))))+1))</f>
        <v/>
      </c>
      <c r="U112" s="20">
        <f>IF(S112="","",IF(OR((--TRIM(LEFT(N112,2)))&gt;=SThr,S112&gt;=RPNThr,T112="H"),"Yes","No"))</f>
        <v/>
      </c>
      <c r="V112" s="4" t="n"/>
      <c r="W112" s="4" t="n"/>
      <c r="X112" s="4" t="n"/>
      <c r="Y112" s="29" t="n"/>
      <c r="Z112" s="16" t="n"/>
      <c r="AA112" s="16" t="n"/>
      <c r="AB112" s="16" t="n"/>
      <c r="AC112" s="20">
        <f>IF(OR(Z112="",AA112="",AB112=""),"",(--TRIM(LEFT(Z112,2)))*(--TRIM(LEFT(AA112,2)))*(--TRIM(LEFT(AB112,2))))</f>
        <v/>
      </c>
      <c r="AD112" s="20">
        <f>IF(OR(Z112="",AA112="",AB112=""),"",INDEX(APGrid,COUNTIF(APS,"&gt;"&amp;(--TRIM(LEFT(Z112,2))))*5+COUNTIF(APO,"&gt;"&amp;(--TRIM(LEFT(AA112,2))))+1,COUNTIF(APD,"&gt;"&amp;(--TRIM(LEFT(AB112,2))))+1))</f>
        <v/>
      </c>
      <c r="AE112" s="4" t="n"/>
      <c r="AF112" s="4" t="n"/>
      <c r="AH112">
        <f>IFERROR(INDEX(EqTag,_xlfn.AGGREGATE(15,6,(ROW(EqTag)-4)/((EqSys=$D$3)*(EqTag&lt;&gt;"")),ROWS($AH$14:AH112))),"")</f>
        <v/>
      </c>
    </row>
    <row r="113">
      <c r="A113" s="20">
        <f>IF(F113="","",LEFT($D$3,3)&amp;"-"&amp;TEXT(COUNTIF(F$14:F113,"?*"),"00"))</f>
        <v/>
      </c>
      <c r="B113" s="4" t="n"/>
      <c r="C113" s="5">
        <f>IF(B113="","",IFERROR(INDEX(EqTypeCol,MATCH(B113,EqTag,0)),"Tag not in register"))</f>
        <v/>
      </c>
      <c r="D113" s="4" t="n"/>
      <c r="E113" s="4" t="n"/>
      <c r="F113" s="4" t="n"/>
      <c r="G113" s="4" t="n"/>
      <c r="H113" s="4" t="n"/>
      <c r="I113" s="4" t="n"/>
      <c r="J113" s="5">
        <f>_xlfn.TEXTJOIN(CHAR(10),TRUE,IF(G113="","","• "&amp;G113),IF(H113="","","• "&amp;H113),IF(I113="","","• "&amp;I113))</f>
        <v/>
      </c>
      <c r="K113" s="4" t="n"/>
      <c r="L113" s="4" t="n"/>
      <c r="M113" s="4" t="n"/>
      <c r="N113" s="16" t="n"/>
      <c r="O113" s="4" t="n"/>
      <c r="P113" s="16" t="n"/>
      <c r="Q113" s="4" t="n"/>
      <c r="R113" s="16" t="n"/>
      <c r="S113" s="20">
        <f>IF(OR(N113="",P113="",R113=""),"",(--TRIM(LEFT(N113,2)))*(--TRIM(LEFT(P113,2)))*(--TRIM(LEFT(R113,2))))</f>
        <v/>
      </c>
      <c r="T113" s="20">
        <f>IF(OR(N113="",P113="",R113=""),"",INDEX(APGrid,COUNTIF(APS,"&gt;"&amp;(--TRIM(LEFT(N113,2))))*5+COUNTIF(APO,"&gt;"&amp;(--TRIM(LEFT(P113,2))))+1,COUNTIF(APD,"&gt;"&amp;(--TRIM(LEFT(R113,2))))+1))</f>
        <v/>
      </c>
      <c r="U113" s="20">
        <f>IF(S113="","",IF(OR((--TRIM(LEFT(N113,2)))&gt;=SThr,S113&gt;=RPNThr,T113="H"),"Yes","No"))</f>
        <v/>
      </c>
      <c r="V113" s="4" t="n"/>
      <c r="W113" s="4" t="n"/>
      <c r="X113" s="4" t="n"/>
      <c r="Y113" s="29" t="n"/>
      <c r="Z113" s="16" t="n"/>
      <c r="AA113" s="16" t="n"/>
      <c r="AB113" s="16" t="n"/>
      <c r="AC113" s="20">
        <f>IF(OR(Z113="",AA113="",AB113=""),"",(--TRIM(LEFT(Z113,2)))*(--TRIM(LEFT(AA113,2)))*(--TRIM(LEFT(AB113,2))))</f>
        <v/>
      </c>
      <c r="AD113" s="20">
        <f>IF(OR(Z113="",AA113="",AB113=""),"",INDEX(APGrid,COUNTIF(APS,"&gt;"&amp;(--TRIM(LEFT(Z113,2))))*5+COUNTIF(APO,"&gt;"&amp;(--TRIM(LEFT(AA113,2))))+1,COUNTIF(APD,"&gt;"&amp;(--TRIM(LEFT(AB113,2))))+1))</f>
        <v/>
      </c>
      <c r="AE113" s="4" t="n"/>
      <c r="AF113" s="4" t="n"/>
      <c r="AH113">
        <f>IFERROR(INDEX(EqTag,_xlfn.AGGREGATE(15,6,(ROW(EqTag)-4)/((EqSys=$D$3)*(EqTag&lt;&gt;"")),ROWS($AH$14:AH113))),"")</f>
        <v/>
      </c>
    </row>
  </sheetData>
  <mergeCells count="23">
    <mergeCell ref="D3:J3"/>
    <mergeCell ref="J12:M12"/>
    <mergeCell ref="A3:C3"/>
    <mergeCell ref="A11:N11"/>
    <mergeCell ref="A12:F12"/>
    <mergeCell ref="L3:M3"/>
    <mergeCell ref="AE12:AF12"/>
    <mergeCell ref="D6:N6"/>
    <mergeCell ref="A5:C5"/>
    <mergeCell ref="N12:U12"/>
    <mergeCell ref="A8:C8"/>
    <mergeCell ref="V12:Y12"/>
    <mergeCell ref="A4:C4"/>
    <mergeCell ref="Z12:AD12"/>
    <mergeCell ref="D7:N7"/>
    <mergeCell ref="A9:C9"/>
    <mergeCell ref="G12:I12"/>
    <mergeCell ref="D4:N4"/>
    <mergeCell ref="D9:N9"/>
    <mergeCell ref="D8:N8"/>
    <mergeCell ref="A6:C6"/>
    <mergeCell ref="D5:N5"/>
    <mergeCell ref="A7:C7"/>
  </mergeCells>
  <conditionalFormatting sqref="T14:T113">
    <cfRule type="expression" priority="1" dxfId="0">
      <formula>T14="H"</formula>
    </cfRule>
    <cfRule type="expression" priority="3" dxfId="1">
      <formula>T14="M"</formula>
    </cfRule>
    <cfRule type="expression" priority="5" dxfId="2">
      <formula>T14="L"</formula>
    </cfRule>
  </conditionalFormatting>
  <conditionalFormatting sqref="AD14:AD113">
    <cfRule type="expression" priority="2" dxfId="0">
      <formula>AD14="H"</formula>
    </cfRule>
    <cfRule type="expression" priority="4" dxfId="1">
      <formula>AD14="M"</formula>
    </cfRule>
    <cfRule type="expression" priority="6" dxfId="2">
      <formula>AD14="L"</formula>
    </cfRule>
  </conditionalFormatting>
  <conditionalFormatting sqref="U14:U113">
    <cfRule type="expression" priority="7" dxfId="3">
      <formula>U14="Yes"</formula>
    </cfRule>
  </conditionalFormatting>
  <conditionalFormatting sqref="S14:S113">
    <cfRule type="expression" priority="8" dxfId="4">
      <formula>AND(ISNUMBER(S14),S14&gt;=RPNThr)</formula>
    </cfRule>
  </conditionalFormatting>
  <conditionalFormatting sqref="AC14:AC113">
    <cfRule type="expression" priority="9" dxfId="4">
      <formula>AND(ISNUMBER(AC14),AC14&gt;=RPNThr)</formula>
    </cfRule>
  </conditionalFormatting>
  <dataValidations count="13">
    <dataValidation sqref="D3" showDropDown="0" showInputMessage="1" showErrorMessage="1" allowBlank="1" promptTitle="Select" prompt="Choose the system analysed on this sheet" type="list">
      <formula1>=SystemList</formula1>
    </dataValidation>
    <dataValidation sqref="B14:B113" showDropDown="0" showInputMessage="1" showErrorMessage="1" allowBlank="1" errorTitle="Not in list" error="Entry is not in the list – it will be accepted as free text." promptTitle="Select" prompt="Equipment tags of the selected system (from the Equipment Register)" type="list" errorStyle="information">
      <formula1>=OFFSET($AH$14,0,0,MAX(1,COUNTIFS(EqSys,$D$3,EqTag,"?*")),1)</formula1>
    </dataValidation>
    <dataValidation sqref="D14:D113" showDropDown="0" showInputMessage="1" showErrorMessage="1" allowBlank="1" errorTitle="Not in list" error="Entry is not in the list – it will be accepted as free text." promptTitle="Select" prompt="Components for this equipment type – or type your own" type="list" errorStyle="information">
      <formula1>=OFFSET(CompStart,MATCH($C14,CompType,0)-1,0,MAX(1,COUNTIF(CompType,$C14)),1)</formula1>
    </dataValidation>
    <dataValidation sqref="F14:F113" showDropDown="0" showInputMessage="1" showErrorMessage="1" allowBlank="1" errorTitle="Not in list" error="Entry is not in the list – it will be accepted as free text." promptTitle="Select" prompt="Failure modes for this equipment type – or type your own" type="list" errorStyle="information">
      <formula1>=OFFSET(FMStart,MATCH($C14,FMType,0)-1,0,MAX(1,COUNTIF(FMType,$C14)),1)</formula1>
    </dataValidation>
    <dataValidation sqref="G14:I113" showDropDown="0" showInputMessage="1" showErrorMessage="1" allowBlank="1" errorTitle="Not in list" error="Entry is not in the list – it will be accepted as free text." promptTitle="Select" prompt="Failure cause / mechanism – or type your own" type="list" errorStyle="information">
      <formula1>=MechList</formula1>
    </dataValidation>
    <dataValidation sqref="Q14:Q113" showDropDown="0" showInputMessage="1" showErrorMessage="1" allowBlank="1" errorTitle="Not in list" error="Entry is not in the list – it will be accepted as free text." promptTitle="Select" prompt="Detection method – or type your own" type="list" errorStyle="information">
      <formula1>=DetList</formula1>
    </dataValidation>
    <dataValidation sqref="W14:W113" showDropDown="0" showInputMessage="0" showErrorMessage="1" allowBlank="1" errorTitle="Not in list" error="Entry is not in the list – it will be accepted as free text." type="list" errorStyle="information">
      <formula1>=TaskList</formula1>
    </dataValidation>
    <dataValidation sqref="N14:N113" showDropDown="0" showInputMessage="0" showErrorMessage="1" allowBlank="1" type="list">
      <formula1>=SevList</formula1>
    </dataValidation>
    <dataValidation sqref="P14:P113" showDropDown="0" showInputMessage="0" showErrorMessage="1" allowBlank="1" type="list">
      <formula1>=OccList</formula1>
    </dataValidation>
    <dataValidation sqref="R14:R113" showDropDown="0" showInputMessage="0" showErrorMessage="1" allowBlank="1" type="list">
      <formula1>=DetScaleList</formula1>
    </dataValidation>
    <dataValidation sqref="Z14:Z113" showDropDown="0" showInputMessage="0" showErrorMessage="1" allowBlank="1" type="list">
      <formula1>=SevList</formula1>
    </dataValidation>
    <dataValidation sqref="AA14:AA113" showDropDown="0" showInputMessage="0" showErrorMessage="1" allowBlank="1" type="list">
      <formula1>=OccList</formula1>
    </dataValidation>
    <dataValidation sqref="AB14:AB113" showDropDown="0" showInputMessage="0" showErrorMessage="1" allowBlank="1" type="list">
      <formula1>=DetScaleList</formula1>
    </dataValidation>
  </dataValidations>
  <pageMargins left="0.75" right="0.75" top="1" bottom="1" header="0.5" footer="0.5"/>
  <pageSetup orientation="landscape" paperSize="8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AH113"/>
  <sheetViews>
    <sheetView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22" customWidth="1" min="4" max="4"/>
    <col width="26" customWidth="1" min="5" max="5"/>
    <col width="26" customWidth="1" min="6" max="6"/>
    <col outlineLevel="1" width="26" customWidth="1" min="7" max="9"/>
    <col width="38" customWidth="1" min="10" max="10"/>
    <col width="28" customWidth="1" min="11" max="11"/>
    <col width="28" customWidth="1" min="12" max="12"/>
    <col width="32" customWidth="1" min="13" max="13"/>
    <col width="18" customWidth="1" min="14" max="14"/>
    <col width="30" customWidth="1" min="15" max="15"/>
    <col width="18" customWidth="1" min="16" max="16"/>
    <col width="28" customWidth="1" min="17" max="17"/>
    <col width="18" customWidth="1" min="18" max="18"/>
    <col width="7" customWidth="1" min="19" max="19"/>
    <col width="6" customWidth="1" min="20" max="20"/>
    <col width="9" customWidth="1" min="21" max="21"/>
    <col width="34" customWidth="1" min="22" max="22"/>
    <col width="22" customWidth="1" min="23" max="23"/>
    <col width="14" customWidth="1" min="24" max="24"/>
    <col width="12" customWidth="1" min="25" max="25"/>
    <col width="18" customWidth="1" min="26" max="26"/>
    <col width="18" customWidth="1" min="27" max="27"/>
    <col width="18" customWidth="1" min="28" max="28"/>
    <col width="7" customWidth="1" min="29" max="29"/>
    <col width="6" customWidth="1" min="30" max="30"/>
    <col width="12" customWidth="1" min="31" max="31"/>
    <col width="24" customWidth="1" min="32" max="32"/>
    <col hidden="1" width="13" customWidth="1" min="34" max="34"/>
  </cols>
  <sheetData>
    <row r="1">
      <c r="A1" s="22" t="inlineStr">
        <is>
          <t>FMECA WORKSHEET</t>
        </is>
      </c>
      <c r="F1" s="23">
        <f>Cover!B7</f>
        <v/>
      </c>
    </row>
    <row r="3">
      <c r="A3" s="24" t="inlineStr">
        <is>
          <t>Select system ▸</t>
        </is>
      </c>
      <c r="B3" s="8" t="n"/>
      <c r="C3" s="9" t="n"/>
      <c r="D3" s="25" t="n"/>
      <c r="K3" s="24" t="inlineStr">
        <is>
          <t>Session date</t>
        </is>
      </c>
      <c r="L3" s="13" t="n"/>
      <c r="N3" s="24" t="inlineStr">
        <is>
          <t>Equipment items</t>
        </is>
      </c>
      <c r="O3" s="20">
        <f>IF($D$3="","",COUNTIFS(EqSys,$D$3,EqTag,"?*"))</f>
        <v/>
      </c>
    </row>
    <row r="4" ht="16" customHeight="1">
      <c r="A4" s="10" t="inlineStr">
        <is>
          <t>System title</t>
        </is>
      </c>
      <c r="D4" s="6">
        <f>IF($D$3="","",IFERROR(INDEX(Systems!$B$5:$B$34,MATCH($D$3,Systems!$C$5:$C$34,0))&amp;"",""))</f>
        <v/>
      </c>
    </row>
    <row r="5" ht="30" customHeight="1">
      <c r="A5" s="10" t="inlineStr">
        <is>
          <t>Function / performance standard</t>
        </is>
      </c>
      <c r="D5" s="6">
        <f>IF($D$3="","",IFERROR(INDEX(Systems!$D$5:$D$34,MATCH($D$3,Systems!$C$5:$C$34,0))&amp;"",""))</f>
        <v/>
      </c>
    </row>
    <row r="6" ht="30" customHeight="1">
      <c r="A6" s="10" t="inlineStr">
        <is>
          <t>Operating context</t>
        </is>
      </c>
      <c r="D6" s="6">
        <f>IF($D$3="","",IFERROR(INDEX(Systems!$E$5:$E$34,MATCH($D$3,Systems!$C$5:$C$34,0))&amp;"",""))</f>
        <v/>
      </c>
    </row>
    <row r="7" ht="30" customHeight="1">
      <c r="A7" s="10" t="inlineStr">
        <is>
          <t>System boundaries</t>
        </is>
      </c>
      <c r="D7" s="6">
        <f>IF($D$3="","",IFERROR(INDEX(Systems!$F$5:$F$34,MATCH($D$3,Systems!$C$5:$C$34,0))&amp;"",""))</f>
        <v/>
      </c>
    </row>
    <row r="8" ht="16" customHeight="1">
      <c r="A8" s="10" t="inlineStr">
        <is>
          <t>P&amp;IDs / drawings</t>
        </is>
      </c>
      <c r="D8" s="6">
        <f>IF($D$3="","",IFERROR(INDEX(Systems!$G$5:$G$34,MATCH($D$3,Systems!$C$5:$C$34,0))&amp;"",""))</f>
        <v/>
      </c>
    </row>
    <row r="9" ht="16" customHeight="1">
      <c r="A9" s="10" t="inlineStr">
        <is>
          <t>Related HAZOP node(s)</t>
        </is>
      </c>
      <c r="D9" s="6">
        <f>IF($D$3="","",IFERROR(INDEX(Systems!$H$5:$H$34,MATCH($D$3,Systems!$C$5:$C$34,0))&amp;"",""))</f>
        <v/>
      </c>
    </row>
    <row r="11" ht="26" customHeight="1">
      <c r="A11" s="26" t="inlineStr">
        <is>
          <t>ONE ROW PER FAILURE MODE. Pick the equipment tag (tags of the selected system), component and failure mode; pick up to 3 causes (listed line by line in 'Failure causes / mechanisms'). Rate S, O, D – RPN, Action Priority and 'Action required?' are calculated. Rate again after the recommended action. Use the [–] button above the Cause columns to collapse them.</t>
        </is>
      </c>
    </row>
    <row r="12">
      <c r="A12" s="7" t="inlineStr">
        <is>
          <t>ITEM / FAILURE MODE</t>
        </is>
      </c>
      <c r="B12" s="27" t="n"/>
      <c r="C12" s="27" t="n"/>
      <c r="D12" s="27" t="n"/>
      <c r="E12" s="27" t="n"/>
      <c r="F12" s="27" t="n"/>
      <c r="G12" s="7" t="inlineStr">
        <is>
          <t>CAUSE PICK-LIST</t>
        </is>
      </c>
      <c r="H12" s="27" t="n"/>
      <c r="I12" s="27" t="n"/>
      <c r="J12" s="7" t="inlineStr">
        <is>
          <t>CAUSES &amp; EFFECTS</t>
        </is>
      </c>
      <c r="K12" s="27" t="n"/>
      <c r="L12" s="27" t="n"/>
      <c r="M12" s="27" t="n"/>
      <c r="N12" s="7" t="inlineStr">
        <is>
          <t>CRITICALITY – CURRENT</t>
        </is>
      </c>
      <c r="O12" s="27" t="n"/>
      <c r="P12" s="27" t="n"/>
      <c r="Q12" s="27" t="n"/>
      <c r="R12" s="27" t="n"/>
      <c r="S12" s="27" t="n"/>
      <c r="T12" s="27" t="n"/>
      <c r="U12" s="27" t="n"/>
      <c r="V12" s="7" t="inlineStr">
        <is>
          <t>RECOMMENDED ACTIONS</t>
        </is>
      </c>
      <c r="W12" s="27" t="n"/>
      <c r="X12" s="27" t="n"/>
      <c r="Y12" s="27" t="n"/>
      <c r="Z12" s="7" t="inlineStr">
        <is>
          <t>CRITICALITY – AFTER ACTION</t>
        </is>
      </c>
      <c r="AA12" s="27" t="n"/>
      <c r="AB12" s="27" t="n"/>
      <c r="AC12" s="27" t="n"/>
      <c r="AD12" s="27" t="n"/>
      <c r="AE12" s="7" t="inlineStr">
        <is>
          <t>LINKS</t>
        </is>
      </c>
      <c r="AF12" s="27" t="n"/>
    </row>
    <row r="13" ht="42" customHeight="1">
      <c r="A13" s="7" t="inlineStr">
        <is>
          <t>Ref</t>
        </is>
      </c>
      <c r="B13" s="7" t="inlineStr">
        <is>
          <t>Equipment tag</t>
        </is>
      </c>
      <c r="C13" s="7" t="inlineStr">
        <is>
          <t>Equipment type (auto)</t>
        </is>
      </c>
      <c r="D13" s="7" t="inlineStr">
        <is>
          <t>Component / maintainable item</t>
        </is>
      </c>
      <c r="E13" s="7" t="inlineStr">
        <is>
          <t>Function of item</t>
        </is>
      </c>
      <c r="F13" s="7" t="inlineStr">
        <is>
          <t>Failure mode</t>
        </is>
      </c>
      <c r="G13" s="28" t="inlineStr">
        <is>
          <t>Cause 1</t>
        </is>
      </c>
      <c r="H13" s="28" t="inlineStr">
        <is>
          <t>Cause 2</t>
        </is>
      </c>
      <c r="I13" s="28" t="inlineStr">
        <is>
          <t>Cause 3</t>
        </is>
      </c>
      <c r="J13" s="7" t="inlineStr">
        <is>
          <t>Failure causes / mechanisms</t>
        </is>
      </c>
      <c r="K13" s="7" t="inlineStr">
        <is>
          <t>Local effect</t>
        </is>
      </c>
      <c r="L13" s="7" t="inlineStr">
        <is>
          <t>System effect</t>
        </is>
      </c>
      <c r="M13" s="7" t="inlineStr">
        <is>
          <t>End effect (safety / environment / production)</t>
        </is>
      </c>
      <c r="N13" s="7" t="inlineStr">
        <is>
          <t>Severity (S)</t>
        </is>
      </c>
      <c r="O13" s="7" t="inlineStr">
        <is>
          <t>Current prevention controls</t>
        </is>
      </c>
      <c r="P13" s="7" t="inlineStr">
        <is>
          <t>Occurrence (O)</t>
        </is>
      </c>
      <c r="Q13" s="7" t="inlineStr">
        <is>
          <t>Current detection method</t>
        </is>
      </c>
      <c r="R13" s="7" t="inlineStr">
        <is>
          <t>Detection (D)</t>
        </is>
      </c>
      <c r="S13" s="7" t="inlineStr">
        <is>
          <t>RPN</t>
        </is>
      </c>
      <c r="T13" s="7" t="inlineStr">
        <is>
          <t>AP</t>
        </is>
      </c>
      <c r="U13" s="7" t="inlineStr">
        <is>
          <t>Action required?</t>
        </is>
      </c>
      <c r="V13" s="7" t="inlineStr">
        <is>
          <t>Recommended action</t>
        </is>
      </c>
      <c r="W13" s="7" t="inlineStr">
        <is>
          <t>Action / task type</t>
        </is>
      </c>
      <c r="X13" s="7" t="inlineStr">
        <is>
          <t>Action by</t>
        </is>
      </c>
      <c r="Y13" s="7" t="inlineStr">
        <is>
          <t>Due date</t>
        </is>
      </c>
      <c r="Z13" s="7" t="inlineStr">
        <is>
          <t>Severity (S)</t>
        </is>
      </c>
      <c r="AA13" s="7" t="inlineStr">
        <is>
          <t>Occurrence (O)</t>
        </is>
      </c>
      <c r="AB13" s="7" t="inlineStr">
        <is>
          <t>Detection (D)</t>
        </is>
      </c>
      <c r="AC13" s="7" t="inlineStr">
        <is>
          <t>RPN after</t>
        </is>
      </c>
      <c r="AD13" s="7" t="inlineStr">
        <is>
          <t>AP after</t>
        </is>
      </c>
      <c r="AE13" s="7" t="inlineStr">
        <is>
          <t>HAZOP ref.</t>
        </is>
      </c>
      <c r="AF13" s="7" t="inlineStr">
        <is>
          <t>Comments</t>
        </is>
      </c>
    </row>
    <row r="14">
      <c r="A14" s="20">
        <f>IF(F14="","",LEFT($D$3,3)&amp;"-"&amp;TEXT(COUNTIF(F$14:F14,"?*"),"00"))</f>
        <v/>
      </c>
      <c r="B14" s="4" t="n"/>
      <c r="C14" s="5">
        <f>IF(B14="","",IFERROR(INDEX(EqTypeCol,MATCH(B14,EqTag,0)),"Tag not in register"))</f>
        <v/>
      </c>
      <c r="D14" s="4" t="n"/>
      <c r="E14" s="4" t="n"/>
      <c r="F14" s="4" t="n"/>
      <c r="G14" s="4" t="n"/>
      <c r="H14" s="4" t="n"/>
      <c r="I14" s="4" t="n"/>
      <c r="J14" s="5">
        <f>_xlfn.TEXTJOIN(CHAR(10),TRUE,IF(G14="","","• "&amp;G14),IF(H14="","","• "&amp;H14),IF(I14="","","• "&amp;I14))</f>
        <v/>
      </c>
      <c r="K14" s="4" t="n"/>
      <c r="L14" s="4" t="n"/>
      <c r="M14" s="4" t="n"/>
      <c r="N14" s="16" t="n"/>
      <c r="O14" s="4" t="n"/>
      <c r="P14" s="16" t="n"/>
      <c r="Q14" s="4" t="n"/>
      <c r="R14" s="16" t="n"/>
      <c r="S14" s="20">
        <f>IF(OR(N14="",P14="",R14=""),"",(--TRIM(LEFT(N14,2)))*(--TRIM(LEFT(P14,2)))*(--TRIM(LEFT(R14,2))))</f>
        <v/>
      </c>
      <c r="T14" s="20">
        <f>IF(OR(N14="",P14="",R14=""),"",INDEX(APGrid,COUNTIF(APS,"&gt;"&amp;(--TRIM(LEFT(N14,2))))*5+COUNTIF(APO,"&gt;"&amp;(--TRIM(LEFT(P14,2))))+1,COUNTIF(APD,"&gt;"&amp;(--TRIM(LEFT(R14,2))))+1))</f>
        <v/>
      </c>
      <c r="U14" s="20">
        <f>IF(S14="","",IF(OR((--TRIM(LEFT(N14,2)))&gt;=SThr,S14&gt;=RPNThr,T14="H"),"Yes","No"))</f>
        <v/>
      </c>
      <c r="V14" s="4" t="n"/>
      <c r="W14" s="4" t="n"/>
      <c r="X14" s="4" t="n"/>
      <c r="Y14" s="29" t="n"/>
      <c r="Z14" s="16" t="n"/>
      <c r="AA14" s="16" t="n"/>
      <c r="AB14" s="16" t="n"/>
      <c r="AC14" s="20">
        <f>IF(OR(Z14="",AA14="",AB14=""),"",(--TRIM(LEFT(Z14,2)))*(--TRIM(LEFT(AA14,2)))*(--TRIM(LEFT(AB14,2))))</f>
        <v/>
      </c>
      <c r="AD14" s="20">
        <f>IF(OR(Z14="",AA14="",AB14=""),"",INDEX(APGrid,COUNTIF(APS,"&gt;"&amp;(--TRIM(LEFT(Z14,2))))*5+COUNTIF(APO,"&gt;"&amp;(--TRIM(LEFT(AA14,2))))+1,COUNTIF(APD,"&gt;"&amp;(--TRIM(LEFT(AB14,2))))+1))</f>
        <v/>
      </c>
      <c r="AE14" s="4" t="n"/>
      <c r="AF14" s="4" t="n"/>
      <c r="AH14">
        <f>IFERROR(INDEX(EqTag,_xlfn.AGGREGATE(15,6,(ROW(EqTag)-4)/((EqSys=$D$3)*(EqTag&lt;&gt;"")),ROWS($AH$14:AH14))),"")</f>
        <v/>
      </c>
    </row>
    <row r="15">
      <c r="A15" s="20">
        <f>IF(F15="","",LEFT($D$3,3)&amp;"-"&amp;TEXT(COUNTIF(F$14:F15,"?*"),"00"))</f>
        <v/>
      </c>
      <c r="B15" s="4" t="n"/>
      <c r="C15" s="5">
        <f>IF(B15="","",IFERROR(INDEX(EqTypeCol,MATCH(B15,EqTag,0)),"Tag not in register"))</f>
        <v/>
      </c>
      <c r="D15" s="4" t="n"/>
      <c r="E15" s="4" t="n"/>
      <c r="F15" s="4" t="n"/>
      <c r="G15" s="4" t="n"/>
      <c r="H15" s="4" t="n"/>
      <c r="I15" s="4" t="n"/>
      <c r="J15" s="5">
        <f>_xlfn.TEXTJOIN(CHAR(10),TRUE,IF(G15="","","• "&amp;G15),IF(H15="","","• "&amp;H15),IF(I15="","","• "&amp;I15))</f>
        <v/>
      </c>
      <c r="K15" s="4" t="n"/>
      <c r="L15" s="4" t="n"/>
      <c r="M15" s="4" t="n"/>
      <c r="N15" s="16" t="n"/>
      <c r="O15" s="4" t="n"/>
      <c r="P15" s="16" t="n"/>
      <c r="Q15" s="4" t="n"/>
      <c r="R15" s="16" t="n"/>
      <c r="S15" s="20">
        <f>IF(OR(N15="",P15="",R15=""),"",(--TRIM(LEFT(N15,2)))*(--TRIM(LEFT(P15,2)))*(--TRIM(LEFT(R15,2))))</f>
        <v/>
      </c>
      <c r="T15" s="20">
        <f>IF(OR(N15="",P15="",R15=""),"",INDEX(APGrid,COUNTIF(APS,"&gt;"&amp;(--TRIM(LEFT(N15,2))))*5+COUNTIF(APO,"&gt;"&amp;(--TRIM(LEFT(P15,2))))+1,COUNTIF(APD,"&gt;"&amp;(--TRIM(LEFT(R15,2))))+1))</f>
        <v/>
      </c>
      <c r="U15" s="20">
        <f>IF(S15="","",IF(OR((--TRIM(LEFT(N15,2)))&gt;=SThr,S15&gt;=RPNThr,T15="H"),"Yes","No"))</f>
        <v/>
      </c>
      <c r="V15" s="4" t="n"/>
      <c r="W15" s="4" t="n"/>
      <c r="X15" s="4" t="n"/>
      <c r="Y15" s="29" t="n"/>
      <c r="Z15" s="16" t="n"/>
      <c r="AA15" s="16" t="n"/>
      <c r="AB15" s="16" t="n"/>
      <c r="AC15" s="20">
        <f>IF(OR(Z15="",AA15="",AB15=""),"",(--TRIM(LEFT(Z15,2)))*(--TRIM(LEFT(AA15,2)))*(--TRIM(LEFT(AB15,2))))</f>
        <v/>
      </c>
      <c r="AD15" s="20">
        <f>IF(OR(Z15="",AA15="",AB15=""),"",INDEX(APGrid,COUNTIF(APS,"&gt;"&amp;(--TRIM(LEFT(Z15,2))))*5+COUNTIF(APO,"&gt;"&amp;(--TRIM(LEFT(AA15,2))))+1,COUNTIF(APD,"&gt;"&amp;(--TRIM(LEFT(AB15,2))))+1))</f>
        <v/>
      </c>
      <c r="AE15" s="4" t="n"/>
      <c r="AF15" s="4" t="n"/>
      <c r="AH15">
        <f>IFERROR(INDEX(EqTag,_xlfn.AGGREGATE(15,6,(ROW(EqTag)-4)/((EqSys=$D$3)*(EqTag&lt;&gt;"")),ROWS($AH$14:AH15))),"")</f>
        <v/>
      </c>
    </row>
    <row r="16">
      <c r="A16" s="20">
        <f>IF(F16="","",LEFT($D$3,3)&amp;"-"&amp;TEXT(COUNTIF(F$14:F16,"?*"),"00"))</f>
        <v/>
      </c>
      <c r="B16" s="4" t="n"/>
      <c r="C16" s="5">
        <f>IF(B16="","",IFERROR(INDEX(EqTypeCol,MATCH(B16,EqTag,0)),"Tag not in register"))</f>
        <v/>
      </c>
      <c r="D16" s="4" t="n"/>
      <c r="E16" s="4" t="n"/>
      <c r="F16" s="4" t="n"/>
      <c r="G16" s="4" t="n"/>
      <c r="H16" s="4" t="n"/>
      <c r="I16" s="4" t="n"/>
      <c r="J16" s="5">
        <f>_xlfn.TEXTJOIN(CHAR(10),TRUE,IF(G16="","","• "&amp;G16),IF(H16="","","• "&amp;H16),IF(I16="","","• "&amp;I16))</f>
        <v/>
      </c>
      <c r="K16" s="4" t="n"/>
      <c r="L16" s="4" t="n"/>
      <c r="M16" s="4" t="n"/>
      <c r="N16" s="16" t="n"/>
      <c r="O16" s="4" t="n"/>
      <c r="P16" s="16" t="n"/>
      <c r="Q16" s="4" t="n"/>
      <c r="R16" s="16" t="n"/>
      <c r="S16" s="20">
        <f>IF(OR(N16="",P16="",R16=""),"",(--TRIM(LEFT(N16,2)))*(--TRIM(LEFT(P16,2)))*(--TRIM(LEFT(R16,2))))</f>
        <v/>
      </c>
      <c r="T16" s="20">
        <f>IF(OR(N16="",P16="",R16=""),"",INDEX(APGrid,COUNTIF(APS,"&gt;"&amp;(--TRIM(LEFT(N16,2))))*5+COUNTIF(APO,"&gt;"&amp;(--TRIM(LEFT(P16,2))))+1,COUNTIF(APD,"&gt;"&amp;(--TRIM(LEFT(R16,2))))+1))</f>
        <v/>
      </c>
      <c r="U16" s="20">
        <f>IF(S16="","",IF(OR((--TRIM(LEFT(N16,2)))&gt;=SThr,S16&gt;=RPNThr,T16="H"),"Yes","No"))</f>
        <v/>
      </c>
      <c r="V16" s="4" t="n"/>
      <c r="W16" s="4" t="n"/>
      <c r="X16" s="4" t="n"/>
      <c r="Y16" s="29" t="n"/>
      <c r="Z16" s="16" t="n"/>
      <c r="AA16" s="16" t="n"/>
      <c r="AB16" s="16" t="n"/>
      <c r="AC16" s="20">
        <f>IF(OR(Z16="",AA16="",AB16=""),"",(--TRIM(LEFT(Z16,2)))*(--TRIM(LEFT(AA16,2)))*(--TRIM(LEFT(AB16,2))))</f>
        <v/>
      </c>
      <c r="AD16" s="20">
        <f>IF(OR(Z16="",AA16="",AB16=""),"",INDEX(APGrid,COUNTIF(APS,"&gt;"&amp;(--TRIM(LEFT(Z16,2))))*5+COUNTIF(APO,"&gt;"&amp;(--TRIM(LEFT(AA16,2))))+1,COUNTIF(APD,"&gt;"&amp;(--TRIM(LEFT(AB16,2))))+1))</f>
        <v/>
      </c>
      <c r="AE16" s="4" t="n"/>
      <c r="AF16" s="4" t="n"/>
      <c r="AH16">
        <f>IFERROR(INDEX(EqTag,_xlfn.AGGREGATE(15,6,(ROW(EqTag)-4)/((EqSys=$D$3)*(EqTag&lt;&gt;"")),ROWS($AH$14:AH16))),"")</f>
        <v/>
      </c>
    </row>
    <row r="17">
      <c r="A17" s="20">
        <f>IF(F17="","",LEFT($D$3,3)&amp;"-"&amp;TEXT(COUNTIF(F$14:F17,"?*"),"00"))</f>
        <v/>
      </c>
      <c r="B17" s="4" t="n"/>
      <c r="C17" s="5">
        <f>IF(B17="","",IFERROR(INDEX(EqTypeCol,MATCH(B17,EqTag,0)),"Tag not in register"))</f>
        <v/>
      </c>
      <c r="D17" s="4" t="n"/>
      <c r="E17" s="4" t="n"/>
      <c r="F17" s="4" t="n"/>
      <c r="G17" s="4" t="n"/>
      <c r="H17" s="4" t="n"/>
      <c r="I17" s="4" t="n"/>
      <c r="J17" s="5">
        <f>_xlfn.TEXTJOIN(CHAR(10),TRUE,IF(G17="","","• "&amp;G17),IF(H17="","","• "&amp;H17),IF(I17="","","• "&amp;I17))</f>
        <v/>
      </c>
      <c r="K17" s="4" t="n"/>
      <c r="L17" s="4" t="n"/>
      <c r="M17" s="4" t="n"/>
      <c r="N17" s="16" t="n"/>
      <c r="O17" s="4" t="n"/>
      <c r="P17" s="16" t="n"/>
      <c r="Q17" s="4" t="n"/>
      <c r="R17" s="16" t="n"/>
      <c r="S17" s="20">
        <f>IF(OR(N17="",P17="",R17=""),"",(--TRIM(LEFT(N17,2)))*(--TRIM(LEFT(P17,2)))*(--TRIM(LEFT(R17,2))))</f>
        <v/>
      </c>
      <c r="T17" s="20">
        <f>IF(OR(N17="",P17="",R17=""),"",INDEX(APGrid,COUNTIF(APS,"&gt;"&amp;(--TRIM(LEFT(N17,2))))*5+COUNTIF(APO,"&gt;"&amp;(--TRIM(LEFT(P17,2))))+1,COUNTIF(APD,"&gt;"&amp;(--TRIM(LEFT(R17,2))))+1))</f>
        <v/>
      </c>
      <c r="U17" s="20">
        <f>IF(S17="","",IF(OR((--TRIM(LEFT(N17,2)))&gt;=SThr,S17&gt;=RPNThr,T17="H"),"Yes","No"))</f>
        <v/>
      </c>
      <c r="V17" s="4" t="n"/>
      <c r="W17" s="4" t="n"/>
      <c r="X17" s="4" t="n"/>
      <c r="Y17" s="29" t="n"/>
      <c r="Z17" s="16" t="n"/>
      <c r="AA17" s="16" t="n"/>
      <c r="AB17" s="16" t="n"/>
      <c r="AC17" s="20">
        <f>IF(OR(Z17="",AA17="",AB17=""),"",(--TRIM(LEFT(Z17,2)))*(--TRIM(LEFT(AA17,2)))*(--TRIM(LEFT(AB17,2))))</f>
        <v/>
      </c>
      <c r="AD17" s="20">
        <f>IF(OR(Z17="",AA17="",AB17=""),"",INDEX(APGrid,COUNTIF(APS,"&gt;"&amp;(--TRIM(LEFT(Z17,2))))*5+COUNTIF(APO,"&gt;"&amp;(--TRIM(LEFT(AA17,2))))+1,COUNTIF(APD,"&gt;"&amp;(--TRIM(LEFT(AB17,2))))+1))</f>
        <v/>
      </c>
      <c r="AE17" s="4" t="n"/>
      <c r="AF17" s="4" t="n"/>
      <c r="AH17">
        <f>IFERROR(INDEX(EqTag,_xlfn.AGGREGATE(15,6,(ROW(EqTag)-4)/((EqSys=$D$3)*(EqTag&lt;&gt;"")),ROWS($AH$14:AH17))),"")</f>
        <v/>
      </c>
    </row>
    <row r="18">
      <c r="A18" s="20">
        <f>IF(F18="","",LEFT($D$3,3)&amp;"-"&amp;TEXT(COUNTIF(F$14:F18,"?*"),"00"))</f>
        <v/>
      </c>
      <c r="B18" s="4" t="n"/>
      <c r="C18" s="5">
        <f>IF(B18="","",IFERROR(INDEX(EqTypeCol,MATCH(B18,EqTag,0)),"Tag not in register"))</f>
        <v/>
      </c>
      <c r="D18" s="4" t="n"/>
      <c r="E18" s="4" t="n"/>
      <c r="F18" s="4" t="n"/>
      <c r="G18" s="4" t="n"/>
      <c r="H18" s="4" t="n"/>
      <c r="I18" s="4" t="n"/>
      <c r="J18" s="5">
        <f>_xlfn.TEXTJOIN(CHAR(10),TRUE,IF(G18="","","• "&amp;G18),IF(H18="","","• "&amp;H18),IF(I18="","","• "&amp;I18))</f>
        <v/>
      </c>
      <c r="K18" s="4" t="n"/>
      <c r="L18" s="4" t="n"/>
      <c r="M18" s="4" t="n"/>
      <c r="N18" s="16" t="n"/>
      <c r="O18" s="4" t="n"/>
      <c r="P18" s="16" t="n"/>
      <c r="Q18" s="4" t="n"/>
      <c r="R18" s="16" t="n"/>
      <c r="S18" s="20">
        <f>IF(OR(N18="",P18="",R18=""),"",(--TRIM(LEFT(N18,2)))*(--TRIM(LEFT(P18,2)))*(--TRIM(LEFT(R18,2))))</f>
        <v/>
      </c>
      <c r="T18" s="20">
        <f>IF(OR(N18="",P18="",R18=""),"",INDEX(APGrid,COUNTIF(APS,"&gt;"&amp;(--TRIM(LEFT(N18,2))))*5+COUNTIF(APO,"&gt;"&amp;(--TRIM(LEFT(P18,2))))+1,COUNTIF(APD,"&gt;"&amp;(--TRIM(LEFT(R18,2))))+1))</f>
        <v/>
      </c>
      <c r="U18" s="20">
        <f>IF(S18="","",IF(OR((--TRIM(LEFT(N18,2)))&gt;=SThr,S18&gt;=RPNThr,T18="H"),"Yes","No"))</f>
        <v/>
      </c>
      <c r="V18" s="4" t="n"/>
      <c r="W18" s="4" t="n"/>
      <c r="X18" s="4" t="n"/>
      <c r="Y18" s="29" t="n"/>
      <c r="Z18" s="16" t="n"/>
      <c r="AA18" s="16" t="n"/>
      <c r="AB18" s="16" t="n"/>
      <c r="AC18" s="20">
        <f>IF(OR(Z18="",AA18="",AB18=""),"",(--TRIM(LEFT(Z18,2)))*(--TRIM(LEFT(AA18,2)))*(--TRIM(LEFT(AB18,2))))</f>
        <v/>
      </c>
      <c r="AD18" s="20">
        <f>IF(OR(Z18="",AA18="",AB18=""),"",INDEX(APGrid,COUNTIF(APS,"&gt;"&amp;(--TRIM(LEFT(Z18,2))))*5+COUNTIF(APO,"&gt;"&amp;(--TRIM(LEFT(AA18,2))))+1,COUNTIF(APD,"&gt;"&amp;(--TRIM(LEFT(AB18,2))))+1))</f>
        <v/>
      </c>
      <c r="AE18" s="4" t="n"/>
      <c r="AF18" s="4" t="n"/>
      <c r="AH18">
        <f>IFERROR(INDEX(EqTag,_xlfn.AGGREGATE(15,6,(ROW(EqTag)-4)/((EqSys=$D$3)*(EqTag&lt;&gt;"")),ROWS($AH$14:AH18))),"")</f>
        <v/>
      </c>
    </row>
    <row r="19">
      <c r="A19" s="20">
        <f>IF(F19="","",LEFT($D$3,3)&amp;"-"&amp;TEXT(COUNTIF(F$14:F19,"?*"),"00"))</f>
        <v/>
      </c>
      <c r="B19" s="4" t="n"/>
      <c r="C19" s="5">
        <f>IF(B19="","",IFERROR(INDEX(EqTypeCol,MATCH(B19,EqTag,0)),"Tag not in register"))</f>
        <v/>
      </c>
      <c r="D19" s="4" t="n"/>
      <c r="E19" s="4" t="n"/>
      <c r="F19" s="4" t="n"/>
      <c r="G19" s="4" t="n"/>
      <c r="H19" s="4" t="n"/>
      <c r="I19" s="4" t="n"/>
      <c r="J19" s="5">
        <f>_xlfn.TEXTJOIN(CHAR(10),TRUE,IF(G19="","","• "&amp;G19),IF(H19="","","• "&amp;H19),IF(I19="","","• "&amp;I19))</f>
        <v/>
      </c>
      <c r="K19" s="4" t="n"/>
      <c r="L19" s="4" t="n"/>
      <c r="M19" s="4" t="n"/>
      <c r="N19" s="16" t="n"/>
      <c r="O19" s="4" t="n"/>
      <c r="P19" s="16" t="n"/>
      <c r="Q19" s="4" t="n"/>
      <c r="R19" s="16" t="n"/>
      <c r="S19" s="20">
        <f>IF(OR(N19="",P19="",R19=""),"",(--TRIM(LEFT(N19,2)))*(--TRIM(LEFT(P19,2)))*(--TRIM(LEFT(R19,2))))</f>
        <v/>
      </c>
      <c r="T19" s="20">
        <f>IF(OR(N19="",P19="",R19=""),"",INDEX(APGrid,COUNTIF(APS,"&gt;"&amp;(--TRIM(LEFT(N19,2))))*5+COUNTIF(APO,"&gt;"&amp;(--TRIM(LEFT(P19,2))))+1,COUNTIF(APD,"&gt;"&amp;(--TRIM(LEFT(R19,2))))+1))</f>
        <v/>
      </c>
      <c r="U19" s="20">
        <f>IF(S19="","",IF(OR((--TRIM(LEFT(N19,2)))&gt;=SThr,S19&gt;=RPNThr,T19="H"),"Yes","No"))</f>
        <v/>
      </c>
      <c r="V19" s="4" t="n"/>
      <c r="W19" s="4" t="n"/>
      <c r="X19" s="4" t="n"/>
      <c r="Y19" s="29" t="n"/>
      <c r="Z19" s="16" t="n"/>
      <c r="AA19" s="16" t="n"/>
      <c r="AB19" s="16" t="n"/>
      <c r="AC19" s="20">
        <f>IF(OR(Z19="",AA19="",AB19=""),"",(--TRIM(LEFT(Z19,2)))*(--TRIM(LEFT(AA19,2)))*(--TRIM(LEFT(AB19,2))))</f>
        <v/>
      </c>
      <c r="AD19" s="20">
        <f>IF(OR(Z19="",AA19="",AB19=""),"",INDEX(APGrid,COUNTIF(APS,"&gt;"&amp;(--TRIM(LEFT(Z19,2))))*5+COUNTIF(APO,"&gt;"&amp;(--TRIM(LEFT(AA19,2))))+1,COUNTIF(APD,"&gt;"&amp;(--TRIM(LEFT(AB19,2))))+1))</f>
        <v/>
      </c>
      <c r="AE19" s="4" t="n"/>
      <c r="AF19" s="4" t="n"/>
      <c r="AH19">
        <f>IFERROR(INDEX(EqTag,_xlfn.AGGREGATE(15,6,(ROW(EqTag)-4)/((EqSys=$D$3)*(EqTag&lt;&gt;"")),ROWS($AH$14:AH19))),"")</f>
        <v/>
      </c>
    </row>
    <row r="20">
      <c r="A20" s="20">
        <f>IF(F20="","",LEFT($D$3,3)&amp;"-"&amp;TEXT(COUNTIF(F$14:F20,"?*"),"00"))</f>
        <v/>
      </c>
      <c r="B20" s="4" t="n"/>
      <c r="C20" s="5">
        <f>IF(B20="","",IFERROR(INDEX(EqTypeCol,MATCH(B20,EqTag,0)),"Tag not in register"))</f>
        <v/>
      </c>
      <c r="D20" s="4" t="n"/>
      <c r="E20" s="4" t="n"/>
      <c r="F20" s="4" t="n"/>
      <c r="G20" s="4" t="n"/>
      <c r="H20" s="4" t="n"/>
      <c r="I20" s="4" t="n"/>
      <c r="J20" s="5">
        <f>_xlfn.TEXTJOIN(CHAR(10),TRUE,IF(G20="","","• "&amp;G20),IF(H20="","","• "&amp;H20),IF(I20="","","• "&amp;I20))</f>
        <v/>
      </c>
      <c r="K20" s="4" t="n"/>
      <c r="L20" s="4" t="n"/>
      <c r="M20" s="4" t="n"/>
      <c r="N20" s="16" t="n"/>
      <c r="O20" s="4" t="n"/>
      <c r="P20" s="16" t="n"/>
      <c r="Q20" s="4" t="n"/>
      <c r="R20" s="16" t="n"/>
      <c r="S20" s="20">
        <f>IF(OR(N20="",P20="",R20=""),"",(--TRIM(LEFT(N20,2)))*(--TRIM(LEFT(P20,2)))*(--TRIM(LEFT(R20,2))))</f>
        <v/>
      </c>
      <c r="T20" s="20">
        <f>IF(OR(N20="",P20="",R20=""),"",INDEX(APGrid,COUNTIF(APS,"&gt;"&amp;(--TRIM(LEFT(N20,2))))*5+COUNTIF(APO,"&gt;"&amp;(--TRIM(LEFT(P20,2))))+1,COUNTIF(APD,"&gt;"&amp;(--TRIM(LEFT(R20,2))))+1))</f>
        <v/>
      </c>
      <c r="U20" s="20">
        <f>IF(S20="","",IF(OR((--TRIM(LEFT(N20,2)))&gt;=SThr,S20&gt;=RPNThr,T20="H"),"Yes","No"))</f>
        <v/>
      </c>
      <c r="V20" s="4" t="n"/>
      <c r="W20" s="4" t="n"/>
      <c r="X20" s="4" t="n"/>
      <c r="Y20" s="29" t="n"/>
      <c r="Z20" s="16" t="n"/>
      <c r="AA20" s="16" t="n"/>
      <c r="AB20" s="16" t="n"/>
      <c r="AC20" s="20">
        <f>IF(OR(Z20="",AA20="",AB20=""),"",(--TRIM(LEFT(Z20,2)))*(--TRIM(LEFT(AA20,2)))*(--TRIM(LEFT(AB20,2))))</f>
        <v/>
      </c>
      <c r="AD20" s="20">
        <f>IF(OR(Z20="",AA20="",AB20=""),"",INDEX(APGrid,COUNTIF(APS,"&gt;"&amp;(--TRIM(LEFT(Z20,2))))*5+COUNTIF(APO,"&gt;"&amp;(--TRIM(LEFT(AA20,2))))+1,COUNTIF(APD,"&gt;"&amp;(--TRIM(LEFT(AB20,2))))+1))</f>
        <v/>
      </c>
      <c r="AE20" s="4" t="n"/>
      <c r="AF20" s="4" t="n"/>
      <c r="AH20">
        <f>IFERROR(INDEX(EqTag,_xlfn.AGGREGATE(15,6,(ROW(EqTag)-4)/((EqSys=$D$3)*(EqTag&lt;&gt;"")),ROWS($AH$14:AH20))),"")</f>
        <v/>
      </c>
    </row>
    <row r="21">
      <c r="A21" s="20">
        <f>IF(F21="","",LEFT($D$3,3)&amp;"-"&amp;TEXT(COUNTIF(F$14:F21,"?*"),"00"))</f>
        <v/>
      </c>
      <c r="B21" s="4" t="n"/>
      <c r="C21" s="5">
        <f>IF(B21="","",IFERROR(INDEX(EqTypeCol,MATCH(B21,EqTag,0)),"Tag not in register"))</f>
        <v/>
      </c>
      <c r="D21" s="4" t="n"/>
      <c r="E21" s="4" t="n"/>
      <c r="F21" s="4" t="n"/>
      <c r="G21" s="4" t="n"/>
      <c r="H21" s="4" t="n"/>
      <c r="I21" s="4" t="n"/>
      <c r="J21" s="5">
        <f>_xlfn.TEXTJOIN(CHAR(10),TRUE,IF(G21="","","• "&amp;G21),IF(H21="","","• "&amp;H21),IF(I21="","","• "&amp;I21))</f>
        <v/>
      </c>
      <c r="K21" s="4" t="n"/>
      <c r="L21" s="4" t="n"/>
      <c r="M21" s="4" t="n"/>
      <c r="N21" s="16" t="n"/>
      <c r="O21" s="4" t="n"/>
      <c r="P21" s="16" t="n"/>
      <c r="Q21" s="4" t="n"/>
      <c r="R21" s="16" t="n"/>
      <c r="S21" s="20">
        <f>IF(OR(N21="",P21="",R21=""),"",(--TRIM(LEFT(N21,2)))*(--TRIM(LEFT(P21,2)))*(--TRIM(LEFT(R21,2))))</f>
        <v/>
      </c>
      <c r="T21" s="20">
        <f>IF(OR(N21="",P21="",R21=""),"",INDEX(APGrid,COUNTIF(APS,"&gt;"&amp;(--TRIM(LEFT(N21,2))))*5+COUNTIF(APO,"&gt;"&amp;(--TRIM(LEFT(P21,2))))+1,COUNTIF(APD,"&gt;"&amp;(--TRIM(LEFT(R21,2))))+1))</f>
        <v/>
      </c>
      <c r="U21" s="20">
        <f>IF(S21="","",IF(OR((--TRIM(LEFT(N21,2)))&gt;=SThr,S21&gt;=RPNThr,T21="H"),"Yes","No"))</f>
        <v/>
      </c>
      <c r="V21" s="4" t="n"/>
      <c r="W21" s="4" t="n"/>
      <c r="X21" s="4" t="n"/>
      <c r="Y21" s="29" t="n"/>
      <c r="Z21" s="16" t="n"/>
      <c r="AA21" s="16" t="n"/>
      <c r="AB21" s="16" t="n"/>
      <c r="AC21" s="20">
        <f>IF(OR(Z21="",AA21="",AB21=""),"",(--TRIM(LEFT(Z21,2)))*(--TRIM(LEFT(AA21,2)))*(--TRIM(LEFT(AB21,2))))</f>
        <v/>
      </c>
      <c r="AD21" s="20">
        <f>IF(OR(Z21="",AA21="",AB21=""),"",INDEX(APGrid,COUNTIF(APS,"&gt;"&amp;(--TRIM(LEFT(Z21,2))))*5+COUNTIF(APO,"&gt;"&amp;(--TRIM(LEFT(AA21,2))))+1,COUNTIF(APD,"&gt;"&amp;(--TRIM(LEFT(AB21,2))))+1))</f>
        <v/>
      </c>
      <c r="AE21" s="4" t="n"/>
      <c r="AF21" s="4" t="n"/>
      <c r="AH21">
        <f>IFERROR(INDEX(EqTag,_xlfn.AGGREGATE(15,6,(ROW(EqTag)-4)/((EqSys=$D$3)*(EqTag&lt;&gt;"")),ROWS($AH$14:AH21))),"")</f>
        <v/>
      </c>
    </row>
    <row r="22">
      <c r="A22" s="20">
        <f>IF(F22="","",LEFT($D$3,3)&amp;"-"&amp;TEXT(COUNTIF(F$14:F22,"?*"),"00"))</f>
        <v/>
      </c>
      <c r="B22" s="4" t="n"/>
      <c r="C22" s="5">
        <f>IF(B22="","",IFERROR(INDEX(EqTypeCol,MATCH(B22,EqTag,0)),"Tag not in register"))</f>
        <v/>
      </c>
      <c r="D22" s="4" t="n"/>
      <c r="E22" s="4" t="n"/>
      <c r="F22" s="4" t="n"/>
      <c r="G22" s="4" t="n"/>
      <c r="H22" s="4" t="n"/>
      <c r="I22" s="4" t="n"/>
      <c r="J22" s="5">
        <f>_xlfn.TEXTJOIN(CHAR(10),TRUE,IF(G22="","","• "&amp;G22),IF(H22="","","• "&amp;H22),IF(I22="","","• "&amp;I22))</f>
        <v/>
      </c>
      <c r="K22" s="4" t="n"/>
      <c r="L22" s="4" t="n"/>
      <c r="M22" s="4" t="n"/>
      <c r="N22" s="16" t="n"/>
      <c r="O22" s="4" t="n"/>
      <c r="P22" s="16" t="n"/>
      <c r="Q22" s="4" t="n"/>
      <c r="R22" s="16" t="n"/>
      <c r="S22" s="20">
        <f>IF(OR(N22="",P22="",R22=""),"",(--TRIM(LEFT(N22,2)))*(--TRIM(LEFT(P22,2)))*(--TRIM(LEFT(R22,2))))</f>
        <v/>
      </c>
      <c r="T22" s="20">
        <f>IF(OR(N22="",P22="",R22=""),"",INDEX(APGrid,COUNTIF(APS,"&gt;"&amp;(--TRIM(LEFT(N22,2))))*5+COUNTIF(APO,"&gt;"&amp;(--TRIM(LEFT(P22,2))))+1,COUNTIF(APD,"&gt;"&amp;(--TRIM(LEFT(R22,2))))+1))</f>
        <v/>
      </c>
      <c r="U22" s="20">
        <f>IF(S22="","",IF(OR((--TRIM(LEFT(N22,2)))&gt;=SThr,S22&gt;=RPNThr,T22="H"),"Yes","No"))</f>
        <v/>
      </c>
      <c r="V22" s="4" t="n"/>
      <c r="W22" s="4" t="n"/>
      <c r="X22" s="4" t="n"/>
      <c r="Y22" s="29" t="n"/>
      <c r="Z22" s="16" t="n"/>
      <c r="AA22" s="16" t="n"/>
      <c r="AB22" s="16" t="n"/>
      <c r="AC22" s="20">
        <f>IF(OR(Z22="",AA22="",AB22=""),"",(--TRIM(LEFT(Z22,2)))*(--TRIM(LEFT(AA22,2)))*(--TRIM(LEFT(AB22,2))))</f>
        <v/>
      </c>
      <c r="AD22" s="20">
        <f>IF(OR(Z22="",AA22="",AB22=""),"",INDEX(APGrid,COUNTIF(APS,"&gt;"&amp;(--TRIM(LEFT(Z22,2))))*5+COUNTIF(APO,"&gt;"&amp;(--TRIM(LEFT(AA22,2))))+1,COUNTIF(APD,"&gt;"&amp;(--TRIM(LEFT(AB22,2))))+1))</f>
        <v/>
      </c>
      <c r="AE22" s="4" t="n"/>
      <c r="AF22" s="4" t="n"/>
      <c r="AH22">
        <f>IFERROR(INDEX(EqTag,_xlfn.AGGREGATE(15,6,(ROW(EqTag)-4)/((EqSys=$D$3)*(EqTag&lt;&gt;"")),ROWS($AH$14:AH22))),"")</f>
        <v/>
      </c>
    </row>
    <row r="23">
      <c r="A23" s="20">
        <f>IF(F23="","",LEFT($D$3,3)&amp;"-"&amp;TEXT(COUNTIF(F$14:F23,"?*"),"00"))</f>
        <v/>
      </c>
      <c r="B23" s="4" t="n"/>
      <c r="C23" s="5">
        <f>IF(B23="","",IFERROR(INDEX(EqTypeCol,MATCH(B23,EqTag,0)),"Tag not in register"))</f>
        <v/>
      </c>
      <c r="D23" s="4" t="n"/>
      <c r="E23" s="4" t="n"/>
      <c r="F23" s="4" t="n"/>
      <c r="G23" s="4" t="n"/>
      <c r="H23" s="4" t="n"/>
      <c r="I23" s="4" t="n"/>
      <c r="J23" s="5">
        <f>_xlfn.TEXTJOIN(CHAR(10),TRUE,IF(G23="","","• "&amp;G23),IF(H23="","","• "&amp;H23),IF(I23="","","• "&amp;I23))</f>
        <v/>
      </c>
      <c r="K23" s="4" t="n"/>
      <c r="L23" s="4" t="n"/>
      <c r="M23" s="4" t="n"/>
      <c r="N23" s="16" t="n"/>
      <c r="O23" s="4" t="n"/>
      <c r="P23" s="16" t="n"/>
      <c r="Q23" s="4" t="n"/>
      <c r="R23" s="16" t="n"/>
      <c r="S23" s="20">
        <f>IF(OR(N23="",P23="",R23=""),"",(--TRIM(LEFT(N23,2)))*(--TRIM(LEFT(P23,2)))*(--TRIM(LEFT(R23,2))))</f>
        <v/>
      </c>
      <c r="T23" s="20">
        <f>IF(OR(N23="",P23="",R23=""),"",INDEX(APGrid,COUNTIF(APS,"&gt;"&amp;(--TRIM(LEFT(N23,2))))*5+COUNTIF(APO,"&gt;"&amp;(--TRIM(LEFT(P23,2))))+1,COUNTIF(APD,"&gt;"&amp;(--TRIM(LEFT(R23,2))))+1))</f>
        <v/>
      </c>
      <c r="U23" s="20">
        <f>IF(S23="","",IF(OR((--TRIM(LEFT(N23,2)))&gt;=SThr,S23&gt;=RPNThr,T23="H"),"Yes","No"))</f>
        <v/>
      </c>
      <c r="V23" s="4" t="n"/>
      <c r="W23" s="4" t="n"/>
      <c r="X23" s="4" t="n"/>
      <c r="Y23" s="29" t="n"/>
      <c r="Z23" s="16" t="n"/>
      <c r="AA23" s="16" t="n"/>
      <c r="AB23" s="16" t="n"/>
      <c r="AC23" s="20">
        <f>IF(OR(Z23="",AA23="",AB23=""),"",(--TRIM(LEFT(Z23,2)))*(--TRIM(LEFT(AA23,2)))*(--TRIM(LEFT(AB23,2))))</f>
        <v/>
      </c>
      <c r="AD23" s="20">
        <f>IF(OR(Z23="",AA23="",AB23=""),"",INDEX(APGrid,COUNTIF(APS,"&gt;"&amp;(--TRIM(LEFT(Z23,2))))*5+COUNTIF(APO,"&gt;"&amp;(--TRIM(LEFT(AA23,2))))+1,COUNTIF(APD,"&gt;"&amp;(--TRIM(LEFT(AB23,2))))+1))</f>
        <v/>
      </c>
      <c r="AE23" s="4" t="n"/>
      <c r="AF23" s="4" t="n"/>
      <c r="AH23">
        <f>IFERROR(INDEX(EqTag,_xlfn.AGGREGATE(15,6,(ROW(EqTag)-4)/((EqSys=$D$3)*(EqTag&lt;&gt;"")),ROWS($AH$14:AH23))),"")</f>
        <v/>
      </c>
    </row>
    <row r="24">
      <c r="A24" s="20">
        <f>IF(F24="","",LEFT($D$3,3)&amp;"-"&amp;TEXT(COUNTIF(F$14:F24,"?*"),"00"))</f>
        <v/>
      </c>
      <c r="B24" s="4" t="n"/>
      <c r="C24" s="5">
        <f>IF(B24="","",IFERROR(INDEX(EqTypeCol,MATCH(B24,EqTag,0)),"Tag not in register"))</f>
        <v/>
      </c>
      <c r="D24" s="4" t="n"/>
      <c r="E24" s="4" t="n"/>
      <c r="F24" s="4" t="n"/>
      <c r="G24" s="4" t="n"/>
      <c r="H24" s="4" t="n"/>
      <c r="I24" s="4" t="n"/>
      <c r="J24" s="5">
        <f>_xlfn.TEXTJOIN(CHAR(10),TRUE,IF(G24="","","• "&amp;G24),IF(H24="","","• "&amp;H24),IF(I24="","","• "&amp;I24))</f>
        <v/>
      </c>
      <c r="K24" s="4" t="n"/>
      <c r="L24" s="4" t="n"/>
      <c r="M24" s="4" t="n"/>
      <c r="N24" s="16" t="n"/>
      <c r="O24" s="4" t="n"/>
      <c r="P24" s="16" t="n"/>
      <c r="Q24" s="4" t="n"/>
      <c r="R24" s="16" t="n"/>
      <c r="S24" s="20">
        <f>IF(OR(N24="",P24="",R24=""),"",(--TRIM(LEFT(N24,2)))*(--TRIM(LEFT(P24,2)))*(--TRIM(LEFT(R24,2))))</f>
        <v/>
      </c>
      <c r="T24" s="20">
        <f>IF(OR(N24="",P24="",R24=""),"",INDEX(APGrid,COUNTIF(APS,"&gt;"&amp;(--TRIM(LEFT(N24,2))))*5+COUNTIF(APO,"&gt;"&amp;(--TRIM(LEFT(P24,2))))+1,COUNTIF(APD,"&gt;"&amp;(--TRIM(LEFT(R24,2))))+1))</f>
        <v/>
      </c>
      <c r="U24" s="20">
        <f>IF(S24="","",IF(OR((--TRIM(LEFT(N24,2)))&gt;=SThr,S24&gt;=RPNThr,T24="H"),"Yes","No"))</f>
        <v/>
      </c>
      <c r="V24" s="4" t="n"/>
      <c r="W24" s="4" t="n"/>
      <c r="X24" s="4" t="n"/>
      <c r="Y24" s="29" t="n"/>
      <c r="Z24" s="16" t="n"/>
      <c r="AA24" s="16" t="n"/>
      <c r="AB24" s="16" t="n"/>
      <c r="AC24" s="20">
        <f>IF(OR(Z24="",AA24="",AB24=""),"",(--TRIM(LEFT(Z24,2)))*(--TRIM(LEFT(AA24,2)))*(--TRIM(LEFT(AB24,2))))</f>
        <v/>
      </c>
      <c r="AD24" s="20">
        <f>IF(OR(Z24="",AA24="",AB24=""),"",INDEX(APGrid,COUNTIF(APS,"&gt;"&amp;(--TRIM(LEFT(Z24,2))))*5+COUNTIF(APO,"&gt;"&amp;(--TRIM(LEFT(AA24,2))))+1,COUNTIF(APD,"&gt;"&amp;(--TRIM(LEFT(AB24,2))))+1))</f>
        <v/>
      </c>
      <c r="AE24" s="4" t="n"/>
      <c r="AF24" s="4" t="n"/>
      <c r="AH24">
        <f>IFERROR(INDEX(EqTag,_xlfn.AGGREGATE(15,6,(ROW(EqTag)-4)/((EqSys=$D$3)*(EqTag&lt;&gt;"")),ROWS($AH$14:AH24))),"")</f>
        <v/>
      </c>
    </row>
    <row r="25">
      <c r="A25" s="20">
        <f>IF(F25="","",LEFT($D$3,3)&amp;"-"&amp;TEXT(COUNTIF(F$14:F25,"?*"),"00"))</f>
        <v/>
      </c>
      <c r="B25" s="4" t="n"/>
      <c r="C25" s="5">
        <f>IF(B25="","",IFERROR(INDEX(EqTypeCol,MATCH(B25,EqTag,0)),"Tag not in register"))</f>
        <v/>
      </c>
      <c r="D25" s="4" t="n"/>
      <c r="E25" s="4" t="n"/>
      <c r="F25" s="4" t="n"/>
      <c r="G25" s="4" t="n"/>
      <c r="H25" s="4" t="n"/>
      <c r="I25" s="4" t="n"/>
      <c r="J25" s="5">
        <f>_xlfn.TEXTJOIN(CHAR(10),TRUE,IF(G25="","","• "&amp;G25),IF(H25="","","• "&amp;H25),IF(I25="","","• "&amp;I25))</f>
        <v/>
      </c>
      <c r="K25" s="4" t="n"/>
      <c r="L25" s="4" t="n"/>
      <c r="M25" s="4" t="n"/>
      <c r="N25" s="16" t="n"/>
      <c r="O25" s="4" t="n"/>
      <c r="P25" s="16" t="n"/>
      <c r="Q25" s="4" t="n"/>
      <c r="R25" s="16" t="n"/>
      <c r="S25" s="20">
        <f>IF(OR(N25="",P25="",R25=""),"",(--TRIM(LEFT(N25,2)))*(--TRIM(LEFT(P25,2)))*(--TRIM(LEFT(R25,2))))</f>
        <v/>
      </c>
      <c r="T25" s="20">
        <f>IF(OR(N25="",P25="",R25=""),"",INDEX(APGrid,COUNTIF(APS,"&gt;"&amp;(--TRIM(LEFT(N25,2))))*5+COUNTIF(APO,"&gt;"&amp;(--TRIM(LEFT(P25,2))))+1,COUNTIF(APD,"&gt;"&amp;(--TRIM(LEFT(R25,2))))+1))</f>
        <v/>
      </c>
      <c r="U25" s="20">
        <f>IF(S25="","",IF(OR((--TRIM(LEFT(N25,2)))&gt;=SThr,S25&gt;=RPNThr,T25="H"),"Yes","No"))</f>
        <v/>
      </c>
      <c r="V25" s="4" t="n"/>
      <c r="W25" s="4" t="n"/>
      <c r="X25" s="4" t="n"/>
      <c r="Y25" s="29" t="n"/>
      <c r="Z25" s="16" t="n"/>
      <c r="AA25" s="16" t="n"/>
      <c r="AB25" s="16" t="n"/>
      <c r="AC25" s="20">
        <f>IF(OR(Z25="",AA25="",AB25=""),"",(--TRIM(LEFT(Z25,2)))*(--TRIM(LEFT(AA25,2)))*(--TRIM(LEFT(AB25,2))))</f>
        <v/>
      </c>
      <c r="AD25" s="20">
        <f>IF(OR(Z25="",AA25="",AB25=""),"",INDEX(APGrid,COUNTIF(APS,"&gt;"&amp;(--TRIM(LEFT(Z25,2))))*5+COUNTIF(APO,"&gt;"&amp;(--TRIM(LEFT(AA25,2))))+1,COUNTIF(APD,"&gt;"&amp;(--TRIM(LEFT(AB25,2))))+1))</f>
        <v/>
      </c>
      <c r="AE25" s="4" t="n"/>
      <c r="AF25" s="4" t="n"/>
      <c r="AH25">
        <f>IFERROR(INDEX(EqTag,_xlfn.AGGREGATE(15,6,(ROW(EqTag)-4)/((EqSys=$D$3)*(EqTag&lt;&gt;"")),ROWS($AH$14:AH25))),"")</f>
        <v/>
      </c>
    </row>
    <row r="26">
      <c r="A26" s="20">
        <f>IF(F26="","",LEFT($D$3,3)&amp;"-"&amp;TEXT(COUNTIF(F$14:F26,"?*"),"00"))</f>
        <v/>
      </c>
      <c r="B26" s="4" t="n"/>
      <c r="C26" s="5">
        <f>IF(B26="","",IFERROR(INDEX(EqTypeCol,MATCH(B26,EqTag,0)),"Tag not in register"))</f>
        <v/>
      </c>
      <c r="D26" s="4" t="n"/>
      <c r="E26" s="4" t="n"/>
      <c r="F26" s="4" t="n"/>
      <c r="G26" s="4" t="n"/>
      <c r="H26" s="4" t="n"/>
      <c r="I26" s="4" t="n"/>
      <c r="J26" s="5">
        <f>_xlfn.TEXTJOIN(CHAR(10),TRUE,IF(G26="","","• "&amp;G26),IF(H26="","","• "&amp;H26),IF(I26="","","• "&amp;I26))</f>
        <v/>
      </c>
      <c r="K26" s="4" t="n"/>
      <c r="L26" s="4" t="n"/>
      <c r="M26" s="4" t="n"/>
      <c r="N26" s="16" t="n"/>
      <c r="O26" s="4" t="n"/>
      <c r="P26" s="16" t="n"/>
      <c r="Q26" s="4" t="n"/>
      <c r="R26" s="16" t="n"/>
      <c r="S26" s="20">
        <f>IF(OR(N26="",P26="",R26=""),"",(--TRIM(LEFT(N26,2)))*(--TRIM(LEFT(P26,2)))*(--TRIM(LEFT(R26,2))))</f>
        <v/>
      </c>
      <c r="T26" s="20">
        <f>IF(OR(N26="",P26="",R26=""),"",INDEX(APGrid,COUNTIF(APS,"&gt;"&amp;(--TRIM(LEFT(N26,2))))*5+COUNTIF(APO,"&gt;"&amp;(--TRIM(LEFT(P26,2))))+1,COUNTIF(APD,"&gt;"&amp;(--TRIM(LEFT(R26,2))))+1))</f>
        <v/>
      </c>
      <c r="U26" s="20">
        <f>IF(S26="","",IF(OR((--TRIM(LEFT(N26,2)))&gt;=SThr,S26&gt;=RPNThr,T26="H"),"Yes","No"))</f>
        <v/>
      </c>
      <c r="V26" s="4" t="n"/>
      <c r="W26" s="4" t="n"/>
      <c r="X26" s="4" t="n"/>
      <c r="Y26" s="29" t="n"/>
      <c r="Z26" s="16" t="n"/>
      <c r="AA26" s="16" t="n"/>
      <c r="AB26" s="16" t="n"/>
      <c r="AC26" s="20">
        <f>IF(OR(Z26="",AA26="",AB26=""),"",(--TRIM(LEFT(Z26,2)))*(--TRIM(LEFT(AA26,2)))*(--TRIM(LEFT(AB26,2))))</f>
        <v/>
      </c>
      <c r="AD26" s="20">
        <f>IF(OR(Z26="",AA26="",AB26=""),"",INDEX(APGrid,COUNTIF(APS,"&gt;"&amp;(--TRIM(LEFT(Z26,2))))*5+COUNTIF(APO,"&gt;"&amp;(--TRIM(LEFT(AA26,2))))+1,COUNTIF(APD,"&gt;"&amp;(--TRIM(LEFT(AB26,2))))+1))</f>
        <v/>
      </c>
      <c r="AE26" s="4" t="n"/>
      <c r="AF26" s="4" t="n"/>
      <c r="AH26">
        <f>IFERROR(INDEX(EqTag,_xlfn.AGGREGATE(15,6,(ROW(EqTag)-4)/((EqSys=$D$3)*(EqTag&lt;&gt;"")),ROWS($AH$14:AH26))),"")</f>
        <v/>
      </c>
    </row>
    <row r="27">
      <c r="A27" s="20">
        <f>IF(F27="","",LEFT($D$3,3)&amp;"-"&amp;TEXT(COUNTIF(F$14:F27,"?*"),"00"))</f>
        <v/>
      </c>
      <c r="B27" s="4" t="n"/>
      <c r="C27" s="5">
        <f>IF(B27="","",IFERROR(INDEX(EqTypeCol,MATCH(B27,EqTag,0)),"Tag not in register"))</f>
        <v/>
      </c>
      <c r="D27" s="4" t="n"/>
      <c r="E27" s="4" t="n"/>
      <c r="F27" s="4" t="n"/>
      <c r="G27" s="4" t="n"/>
      <c r="H27" s="4" t="n"/>
      <c r="I27" s="4" t="n"/>
      <c r="J27" s="5">
        <f>_xlfn.TEXTJOIN(CHAR(10),TRUE,IF(G27="","","• "&amp;G27),IF(H27="","","• "&amp;H27),IF(I27="","","• "&amp;I27))</f>
        <v/>
      </c>
      <c r="K27" s="4" t="n"/>
      <c r="L27" s="4" t="n"/>
      <c r="M27" s="4" t="n"/>
      <c r="N27" s="16" t="n"/>
      <c r="O27" s="4" t="n"/>
      <c r="P27" s="16" t="n"/>
      <c r="Q27" s="4" t="n"/>
      <c r="R27" s="16" t="n"/>
      <c r="S27" s="20">
        <f>IF(OR(N27="",P27="",R27=""),"",(--TRIM(LEFT(N27,2)))*(--TRIM(LEFT(P27,2)))*(--TRIM(LEFT(R27,2))))</f>
        <v/>
      </c>
      <c r="T27" s="20">
        <f>IF(OR(N27="",P27="",R27=""),"",INDEX(APGrid,COUNTIF(APS,"&gt;"&amp;(--TRIM(LEFT(N27,2))))*5+COUNTIF(APO,"&gt;"&amp;(--TRIM(LEFT(P27,2))))+1,COUNTIF(APD,"&gt;"&amp;(--TRIM(LEFT(R27,2))))+1))</f>
        <v/>
      </c>
      <c r="U27" s="20">
        <f>IF(S27="","",IF(OR((--TRIM(LEFT(N27,2)))&gt;=SThr,S27&gt;=RPNThr,T27="H"),"Yes","No"))</f>
        <v/>
      </c>
      <c r="V27" s="4" t="n"/>
      <c r="W27" s="4" t="n"/>
      <c r="X27" s="4" t="n"/>
      <c r="Y27" s="29" t="n"/>
      <c r="Z27" s="16" t="n"/>
      <c r="AA27" s="16" t="n"/>
      <c r="AB27" s="16" t="n"/>
      <c r="AC27" s="20">
        <f>IF(OR(Z27="",AA27="",AB27=""),"",(--TRIM(LEFT(Z27,2)))*(--TRIM(LEFT(AA27,2)))*(--TRIM(LEFT(AB27,2))))</f>
        <v/>
      </c>
      <c r="AD27" s="20">
        <f>IF(OR(Z27="",AA27="",AB27=""),"",INDEX(APGrid,COUNTIF(APS,"&gt;"&amp;(--TRIM(LEFT(Z27,2))))*5+COUNTIF(APO,"&gt;"&amp;(--TRIM(LEFT(AA27,2))))+1,COUNTIF(APD,"&gt;"&amp;(--TRIM(LEFT(AB27,2))))+1))</f>
        <v/>
      </c>
      <c r="AE27" s="4" t="n"/>
      <c r="AF27" s="4" t="n"/>
      <c r="AH27">
        <f>IFERROR(INDEX(EqTag,_xlfn.AGGREGATE(15,6,(ROW(EqTag)-4)/((EqSys=$D$3)*(EqTag&lt;&gt;"")),ROWS($AH$14:AH27))),"")</f>
        <v/>
      </c>
    </row>
    <row r="28">
      <c r="A28" s="20">
        <f>IF(F28="","",LEFT($D$3,3)&amp;"-"&amp;TEXT(COUNTIF(F$14:F28,"?*"),"00"))</f>
        <v/>
      </c>
      <c r="B28" s="4" t="n"/>
      <c r="C28" s="5">
        <f>IF(B28="","",IFERROR(INDEX(EqTypeCol,MATCH(B28,EqTag,0)),"Tag not in register"))</f>
        <v/>
      </c>
      <c r="D28" s="4" t="n"/>
      <c r="E28" s="4" t="n"/>
      <c r="F28" s="4" t="n"/>
      <c r="G28" s="4" t="n"/>
      <c r="H28" s="4" t="n"/>
      <c r="I28" s="4" t="n"/>
      <c r="J28" s="5">
        <f>_xlfn.TEXTJOIN(CHAR(10),TRUE,IF(G28="","","• "&amp;G28),IF(H28="","","• "&amp;H28),IF(I28="","","• "&amp;I28))</f>
        <v/>
      </c>
      <c r="K28" s="4" t="n"/>
      <c r="L28" s="4" t="n"/>
      <c r="M28" s="4" t="n"/>
      <c r="N28" s="16" t="n"/>
      <c r="O28" s="4" t="n"/>
      <c r="P28" s="16" t="n"/>
      <c r="Q28" s="4" t="n"/>
      <c r="R28" s="16" t="n"/>
      <c r="S28" s="20">
        <f>IF(OR(N28="",P28="",R28=""),"",(--TRIM(LEFT(N28,2)))*(--TRIM(LEFT(P28,2)))*(--TRIM(LEFT(R28,2))))</f>
        <v/>
      </c>
      <c r="T28" s="20">
        <f>IF(OR(N28="",P28="",R28=""),"",INDEX(APGrid,COUNTIF(APS,"&gt;"&amp;(--TRIM(LEFT(N28,2))))*5+COUNTIF(APO,"&gt;"&amp;(--TRIM(LEFT(P28,2))))+1,COUNTIF(APD,"&gt;"&amp;(--TRIM(LEFT(R28,2))))+1))</f>
        <v/>
      </c>
      <c r="U28" s="20">
        <f>IF(S28="","",IF(OR((--TRIM(LEFT(N28,2)))&gt;=SThr,S28&gt;=RPNThr,T28="H"),"Yes","No"))</f>
        <v/>
      </c>
      <c r="V28" s="4" t="n"/>
      <c r="W28" s="4" t="n"/>
      <c r="X28" s="4" t="n"/>
      <c r="Y28" s="29" t="n"/>
      <c r="Z28" s="16" t="n"/>
      <c r="AA28" s="16" t="n"/>
      <c r="AB28" s="16" t="n"/>
      <c r="AC28" s="20">
        <f>IF(OR(Z28="",AA28="",AB28=""),"",(--TRIM(LEFT(Z28,2)))*(--TRIM(LEFT(AA28,2)))*(--TRIM(LEFT(AB28,2))))</f>
        <v/>
      </c>
      <c r="AD28" s="20">
        <f>IF(OR(Z28="",AA28="",AB28=""),"",INDEX(APGrid,COUNTIF(APS,"&gt;"&amp;(--TRIM(LEFT(Z28,2))))*5+COUNTIF(APO,"&gt;"&amp;(--TRIM(LEFT(AA28,2))))+1,COUNTIF(APD,"&gt;"&amp;(--TRIM(LEFT(AB28,2))))+1))</f>
        <v/>
      </c>
      <c r="AE28" s="4" t="n"/>
      <c r="AF28" s="4" t="n"/>
      <c r="AH28">
        <f>IFERROR(INDEX(EqTag,_xlfn.AGGREGATE(15,6,(ROW(EqTag)-4)/((EqSys=$D$3)*(EqTag&lt;&gt;"")),ROWS($AH$14:AH28))),"")</f>
        <v/>
      </c>
    </row>
    <row r="29">
      <c r="A29" s="20">
        <f>IF(F29="","",LEFT($D$3,3)&amp;"-"&amp;TEXT(COUNTIF(F$14:F29,"?*"),"00"))</f>
        <v/>
      </c>
      <c r="B29" s="4" t="n"/>
      <c r="C29" s="5">
        <f>IF(B29="","",IFERROR(INDEX(EqTypeCol,MATCH(B29,EqTag,0)),"Tag not in register"))</f>
        <v/>
      </c>
      <c r="D29" s="4" t="n"/>
      <c r="E29" s="4" t="n"/>
      <c r="F29" s="4" t="n"/>
      <c r="G29" s="4" t="n"/>
      <c r="H29" s="4" t="n"/>
      <c r="I29" s="4" t="n"/>
      <c r="J29" s="5">
        <f>_xlfn.TEXTJOIN(CHAR(10),TRUE,IF(G29="","","• "&amp;G29),IF(H29="","","• "&amp;H29),IF(I29="","","• "&amp;I29))</f>
        <v/>
      </c>
      <c r="K29" s="4" t="n"/>
      <c r="L29" s="4" t="n"/>
      <c r="M29" s="4" t="n"/>
      <c r="N29" s="16" t="n"/>
      <c r="O29" s="4" t="n"/>
      <c r="P29" s="16" t="n"/>
      <c r="Q29" s="4" t="n"/>
      <c r="R29" s="16" t="n"/>
      <c r="S29" s="20">
        <f>IF(OR(N29="",P29="",R29=""),"",(--TRIM(LEFT(N29,2)))*(--TRIM(LEFT(P29,2)))*(--TRIM(LEFT(R29,2))))</f>
        <v/>
      </c>
      <c r="T29" s="20">
        <f>IF(OR(N29="",P29="",R29=""),"",INDEX(APGrid,COUNTIF(APS,"&gt;"&amp;(--TRIM(LEFT(N29,2))))*5+COUNTIF(APO,"&gt;"&amp;(--TRIM(LEFT(P29,2))))+1,COUNTIF(APD,"&gt;"&amp;(--TRIM(LEFT(R29,2))))+1))</f>
        <v/>
      </c>
      <c r="U29" s="20">
        <f>IF(S29="","",IF(OR((--TRIM(LEFT(N29,2)))&gt;=SThr,S29&gt;=RPNThr,T29="H"),"Yes","No"))</f>
        <v/>
      </c>
      <c r="V29" s="4" t="n"/>
      <c r="W29" s="4" t="n"/>
      <c r="X29" s="4" t="n"/>
      <c r="Y29" s="29" t="n"/>
      <c r="Z29" s="16" t="n"/>
      <c r="AA29" s="16" t="n"/>
      <c r="AB29" s="16" t="n"/>
      <c r="AC29" s="20">
        <f>IF(OR(Z29="",AA29="",AB29=""),"",(--TRIM(LEFT(Z29,2)))*(--TRIM(LEFT(AA29,2)))*(--TRIM(LEFT(AB29,2))))</f>
        <v/>
      </c>
      <c r="AD29" s="20">
        <f>IF(OR(Z29="",AA29="",AB29=""),"",INDEX(APGrid,COUNTIF(APS,"&gt;"&amp;(--TRIM(LEFT(Z29,2))))*5+COUNTIF(APO,"&gt;"&amp;(--TRIM(LEFT(AA29,2))))+1,COUNTIF(APD,"&gt;"&amp;(--TRIM(LEFT(AB29,2))))+1))</f>
        <v/>
      </c>
      <c r="AE29" s="4" t="n"/>
      <c r="AF29" s="4" t="n"/>
      <c r="AH29">
        <f>IFERROR(INDEX(EqTag,_xlfn.AGGREGATE(15,6,(ROW(EqTag)-4)/((EqSys=$D$3)*(EqTag&lt;&gt;"")),ROWS($AH$14:AH29))),"")</f>
        <v/>
      </c>
    </row>
    <row r="30">
      <c r="A30" s="20">
        <f>IF(F30="","",LEFT($D$3,3)&amp;"-"&amp;TEXT(COUNTIF(F$14:F30,"?*"),"00"))</f>
        <v/>
      </c>
      <c r="B30" s="4" t="n"/>
      <c r="C30" s="5">
        <f>IF(B30="","",IFERROR(INDEX(EqTypeCol,MATCH(B30,EqTag,0)),"Tag not in register"))</f>
        <v/>
      </c>
      <c r="D30" s="4" t="n"/>
      <c r="E30" s="4" t="n"/>
      <c r="F30" s="4" t="n"/>
      <c r="G30" s="4" t="n"/>
      <c r="H30" s="4" t="n"/>
      <c r="I30" s="4" t="n"/>
      <c r="J30" s="5">
        <f>_xlfn.TEXTJOIN(CHAR(10),TRUE,IF(G30="","","• "&amp;G30),IF(H30="","","• "&amp;H30),IF(I30="","","• "&amp;I30))</f>
        <v/>
      </c>
      <c r="K30" s="4" t="n"/>
      <c r="L30" s="4" t="n"/>
      <c r="M30" s="4" t="n"/>
      <c r="N30" s="16" t="n"/>
      <c r="O30" s="4" t="n"/>
      <c r="P30" s="16" t="n"/>
      <c r="Q30" s="4" t="n"/>
      <c r="R30" s="16" t="n"/>
      <c r="S30" s="20">
        <f>IF(OR(N30="",P30="",R30=""),"",(--TRIM(LEFT(N30,2)))*(--TRIM(LEFT(P30,2)))*(--TRIM(LEFT(R30,2))))</f>
        <v/>
      </c>
      <c r="T30" s="20">
        <f>IF(OR(N30="",P30="",R30=""),"",INDEX(APGrid,COUNTIF(APS,"&gt;"&amp;(--TRIM(LEFT(N30,2))))*5+COUNTIF(APO,"&gt;"&amp;(--TRIM(LEFT(P30,2))))+1,COUNTIF(APD,"&gt;"&amp;(--TRIM(LEFT(R30,2))))+1))</f>
        <v/>
      </c>
      <c r="U30" s="20">
        <f>IF(S30="","",IF(OR((--TRIM(LEFT(N30,2)))&gt;=SThr,S30&gt;=RPNThr,T30="H"),"Yes","No"))</f>
        <v/>
      </c>
      <c r="V30" s="4" t="n"/>
      <c r="W30" s="4" t="n"/>
      <c r="X30" s="4" t="n"/>
      <c r="Y30" s="29" t="n"/>
      <c r="Z30" s="16" t="n"/>
      <c r="AA30" s="16" t="n"/>
      <c r="AB30" s="16" t="n"/>
      <c r="AC30" s="20">
        <f>IF(OR(Z30="",AA30="",AB30=""),"",(--TRIM(LEFT(Z30,2)))*(--TRIM(LEFT(AA30,2)))*(--TRIM(LEFT(AB30,2))))</f>
        <v/>
      </c>
      <c r="AD30" s="20">
        <f>IF(OR(Z30="",AA30="",AB30=""),"",INDEX(APGrid,COUNTIF(APS,"&gt;"&amp;(--TRIM(LEFT(Z30,2))))*5+COUNTIF(APO,"&gt;"&amp;(--TRIM(LEFT(AA30,2))))+1,COUNTIF(APD,"&gt;"&amp;(--TRIM(LEFT(AB30,2))))+1))</f>
        <v/>
      </c>
      <c r="AE30" s="4" t="n"/>
      <c r="AF30" s="4" t="n"/>
      <c r="AH30">
        <f>IFERROR(INDEX(EqTag,_xlfn.AGGREGATE(15,6,(ROW(EqTag)-4)/((EqSys=$D$3)*(EqTag&lt;&gt;"")),ROWS($AH$14:AH30))),"")</f>
        <v/>
      </c>
    </row>
    <row r="31">
      <c r="A31" s="20">
        <f>IF(F31="","",LEFT($D$3,3)&amp;"-"&amp;TEXT(COUNTIF(F$14:F31,"?*"),"00"))</f>
        <v/>
      </c>
      <c r="B31" s="4" t="n"/>
      <c r="C31" s="5">
        <f>IF(B31="","",IFERROR(INDEX(EqTypeCol,MATCH(B31,EqTag,0)),"Tag not in register"))</f>
        <v/>
      </c>
      <c r="D31" s="4" t="n"/>
      <c r="E31" s="4" t="n"/>
      <c r="F31" s="4" t="n"/>
      <c r="G31" s="4" t="n"/>
      <c r="H31" s="4" t="n"/>
      <c r="I31" s="4" t="n"/>
      <c r="J31" s="5">
        <f>_xlfn.TEXTJOIN(CHAR(10),TRUE,IF(G31="","","• "&amp;G31),IF(H31="","","• "&amp;H31),IF(I31="","","• "&amp;I31))</f>
        <v/>
      </c>
      <c r="K31" s="4" t="n"/>
      <c r="L31" s="4" t="n"/>
      <c r="M31" s="4" t="n"/>
      <c r="N31" s="16" t="n"/>
      <c r="O31" s="4" t="n"/>
      <c r="P31" s="16" t="n"/>
      <c r="Q31" s="4" t="n"/>
      <c r="R31" s="16" t="n"/>
      <c r="S31" s="20">
        <f>IF(OR(N31="",P31="",R31=""),"",(--TRIM(LEFT(N31,2)))*(--TRIM(LEFT(P31,2)))*(--TRIM(LEFT(R31,2))))</f>
        <v/>
      </c>
      <c r="T31" s="20">
        <f>IF(OR(N31="",P31="",R31=""),"",INDEX(APGrid,COUNTIF(APS,"&gt;"&amp;(--TRIM(LEFT(N31,2))))*5+COUNTIF(APO,"&gt;"&amp;(--TRIM(LEFT(P31,2))))+1,COUNTIF(APD,"&gt;"&amp;(--TRIM(LEFT(R31,2))))+1))</f>
        <v/>
      </c>
      <c r="U31" s="20">
        <f>IF(S31="","",IF(OR((--TRIM(LEFT(N31,2)))&gt;=SThr,S31&gt;=RPNThr,T31="H"),"Yes","No"))</f>
        <v/>
      </c>
      <c r="V31" s="4" t="n"/>
      <c r="W31" s="4" t="n"/>
      <c r="X31" s="4" t="n"/>
      <c r="Y31" s="29" t="n"/>
      <c r="Z31" s="16" t="n"/>
      <c r="AA31" s="16" t="n"/>
      <c r="AB31" s="16" t="n"/>
      <c r="AC31" s="20">
        <f>IF(OR(Z31="",AA31="",AB31=""),"",(--TRIM(LEFT(Z31,2)))*(--TRIM(LEFT(AA31,2)))*(--TRIM(LEFT(AB31,2))))</f>
        <v/>
      </c>
      <c r="AD31" s="20">
        <f>IF(OR(Z31="",AA31="",AB31=""),"",INDEX(APGrid,COUNTIF(APS,"&gt;"&amp;(--TRIM(LEFT(Z31,2))))*5+COUNTIF(APO,"&gt;"&amp;(--TRIM(LEFT(AA31,2))))+1,COUNTIF(APD,"&gt;"&amp;(--TRIM(LEFT(AB31,2))))+1))</f>
        <v/>
      </c>
      <c r="AE31" s="4" t="n"/>
      <c r="AF31" s="4" t="n"/>
      <c r="AH31">
        <f>IFERROR(INDEX(EqTag,_xlfn.AGGREGATE(15,6,(ROW(EqTag)-4)/((EqSys=$D$3)*(EqTag&lt;&gt;"")),ROWS($AH$14:AH31))),"")</f>
        <v/>
      </c>
    </row>
    <row r="32">
      <c r="A32" s="20">
        <f>IF(F32="","",LEFT($D$3,3)&amp;"-"&amp;TEXT(COUNTIF(F$14:F32,"?*"),"00"))</f>
        <v/>
      </c>
      <c r="B32" s="4" t="n"/>
      <c r="C32" s="5">
        <f>IF(B32="","",IFERROR(INDEX(EqTypeCol,MATCH(B32,EqTag,0)),"Tag not in register"))</f>
        <v/>
      </c>
      <c r="D32" s="4" t="n"/>
      <c r="E32" s="4" t="n"/>
      <c r="F32" s="4" t="n"/>
      <c r="G32" s="4" t="n"/>
      <c r="H32" s="4" t="n"/>
      <c r="I32" s="4" t="n"/>
      <c r="J32" s="5">
        <f>_xlfn.TEXTJOIN(CHAR(10),TRUE,IF(G32="","","• "&amp;G32),IF(H32="","","• "&amp;H32),IF(I32="","","• "&amp;I32))</f>
        <v/>
      </c>
      <c r="K32" s="4" t="n"/>
      <c r="L32" s="4" t="n"/>
      <c r="M32" s="4" t="n"/>
      <c r="N32" s="16" t="n"/>
      <c r="O32" s="4" t="n"/>
      <c r="P32" s="16" t="n"/>
      <c r="Q32" s="4" t="n"/>
      <c r="R32" s="16" t="n"/>
      <c r="S32" s="20">
        <f>IF(OR(N32="",P32="",R32=""),"",(--TRIM(LEFT(N32,2)))*(--TRIM(LEFT(P32,2)))*(--TRIM(LEFT(R32,2))))</f>
        <v/>
      </c>
      <c r="T32" s="20">
        <f>IF(OR(N32="",P32="",R32=""),"",INDEX(APGrid,COUNTIF(APS,"&gt;"&amp;(--TRIM(LEFT(N32,2))))*5+COUNTIF(APO,"&gt;"&amp;(--TRIM(LEFT(P32,2))))+1,COUNTIF(APD,"&gt;"&amp;(--TRIM(LEFT(R32,2))))+1))</f>
        <v/>
      </c>
      <c r="U32" s="20">
        <f>IF(S32="","",IF(OR((--TRIM(LEFT(N32,2)))&gt;=SThr,S32&gt;=RPNThr,T32="H"),"Yes","No"))</f>
        <v/>
      </c>
      <c r="V32" s="4" t="n"/>
      <c r="W32" s="4" t="n"/>
      <c r="X32" s="4" t="n"/>
      <c r="Y32" s="29" t="n"/>
      <c r="Z32" s="16" t="n"/>
      <c r="AA32" s="16" t="n"/>
      <c r="AB32" s="16" t="n"/>
      <c r="AC32" s="20">
        <f>IF(OR(Z32="",AA32="",AB32=""),"",(--TRIM(LEFT(Z32,2)))*(--TRIM(LEFT(AA32,2)))*(--TRIM(LEFT(AB32,2))))</f>
        <v/>
      </c>
      <c r="AD32" s="20">
        <f>IF(OR(Z32="",AA32="",AB32=""),"",INDEX(APGrid,COUNTIF(APS,"&gt;"&amp;(--TRIM(LEFT(Z32,2))))*5+COUNTIF(APO,"&gt;"&amp;(--TRIM(LEFT(AA32,2))))+1,COUNTIF(APD,"&gt;"&amp;(--TRIM(LEFT(AB32,2))))+1))</f>
        <v/>
      </c>
      <c r="AE32" s="4" t="n"/>
      <c r="AF32" s="4" t="n"/>
      <c r="AH32">
        <f>IFERROR(INDEX(EqTag,_xlfn.AGGREGATE(15,6,(ROW(EqTag)-4)/((EqSys=$D$3)*(EqTag&lt;&gt;"")),ROWS($AH$14:AH32))),"")</f>
        <v/>
      </c>
    </row>
    <row r="33">
      <c r="A33" s="20">
        <f>IF(F33="","",LEFT($D$3,3)&amp;"-"&amp;TEXT(COUNTIF(F$14:F33,"?*"),"00"))</f>
        <v/>
      </c>
      <c r="B33" s="4" t="n"/>
      <c r="C33" s="5">
        <f>IF(B33="","",IFERROR(INDEX(EqTypeCol,MATCH(B33,EqTag,0)),"Tag not in register"))</f>
        <v/>
      </c>
      <c r="D33" s="4" t="n"/>
      <c r="E33" s="4" t="n"/>
      <c r="F33" s="4" t="n"/>
      <c r="G33" s="4" t="n"/>
      <c r="H33" s="4" t="n"/>
      <c r="I33" s="4" t="n"/>
      <c r="J33" s="5">
        <f>_xlfn.TEXTJOIN(CHAR(10),TRUE,IF(G33="","","• "&amp;G33),IF(H33="","","• "&amp;H33),IF(I33="","","• "&amp;I33))</f>
        <v/>
      </c>
      <c r="K33" s="4" t="n"/>
      <c r="L33" s="4" t="n"/>
      <c r="M33" s="4" t="n"/>
      <c r="N33" s="16" t="n"/>
      <c r="O33" s="4" t="n"/>
      <c r="P33" s="16" t="n"/>
      <c r="Q33" s="4" t="n"/>
      <c r="R33" s="16" t="n"/>
      <c r="S33" s="20">
        <f>IF(OR(N33="",P33="",R33=""),"",(--TRIM(LEFT(N33,2)))*(--TRIM(LEFT(P33,2)))*(--TRIM(LEFT(R33,2))))</f>
        <v/>
      </c>
      <c r="T33" s="20">
        <f>IF(OR(N33="",P33="",R33=""),"",INDEX(APGrid,COUNTIF(APS,"&gt;"&amp;(--TRIM(LEFT(N33,2))))*5+COUNTIF(APO,"&gt;"&amp;(--TRIM(LEFT(P33,2))))+1,COUNTIF(APD,"&gt;"&amp;(--TRIM(LEFT(R33,2))))+1))</f>
        <v/>
      </c>
      <c r="U33" s="20">
        <f>IF(S33="","",IF(OR((--TRIM(LEFT(N33,2)))&gt;=SThr,S33&gt;=RPNThr,T33="H"),"Yes","No"))</f>
        <v/>
      </c>
      <c r="V33" s="4" t="n"/>
      <c r="W33" s="4" t="n"/>
      <c r="X33" s="4" t="n"/>
      <c r="Y33" s="29" t="n"/>
      <c r="Z33" s="16" t="n"/>
      <c r="AA33" s="16" t="n"/>
      <c r="AB33" s="16" t="n"/>
      <c r="AC33" s="20">
        <f>IF(OR(Z33="",AA33="",AB33=""),"",(--TRIM(LEFT(Z33,2)))*(--TRIM(LEFT(AA33,2)))*(--TRIM(LEFT(AB33,2))))</f>
        <v/>
      </c>
      <c r="AD33" s="20">
        <f>IF(OR(Z33="",AA33="",AB33=""),"",INDEX(APGrid,COUNTIF(APS,"&gt;"&amp;(--TRIM(LEFT(Z33,2))))*5+COUNTIF(APO,"&gt;"&amp;(--TRIM(LEFT(AA33,2))))+1,COUNTIF(APD,"&gt;"&amp;(--TRIM(LEFT(AB33,2))))+1))</f>
        <v/>
      </c>
      <c r="AE33" s="4" t="n"/>
      <c r="AF33" s="4" t="n"/>
      <c r="AH33">
        <f>IFERROR(INDEX(EqTag,_xlfn.AGGREGATE(15,6,(ROW(EqTag)-4)/((EqSys=$D$3)*(EqTag&lt;&gt;"")),ROWS($AH$14:AH33))),"")</f>
        <v/>
      </c>
    </row>
    <row r="34">
      <c r="A34" s="20">
        <f>IF(F34="","",LEFT($D$3,3)&amp;"-"&amp;TEXT(COUNTIF(F$14:F34,"?*"),"00"))</f>
        <v/>
      </c>
      <c r="B34" s="4" t="n"/>
      <c r="C34" s="5">
        <f>IF(B34="","",IFERROR(INDEX(EqTypeCol,MATCH(B34,EqTag,0)),"Tag not in register"))</f>
        <v/>
      </c>
      <c r="D34" s="4" t="n"/>
      <c r="E34" s="4" t="n"/>
      <c r="F34" s="4" t="n"/>
      <c r="G34" s="4" t="n"/>
      <c r="H34" s="4" t="n"/>
      <c r="I34" s="4" t="n"/>
      <c r="J34" s="5">
        <f>_xlfn.TEXTJOIN(CHAR(10),TRUE,IF(G34="","","• "&amp;G34),IF(H34="","","• "&amp;H34),IF(I34="","","• "&amp;I34))</f>
        <v/>
      </c>
      <c r="K34" s="4" t="n"/>
      <c r="L34" s="4" t="n"/>
      <c r="M34" s="4" t="n"/>
      <c r="N34" s="16" t="n"/>
      <c r="O34" s="4" t="n"/>
      <c r="P34" s="16" t="n"/>
      <c r="Q34" s="4" t="n"/>
      <c r="R34" s="16" t="n"/>
      <c r="S34" s="20">
        <f>IF(OR(N34="",P34="",R34=""),"",(--TRIM(LEFT(N34,2)))*(--TRIM(LEFT(P34,2)))*(--TRIM(LEFT(R34,2))))</f>
        <v/>
      </c>
      <c r="T34" s="20">
        <f>IF(OR(N34="",P34="",R34=""),"",INDEX(APGrid,COUNTIF(APS,"&gt;"&amp;(--TRIM(LEFT(N34,2))))*5+COUNTIF(APO,"&gt;"&amp;(--TRIM(LEFT(P34,2))))+1,COUNTIF(APD,"&gt;"&amp;(--TRIM(LEFT(R34,2))))+1))</f>
        <v/>
      </c>
      <c r="U34" s="20">
        <f>IF(S34="","",IF(OR((--TRIM(LEFT(N34,2)))&gt;=SThr,S34&gt;=RPNThr,T34="H"),"Yes","No"))</f>
        <v/>
      </c>
      <c r="V34" s="4" t="n"/>
      <c r="W34" s="4" t="n"/>
      <c r="X34" s="4" t="n"/>
      <c r="Y34" s="29" t="n"/>
      <c r="Z34" s="16" t="n"/>
      <c r="AA34" s="16" t="n"/>
      <c r="AB34" s="16" t="n"/>
      <c r="AC34" s="20">
        <f>IF(OR(Z34="",AA34="",AB34=""),"",(--TRIM(LEFT(Z34,2)))*(--TRIM(LEFT(AA34,2)))*(--TRIM(LEFT(AB34,2))))</f>
        <v/>
      </c>
      <c r="AD34" s="20">
        <f>IF(OR(Z34="",AA34="",AB34=""),"",INDEX(APGrid,COUNTIF(APS,"&gt;"&amp;(--TRIM(LEFT(Z34,2))))*5+COUNTIF(APO,"&gt;"&amp;(--TRIM(LEFT(AA34,2))))+1,COUNTIF(APD,"&gt;"&amp;(--TRIM(LEFT(AB34,2))))+1))</f>
        <v/>
      </c>
      <c r="AE34" s="4" t="n"/>
      <c r="AF34" s="4" t="n"/>
      <c r="AH34">
        <f>IFERROR(INDEX(EqTag,_xlfn.AGGREGATE(15,6,(ROW(EqTag)-4)/((EqSys=$D$3)*(EqTag&lt;&gt;"")),ROWS($AH$14:AH34))),"")</f>
        <v/>
      </c>
    </row>
    <row r="35">
      <c r="A35" s="20">
        <f>IF(F35="","",LEFT($D$3,3)&amp;"-"&amp;TEXT(COUNTIF(F$14:F35,"?*"),"00"))</f>
        <v/>
      </c>
      <c r="B35" s="4" t="n"/>
      <c r="C35" s="5">
        <f>IF(B35="","",IFERROR(INDEX(EqTypeCol,MATCH(B35,EqTag,0)),"Tag not in register"))</f>
        <v/>
      </c>
      <c r="D35" s="4" t="n"/>
      <c r="E35" s="4" t="n"/>
      <c r="F35" s="4" t="n"/>
      <c r="G35" s="4" t="n"/>
      <c r="H35" s="4" t="n"/>
      <c r="I35" s="4" t="n"/>
      <c r="J35" s="5">
        <f>_xlfn.TEXTJOIN(CHAR(10),TRUE,IF(G35="","","• "&amp;G35),IF(H35="","","• "&amp;H35),IF(I35="","","• "&amp;I35))</f>
        <v/>
      </c>
      <c r="K35" s="4" t="n"/>
      <c r="L35" s="4" t="n"/>
      <c r="M35" s="4" t="n"/>
      <c r="N35" s="16" t="n"/>
      <c r="O35" s="4" t="n"/>
      <c r="P35" s="16" t="n"/>
      <c r="Q35" s="4" t="n"/>
      <c r="R35" s="16" t="n"/>
      <c r="S35" s="20">
        <f>IF(OR(N35="",P35="",R35=""),"",(--TRIM(LEFT(N35,2)))*(--TRIM(LEFT(P35,2)))*(--TRIM(LEFT(R35,2))))</f>
        <v/>
      </c>
      <c r="T35" s="20">
        <f>IF(OR(N35="",P35="",R35=""),"",INDEX(APGrid,COUNTIF(APS,"&gt;"&amp;(--TRIM(LEFT(N35,2))))*5+COUNTIF(APO,"&gt;"&amp;(--TRIM(LEFT(P35,2))))+1,COUNTIF(APD,"&gt;"&amp;(--TRIM(LEFT(R35,2))))+1))</f>
        <v/>
      </c>
      <c r="U35" s="20">
        <f>IF(S35="","",IF(OR((--TRIM(LEFT(N35,2)))&gt;=SThr,S35&gt;=RPNThr,T35="H"),"Yes","No"))</f>
        <v/>
      </c>
      <c r="V35" s="4" t="n"/>
      <c r="W35" s="4" t="n"/>
      <c r="X35" s="4" t="n"/>
      <c r="Y35" s="29" t="n"/>
      <c r="Z35" s="16" t="n"/>
      <c r="AA35" s="16" t="n"/>
      <c r="AB35" s="16" t="n"/>
      <c r="AC35" s="20">
        <f>IF(OR(Z35="",AA35="",AB35=""),"",(--TRIM(LEFT(Z35,2)))*(--TRIM(LEFT(AA35,2)))*(--TRIM(LEFT(AB35,2))))</f>
        <v/>
      </c>
      <c r="AD35" s="20">
        <f>IF(OR(Z35="",AA35="",AB35=""),"",INDEX(APGrid,COUNTIF(APS,"&gt;"&amp;(--TRIM(LEFT(Z35,2))))*5+COUNTIF(APO,"&gt;"&amp;(--TRIM(LEFT(AA35,2))))+1,COUNTIF(APD,"&gt;"&amp;(--TRIM(LEFT(AB35,2))))+1))</f>
        <v/>
      </c>
      <c r="AE35" s="4" t="n"/>
      <c r="AF35" s="4" t="n"/>
      <c r="AH35">
        <f>IFERROR(INDEX(EqTag,_xlfn.AGGREGATE(15,6,(ROW(EqTag)-4)/((EqSys=$D$3)*(EqTag&lt;&gt;"")),ROWS($AH$14:AH35))),"")</f>
        <v/>
      </c>
    </row>
    <row r="36">
      <c r="A36" s="20">
        <f>IF(F36="","",LEFT($D$3,3)&amp;"-"&amp;TEXT(COUNTIF(F$14:F36,"?*"),"00"))</f>
        <v/>
      </c>
      <c r="B36" s="4" t="n"/>
      <c r="C36" s="5">
        <f>IF(B36="","",IFERROR(INDEX(EqTypeCol,MATCH(B36,EqTag,0)),"Tag not in register"))</f>
        <v/>
      </c>
      <c r="D36" s="4" t="n"/>
      <c r="E36" s="4" t="n"/>
      <c r="F36" s="4" t="n"/>
      <c r="G36" s="4" t="n"/>
      <c r="H36" s="4" t="n"/>
      <c r="I36" s="4" t="n"/>
      <c r="J36" s="5">
        <f>_xlfn.TEXTJOIN(CHAR(10),TRUE,IF(G36="","","• "&amp;G36),IF(H36="","","• "&amp;H36),IF(I36="","","• "&amp;I36))</f>
        <v/>
      </c>
      <c r="K36" s="4" t="n"/>
      <c r="L36" s="4" t="n"/>
      <c r="M36" s="4" t="n"/>
      <c r="N36" s="16" t="n"/>
      <c r="O36" s="4" t="n"/>
      <c r="P36" s="16" t="n"/>
      <c r="Q36" s="4" t="n"/>
      <c r="R36" s="16" t="n"/>
      <c r="S36" s="20">
        <f>IF(OR(N36="",P36="",R36=""),"",(--TRIM(LEFT(N36,2)))*(--TRIM(LEFT(P36,2)))*(--TRIM(LEFT(R36,2))))</f>
        <v/>
      </c>
      <c r="T36" s="20">
        <f>IF(OR(N36="",P36="",R36=""),"",INDEX(APGrid,COUNTIF(APS,"&gt;"&amp;(--TRIM(LEFT(N36,2))))*5+COUNTIF(APO,"&gt;"&amp;(--TRIM(LEFT(P36,2))))+1,COUNTIF(APD,"&gt;"&amp;(--TRIM(LEFT(R36,2))))+1))</f>
        <v/>
      </c>
      <c r="U36" s="20">
        <f>IF(S36="","",IF(OR((--TRIM(LEFT(N36,2)))&gt;=SThr,S36&gt;=RPNThr,T36="H"),"Yes","No"))</f>
        <v/>
      </c>
      <c r="V36" s="4" t="n"/>
      <c r="W36" s="4" t="n"/>
      <c r="X36" s="4" t="n"/>
      <c r="Y36" s="29" t="n"/>
      <c r="Z36" s="16" t="n"/>
      <c r="AA36" s="16" t="n"/>
      <c r="AB36" s="16" t="n"/>
      <c r="AC36" s="20">
        <f>IF(OR(Z36="",AA36="",AB36=""),"",(--TRIM(LEFT(Z36,2)))*(--TRIM(LEFT(AA36,2)))*(--TRIM(LEFT(AB36,2))))</f>
        <v/>
      </c>
      <c r="AD36" s="20">
        <f>IF(OR(Z36="",AA36="",AB36=""),"",INDEX(APGrid,COUNTIF(APS,"&gt;"&amp;(--TRIM(LEFT(Z36,2))))*5+COUNTIF(APO,"&gt;"&amp;(--TRIM(LEFT(AA36,2))))+1,COUNTIF(APD,"&gt;"&amp;(--TRIM(LEFT(AB36,2))))+1))</f>
        <v/>
      </c>
      <c r="AE36" s="4" t="n"/>
      <c r="AF36" s="4" t="n"/>
      <c r="AH36">
        <f>IFERROR(INDEX(EqTag,_xlfn.AGGREGATE(15,6,(ROW(EqTag)-4)/((EqSys=$D$3)*(EqTag&lt;&gt;"")),ROWS($AH$14:AH36))),"")</f>
        <v/>
      </c>
    </row>
    <row r="37">
      <c r="A37" s="20">
        <f>IF(F37="","",LEFT($D$3,3)&amp;"-"&amp;TEXT(COUNTIF(F$14:F37,"?*"),"00"))</f>
        <v/>
      </c>
      <c r="B37" s="4" t="n"/>
      <c r="C37" s="5">
        <f>IF(B37="","",IFERROR(INDEX(EqTypeCol,MATCH(B37,EqTag,0)),"Tag not in register"))</f>
        <v/>
      </c>
      <c r="D37" s="4" t="n"/>
      <c r="E37" s="4" t="n"/>
      <c r="F37" s="4" t="n"/>
      <c r="G37" s="4" t="n"/>
      <c r="H37" s="4" t="n"/>
      <c r="I37" s="4" t="n"/>
      <c r="J37" s="5">
        <f>_xlfn.TEXTJOIN(CHAR(10),TRUE,IF(G37="","","• "&amp;G37),IF(H37="","","• "&amp;H37),IF(I37="","","• "&amp;I37))</f>
        <v/>
      </c>
      <c r="K37" s="4" t="n"/>
      <c r="L37" s="4" t="n"/>
      <c r="M37" s="4" t="n"/>
      <c r="N37" s="16" t="n"/>
      <c r="O37" s="4" t="n"/>
      <c r="P37" s="16" t="n"/>
      <c r="Q37" s="4" t="n"/>
      <c r="R37" s="16" t="n"/>
      <c r="S37" s="20">
        <f>IF(OR(N37="",P37="",R37=""),"",(--TRIM(LEFT(N37,2)))*(--TRIM(LEFT(P37,2)))*(--TRIM(LEFT(R37,2))))</f>
        <v/>
      </c>
      <c r="T37" s="20">
        <f>IF(OR(N37="",P37="",R37=""),"",INDEX(APGrid,COUNTIF(APS,"&gt;"&amp;(--TRIM(LEFT(N37,2))))*5+COUNTIF(APO,"&gt;"&amp;(--TRIM(LEFT(P37,2))))+1,COUNTIF(APD,"&gt;"&amp;(--TRIM(LEFT(R37,2))))+1))</f>
        <v/>
      </c>
      <c r="U37" s="20">
        <f>IF(S37="","",IF(OR((--TRIM(LEFT(N37,2)))&gt;=SThr,S37&gt;=RPNThr,T37="H"),"Yes","No"))</f>
        <v/>
      </c>
      <c r="V37" s="4" t="n"/>
      <c r="W37" s="4" t="n"/>
      <c r="X37" s="4" t="n"/>
      <c r="Y37" s="29" t="n"/>
      <c r="Z37" s="16" t="n"/>
      <c r="AA37" s="16" t="n"/>
      <c r="AB37" s="16" t="n"/>
      <c r="AC37" s="20">
        <f>IF(OR(Z37="",AA37="",AB37=""),"",(--TRIM(LEFT(Z37,2)))*(--TRIM(LEFT(AA37,2)))*(--TRIM(LEFT(AB37,2))))</f>
        <v/>
      </c>
      <c r="AD37" s="20">
        <f>IF(OR(Z37="",AA37="",AB37=""),"",INDEX(APGrid,COUNTIF(APS,"&gt;"&amp;(--TRIM(LEFT(Z37,2))))*5+COUNTIF(APO,"&gt;"&amp;(--TRIM(LEFT(AA37,2))))+1,COUNTIF(APD,"&gt;"&amp;(--TRIM(LEFT(AB37,2))))+1))</f>
        <v/>
      </c>
      <c r="AE37" s="4" t="n"/>
      <c r="AF37" s="4" t="n"/>
      <c r="AH37">
        <f>IFERROR(INDEX(EqTag,_xlfn.AGGREGATE(15,6,(ROW(EqTag)-4)/((EqSys=$D$3)*(EqTag&lt;&gt;"")),ROWS($AH$14:AH37))),"")</f>
        <v/>
      </c>
    </row>
    <row r="38">
      <c r="A38" s="20">
        <f>IF(F38="","",LEFT($D$3,3)&amp;"-"&amp;TEXT(COUNTIF(F$14:F38,"?*"),"00"))</f>
        <v/>
      </c>
      <c r="B38" s="4" t="n"/>
      <c r="C38" s="5">
        <f>IF(B38="","",IFERROR(INDEX(EqTypeCol,MATCH(B38,EqTag,0)),"Tag not in register"))</f>
        <v/>
      </c>
      <c r="D38" s="4" t="n"/>
      <c r="E38" s="4" t="n"/>
      <c r="F38" s="4" t="n"/>
      <c r="G38" s="4" t="n"/>
      <c r="H38" s="4" t="n"/>
      <c r="I38" s="4" t="n"/>
      <c r="J38" s="5">
        <f>_xlfn.TEXTJOIN(CHAR(10),TRUE,IF(G38="","","• "&amp;G38),IF(H38="","","• "&amp;H38),IF(I38="","","• "&amp;I38))</f>
        <v/>
      </c>
      <c r="K38" s="4" t="n"/>
      <c r="L38" s="4" t="n"/>
      <c r="M38" s="4" t="n"/>
      <c r="N38" s="16" t="n"/>
      <c r="O38" s="4" t="n"/>
      <c r="P38" s="16" t="n"/>
      <c r="Q38" s="4" t="n"/>
      <c r="R38" s="16" t="n"/>
      <c r="S38" s="20">
        <f>IF(OR(N38="",P38="",R38=""),"",(--TRIM(LEFT(N38,2)))*(--TRIM(LEFT(P38,2)))*(--TRIM(LEFT(R38,2))))</f>
        <v/>
      </c>
      <c r="T38" s="20">
        <f>IF(OR(N38="",P38="",R38=""),"",INDEX(APGrid,COUNTIF(APS,"&gt;"&amp;(--TRIM(LEFT(N38,2))))*5+COUNTIF(APO,"&gt;"&amp;(--TRIM(LEFT(P38,2))))+1,COUNTIF(APD,"&gt;"&amp;(--TRIM(LEFT(R38,2))))+1))</f>
        <v/>
      </c>
      <c r="U38" s="20">
        <f>IF(S38="","",IF(OR((--TRIM(LEFT(N38,2)))&gt;=SThr,S38&gt;=RPNThr,T38="H"),"Yes","No"))</f>
        <v/>
      </c>
      <c r="V38" s="4" t="n"/>
      <c r="W38" s="4" t="n"/>
      <c r="X38" s="4" t="n"/>
      <c r="Y38" s="29" t="n"/>
      <c r="Z38" s="16" t="n"/>
      <c r="AA38" s="16" t="n"/>
      <c r="AB38" s="16" t="n"/>
      <c r="AC38" s="20">
        <f>IF(OR(Z38="",AA38="",AB38=""),"",(--TRIM(LEFT(Z38,2)))*(--TRIM(LEFT(AA38,2)))*(--TRIM(LEFT(AB38,2))))</f>
        <v/>
      </c>
      <c r="AD38" s="20">
        <f>IF(OR(Z38="",AA38="",AB38=""),"",INDEX(APGrid,COUNTIF(APS,"&gt;"&amp;(--TRIM(LEFT(Z38,2))))*5+COUNTIF(APO,"&gt;"&amp;(--TRIM(LEFT(AA38,2))))+1,COUNTIF(APD,"&gt;"&amp;(--TRIM(LEFT(AB38,2))))+1))</f>
        <v/>
      </c>
      <c r="AE38" s="4" t="n"/>
      <c r="AF38" s="4" t="n"/>
      <c r="AH38">
        <f>IFERROR(INDEX(EqTag,_xlfn.AGGREGATE(15,6,(ROW(EqTag)-4)/((EqSys=$D$3)*(EqTag&lt;&gt;"")),ROWS($AH$14:AH38))),"")</f>
        <v/>
      </c>
    </row>
    <row r="39">
      <c r="A39" s="20">
        <f>IF(F39="","",LEFT($D$3,3)&amp;"-"&amp;TEXT(COUNTIF(F$14:F39,"?*"),"00"))</f>
        <v/>
      </c>
      <c r="B39" s="4" t="n"/>
      <c r="C39" s="5">
        <f>IF(B39="","",IFERROR(INDEX(EqTypeCol,MATCH(B39,EqTag,0)),"Tag not in register"))</f>
        <v/>
      </c>
      <c r="D39" s="4" t="n"/>
      <c r="E39" s="4" t="n"/>
      <c r="F39" s="4" t="n"/>
      <c r="G39" s="4" t="n"/>
      <c r="H39" s="4" t="n"/>
      <c r="I39" s="4" t="n"/>
      <c r="J39" s="5">
        <f>_xlfn.TEXTJOIN(CHAR(10),TRUE,IF(G39="","","• "&amp;G39),IF(H39="","","• "&amp;H39),IF(I39="","","• "&amp;I39))</f>
        <v/>
      </c>
      <c r="K39" s="4" t="n"/>
      <c r="L39" s="4" t="n"/>
      <c r="M39" s="4" t="n"/>
      <c r="N39" s="16" t="n"/>
      <c r="O39" s="4" t="n"/>
      <c r="P39" s="16" t="n"/>
      <c r="Q39" s="4" t="n"/>
      <c r="R39" s="16" t="n"/>
      <c r="S39" s="20">
        <f>IF(OR(N39="",P39="",R39=""),"",(--TRIM(LEFT(N39,2)))*(--TRIM(LEFT(P39,2)))*(--TRIM(LEFT(R39,2))))</f>
        <v/>
      </c>
      <c r="T39" s="20">
        <f>IF(OR(N39="",P39="",R39=""),"",INDEX(APGrid,COUNTIF(APS,"&gt;"&amp;(--TRIM(LEFT(N39,2))))*5+COUNTIF(APO,"&gt;"&amp;(--TRIM(LEFT(P39,2))))+1,COUNTIF(APD,"&gt;"&amp;(--TRIM(LEFT(R39,2))))+1))</f>
        <v/>
      </c>
      <c r="U39" s="20">
        <f>IF(S39="","",IF(OR((--TRIM(LEFT(N39,2)))&gt;=SThr,S39&gt;=RPNThr,T39="H"),"Yes","No"))</f>
        <v/>
      </c>
      <c r="V39" s="4" t="n"/>
      <c r="W39" s="4" t="n"/>
      <c r="X39" s="4" t="n"/>
      <c r="Y39" s="29" t="n"/>
      <c r="Z39" s="16" t="n"/>
      <c r="AA39" s="16" t="n"/>
      <c r="AB39" s="16" t="n"/>
      <c r="AC39" s="20">
        <f>IF(OR(Z39="",AA39="",AB39=""),"",(--TRIM(LEFT(Z39,2)))*(--TRIM(LEFT(AA39,2)))*(--TRIM(LEFT(AB39,2))))</f>
        <v/>
      </c>
      <c r="AD39" s="20">
        <f>IF(OR(Z39="",AA39="",AB39=""),"",INDEX(APGrid,COUNTIF(APS,"&gt;"&amp;(--TRIM(LEFT(Z39,2))))*5+COUNTIF(APO,"&gt;"&amp;(--TRIM(LEFT(AA39,2))))+1,COUNTIF(APD,"&gt;"&amp;(--TRIM(LEFT(AB39,2))))+1))</f>
        <v/>
      </c>
      <c r="AE39" s="4" t="n"/>
      <c r="AF39" s="4" t="n"/>
      <c r="AH39">
        <f>IFERROR(INDEX(EqTag,_xlfn.AGGREGATE(15,6,(ROW(EqTag)-4)/((EqSys=$D$3)*(EqTag&lt;&gt;"")),ROWS($AH$14:AH39))),"")</f>
        <v/>
      </c>
    </row>
    <row r="40">
      <c r="A40" s="20">
        <f>IF(F40="","",LEFT($D$3,3)&amp;"-"&amp;TEXT(COUNTIF(F$14:F40,"?*"),"00"))</f>
        <v/>
      </c>
      <c r="B40" s="4" t="n"/>
      <c r="C40" s="5">
        <f>IF(B40="","",IFERROR(INDEX(EqTypeCol,MATCH(B40,EqTag,0)),"Tag not in register"))</f>
        <v/>
      </c>
      <c r="D40" s="4" t="n"/>
      <c r="E40" s="4" t="n"/>
      <c r="F40" s="4" t="n"/>
      <c r="G40" s="4" t="n"/>
      <c r="H40" s="4" t="n"/>
      <c r="I40" s="4" t="n"/>
      <c r="J40" s="5">
        <f>_xlfn.TEXTJOIN(CHAR(10),TRUE,IF(G40="","","• "&amp;G40),IF(H40="","","• "&amp;H40),IF(I40="","","• "&amp;I40))</f>
        <v/>
      </c>
      <c r="K40" s="4" t="n"/>
      <c r="L40" s="4" t="n"/>
      <c r="M40" s="4" t="n"/>
      <c r="N40" s="16" t="n"/>
      <c r="O40" s="4" t="n"/>
      <c r="P40" s="16" t="n"/>
      <c r="Q40" s="4" t="n"/>
      <c r="R40" s="16" t="n"/>
      <c r="S40" s="20">
        <f>IF(OR(N40="",P40="",R40=""),"",(--TRIM(LEFT(N40,2)))*(--TRIM(LEFT(P40,2)))*(--TRIM(LEFT(R40,2))))</f>
        <v/>
      </c>
      <c r="T40" s="20">
        <f>IF(OR(N40="",P40="",R40=""),"",INDEX(APGrid,COUNTIF(APS,"&gt;"&amp;(--TRIM(LEFT(N40,2))))*5+COUNTIF(APO,"&gt;"&amp;(--TRIM(LEFT(P40,2))))+1,COUNTIF(APD,"&gt;"&amp;(--TRIM(LEFT(R40,2))))+1))</f>
        <v/>
      </c>
      <c r="U40" s="20">
        <f>IF(S40="","",IF(OR((--TRIM(LEFT(N40,2)))&gt;=SThr,S40&gt;=RPNThr,T40="H"),"Yes","No"))</f>
        <v/>
      </c>
      <c r="V40" s="4" t="n"/>
      <c r="W40" s="4" t="n"/>
      <c r="X40" s="4" t="n"/>
      <c r="Y40" s="29" t="n"/>
      <c r="Z40" s="16" t="n"/>
      <c r="AA40" s="16" t="n"/>
      <c r="AB40" s="16" t="n"/>
      <c r="AC40" s="20">
        <f>IF(OR(Z40="",AA40="",AB40=""),"",(--TRIM(LEFT(Z40,2)))*(--TRIM(LEFT(AA40,2)))*(--TRIM(LEFT(AB40,2))))</f>
        <v/>
      </c>
      <c r="AD40" s="20">
        <f>IF(OR(Z40="",AA40="",AB40=""),"",INDEX(APGrid,COUNTIF(APS,"&gt;"&amp;(--TRIM(LEFT(Z40,2))))*5+COUNTIF(APO,"&gt;"&amp;(--TRIM(LEFT(AA40,2))))+1,COUNTIF(APD,"&gt;"&amp;(--TRIM(LEFT(AB40,2))))+1))</f>
        <v/>
      </c>
      <c r="AE40" s="4" t="n"/>
      <c r="AF40" s="4" t="n"/>
      <c r="AH40">
        <f>IFERROR(INDEX(EqTag,_xlfn.AGGREGATE(15,6,(ROW(EqTag)-4)/((EqSys=$D$3)*(EqTag&lt;&gt;"")),ROWS($AH$14:AH40))),"")</f>
        <v/>
      </c>
    </row>
    <row r="41">
      <c r="A41" s="20">
        <f>IF(F41="","",LEFT($D$3,3)&amp;"-"&amp;TEXT(COUNTIF(F$14:F41,"?*"),"00"))</f>
        <v/>
      </c>
      <c r="B41" s="4" t="n"/>
      <c r="C41" s="5">
        <f>IF(B41="","",IFERROR(INDEX(EqTypeCol,MATCH(B41,EqTag,0)),"Tag not in register"))</f>
        <v/>
      </c>
      <c r="D41" s="4" t="n"/>
      <c r="E41" s="4" t="n"/>
      <c r="F41" s="4" t="n"/>
      <c r="G41" s="4" t="n"/>
      <c r="H41" s="4" t="n"/>
      <c r="I41" s="4" t="n"/>
      <c r="J41" s="5">
        <f>_xlfn.TEXTJOIN(CHAR(10),TRUE,IF(G41="","","• "&amp;G41),IF(H41="","","• "&amp;H41),IF(I41="","","• "&amp;I41))</f>
        <v/>
      </c>
      <c r="K41" s="4" t="n"/>
      <c r="L41" s="4" t="n"/>
      <c r="M41" s="4" t="n"/>
      <c r="N41" s="16" t="n"/>
      <c r="O41" s="4" t="n"/>
      <c r="P41" s="16" t="n"/>
      <c r="Q41" s="4" t="n"/>
      <c r="R41" s="16" t="n"/>
      <c r="S41" s="20">
        <f>IF(OR(N41="",P41="",R41=""),"",(--TRIM(LEFT(N41,2)))*(--TRIM(LEFT(P41,2)))*(--TRIM(LEFT(R41,2))))</f>
        <v/>
      </c>
      <c r="T41" s="20">
        <f>IF(OR(N41="",P41="",R41=""),"",INDEX(APGrid,COUNTIF(APS,"&gt;"&amp;(--TRIM(LEFT(N41,2))))*5+COUNTIF(APO,"&gt;"&amp;(--TRIM(LEFT(P41,2))))+1,COUNTIF(APD,"&gt;"&amp;(--TRIM(LEFT(R41,2))))+1))</f>
        <v/>
      </c>
      <c r="U41" s="20">
        <f>IF(S41="","",IF(OR((--TRIM(LEFT(N41,2)))&gt;=SThr,S41&gt;=RPNThr,T41="H"),"Yes","No"))</f>
        <v/>
      </c>
      <c r="V41" s="4" t="n"/>
      <c r="W41" s="4" t="n"/>
      <c r="X41" s="4" t="n"/>
      <c r="Y41" s="29" t="n"/>
      <c r="Z41" s="16" t="n"/>
      <c r="AA41" s="16" t="n"/>
      <c r="AB41" s="16" t="n"/>
      <c r="AC41" s="20">
        <f>IF(OR(Z41="",AA41="",AB41=""),"",(--TRIM(LEFT(Z41,2)))*(--TRIM(LEFT(AA41,2)))*(--TRIM(LEFT(AB41,2))))</f>
        <v/>
      </c>
      <c r="AD41" s="20">
        <f>IF(OR(Z41="",AA41="",AB41=""),"",INDEX(APGrid,COUNTIF(APS,"&gt;"&amp;(--TRIM(LEFT(Z41,2))))*5+COUNTIF(APO,"&gt;"&amp;(--TRIM(LEFT(AA41,2))))+1,COUNTIF(APD,"&gt;"&amp;(--TRIM(LEFT(AB41,2))))+1))</f>
        <v/>
      </c>
      <c r="AE41" s="4" t="n"/>
      <c r="AF41" s="4" t="n"/>
      <c r="AH41">
        <f>IFERROR(INDEX(EqTag,_xlfn.AGGREGATE(15,6,(ROW(EqTag)-4)/((EqSys=$D$3)*(EqTag&lt;&gt;"")),ROWS($AH$14:AH41))),"")</f>
        <v/>
      </c>
    </row>
    <row r="42">
      <c r="A42" s="20">
        <f>IF(F42="","",LEFT($D$3,3)&amp;"-"&amp;TEXT(COUNTIF(F$14:F42,"?*"),"00"))</f>
        <v/>
      </c>
      <c r="B42" s="4" t="n"/>
      <c r="C42" s="5">
        <f>IF(B42="","",IFERROR(INDEX(EqTypeCol,MATCH(B42,EqTag,0)),"Tag not in register"))</f>
        <v/>
      </c>
      <c r="D42" s="4" t="n"/>
      <c r="E42" s="4" t="n"/>
      <c r="F42" s="4" t="n"/>
      <c r="G42" s="4" t="n"/>
      <c r="H42" s="4" t="n"/>
      <c r="I42" s="4" t="n"/>
      <c r="J42" s="5">
        <f>_xlfn.TEXTJOIN(CHAR(10),TRUE,IF(G42="","","• "&amp;G42),IF(H42="","","• "&amp;H42),IF(I42="","","• "&amp;I42))</f>
        <v/>
      </c>
      <c r="K42" s="4" t="n"/>
      <c r="L42" s="4" t="n"/>
      <c r="M42" s="4" t="n"/>
      <c r="N42" s="16" t="n"/>
      <c r="O42" s="4" t="n"/>
      <c r="P42" s="16" t="n"/>
      <c r="Q42" s="4" t="n"/>
      <c r="R42" s="16" t="n"/>
      <c r="S42" s="20">
        <f>IF(OR(N42="",P42="",R42=""),"",(--TRIM(LEFT(N42,2)))*(--TRIM(LEFT(P42,2)))*(--TRIM(LEFT(R42,2))))</f>
        <v/>
      </c>
      <c r="T42" s="20">
        <f>IF(OR(N42="",P42="",R42=""),"",INDEX(APGrid,COUNTIF(APS,"&gt;"&amp;(--TRIM(LEFT(N42,2))))*5+COUNTIF(APO,"&gt;"&amp;(--TRIM(LEFT(P42,2))))+1,COUNTIF(APD,"&gt;"&amp;(--TRIM(LEFT(R42,2))))+1))</f>
        <v/>
      </c>
      <c r="U42" s="20">
        <f>IF(S42="","",IF(OR((--TRIM(LEFT(N42,2)))&gt;=SThr,S42&gt;=RPNThr,T42="H"),"Yes","No"))</f>
        <v/>
      </c>
      <c r="V42" s="4" t="n"/>
      <c r="W42" s="4" t="n"/>
      <c r="X42" s="4" t="n"/>
      <c r="Y42" s="29" t="n"/>
      <c r="Z42" s="16" t="n"/>
      <c r="AA42" s="16" t="n"/>
      <c r="AB42" s="16" t="n"/>
      <c r="AC42" s="20">
        <f>IF(OR(Z42="",AA42="",AB42=""),"",(--TRIM(LEFT(Z42,2)))*(--TRIM(LEFT(AA42,2)))*(--TRIM(LEFT(AB42,2))))</f>
        <v/>
      </c>
      <c r="AD42" s="20">
        <f>IF(OR(Z42="",AA42="",AB42=""),"",INDEX(APGrid,COUNTIF(APS,"&gt;"&amp;(--TRIM(LEFT(Z42,2))))*5+COUNTIF(APO,"&gt;"&amp;(--TRIM(LEFT(AA42,2))))+1,COUNTIF(APD,"&gt;"&amp;(--TRIM(LEFT(AB42,2))))+1))</f>
        <v/>
      </c>
      <c r="AE42" s="4" t="n"/>
      <c r="AF42" s="4" t="n"/>
      <c r="AH42">
        <f>IFERROR(INDEX(EqTag,_xlfn.AGGREGATE(15,6,(ROW(EqTag)-4)/((EqSys=$D$3)*(EqTag&lt;&gt;"")),ROWS($AH$14:AH42))),"")</f>
        <v/>
      </c>
    </row>
    <row r="43">
      <c r="A43" s="20">
        <f>IF(F43="","",LEFT($D$3,3)&amp;"-"&amp;TEXT(COUNTIF(F$14:F43,"?*"),"00"))</f>
        <v/>
      </c>
      <c r="B43" s="4" t="n"/>
      <c r="C43" s="5">
        <f>IF(B43="","",IFERROR(INDEX(EqTypeCol,MATCH(B43,EqTag,0)),"Tag not in register"))</f>
        <v/>
      </c>
      <c r="D43" s="4" t="n"/>
      <c r="E43" s="4" t="n"/>
      <c r="F43" s="4" t="n"/>
      <c r="G43" s="4" t="n"/>
      <c r="H43" s="4" t="n"/>
      <c r="I43" s="4" t="n"/>
      <c r="J43" s="5">
        <f>_xlfn.TEXTJOIN(CHAR(10),TRUE,IF(G43="","","• "&amp;G43),IF(H43="","","• "&amp;H43),IF(I43="","","• "&amp;I43))</f>
        <v/>
      </c>
      <c r="K43" s="4" t="n"/>
      <c r="L43" s="4" t="n"/>
      <c r="M43" s="4" t="n"/>
      <c r="N43" s="16" t="n"/>
      <c r="O43" s="4" t="n"/>
      <c r="P43" s="16" t="n"/>
      <c r="Q43" s="4" t="n"/>
      <c r="R43" s="16" t="n"/>
      <c r="S43" s="20">
        <f>IF(OR(N43="",P43="",R43=""),"",(--TRIM(LEFT(N43,2)))*(--TRIM(LEFT(P43,2)))*(--TRIM(LEFT(R43,2))))</f>
        <v/>
      </c>
      <c r="T43" s="20">
        <f>IF(OR(N43="",P43="",R43=""),"",INDEX(APGrid,COUNTIF(APS,"&gt;"&amp;(--TRIM(LEFT(N43,2))))*5+COUNTIF(APO,"&gt;"&amp;(--TRIM(LEFT(P43,2))))+1,COUNTIF(APD,"&gt;"&amp;(--TRIM(LEFT(R43,2))))+1))</f>
        <v/>
      </c>
      <c r="U43" s="20">
        <f>IF(S43="","",IF(OR((--TRIM(LEFT(N43,2)))&gt;=SThr,S43&gt;=RPNThr,T43="H"),"Yes","No"))</f>
        <v/>
      </c>
      <c r="V43" s="4" t="n"/>
      <c r="W43" s="4" t="n"/>
      <c r="X43" s="4" t="n"/>
      <c r="Y43" s="29" t="n"/>
      <c r="Z43" s="16" t="n"/>
      <c r="AA43" s="16" t="n"/>
      <c r="AB43" s="16" t="n"/>
      <c r="AC43" s="20">
        <f>IF(OR(Z43="",AA43="",AB43=""),"",(--TRIM(LEFT(Z43,2)))*(--TRIM(LEFT(AA43,2)))*(--TRIM(LEFT(AB43,2))))</f>
        <v/>
      </c>
      <c r="AD43" s="20">
        <f>IF(OR(Z43="",AA43="",AB43=""),"",INDEX(APGrid,COUNTIF(APS,"&gt;"&amp;(--TRIM(LEFT(Z43,2))))*5+COUNTIF(APO,"&gt;"&amp;(--TRIM(LEFT(AA43,2))))+1,COUNTIF(APD,"&gt;"&amp;(--TRIM(LEFT(AB43,2))))+1))</f>
        <v/>
      </c>
      <c r="AE43" s="4" t="n"/>
      <c r="AF43" s="4" t="n"/>
      <c r="AH43">
        <f>IFERROR(INDEX(EqTag,_xlfn.AGGREGATE(15,6,(ROW(EqTag)-4)/((EqSys=$D$3)*(EqTag&lt;&gt;"")),ROWS($AH$14:AH43))),"")</f>
        <v/>
      </c>
    </row>
    <row r="44">
      <c r="A44" s="20">
        <f>IF(F44="","",LEFT($D$3,3)&amp;"-"&amp;TEXT(COUNTIF(F$14:F44,"?*"),"00"))</f>
        <v/>
      </c>
      <c r="B44" s="4" t="n"/>
      <c r="C44" s="5">
        <f>IF(B44="","",IFERROR(INDEX(EqTypeCol,MATCH(B44,EqTag,0)),"Tag not in register"))</f>
        <v/>
      </c>
      <c r="D44" s="4" t="n"/>
      <c r="E44" s="4" t="n"/>
      <c r="F44" s="4" t="n"/>
      <c r="G44" s="4" t="n"/>
      <c r="H44" s="4" t="n"/>
      <c r="I44" s="4" t="n"/>
      <c r="J44" s="5">
        <f>_xlfn.TEXTJOIN(CHAR(10),TRUE,IF(G44="","","• "&amp;G44),IF(H44="","","• "&amp;H44),IF(I44="","","• "&amp;I44))</f>
        <v/>
      </c>
      <c r="K44" s="4" t="n"/>
      <c r="L44" s="4" t="n"/>
      <c r="M44" s="4" t="n"/>
      <c r="N44" s="16" t="n"/>
      <c r="O44" s="4" t="n"/>
      <c r="P44" s="16" t="n"/>
      <c r="Q44" s="4" t="n"/>
      <c r="R44" s="16" t="n"/>
      <c r="S44" s="20">
        <f>IF(OR(N44="",P44="",R44=""),"",(--TRIM(LEFT(N44,2)))*(--TRIM(LEFT(P44,2)))*(--TRIM(LEFT(R44,2))))</f>
        <v/>
      </c>
      <c r="T44" s="20">
        <f>IF(OR(N44="",P44="",R44=""),"",INDEX(APGrid,COUNTIF(APS,"&gt;"&amp;(--TRIM(LEFT(N44,2))))*5+COUNTIF(APO,"&gt;"&amp;(--TRIM(LEFT(P44,2))))+1,COUNTIF(APD,"&gt;"&amp;(--TRIM(LEFT(R44,2))))+1))</f>
        <v/>
      </c>
      <c r="U44" s="20">
        <f>IF(S44="","",IF(OR((--TRIM(LEFT(N44,2)))&gt;=SThr,S44&gt;=RPNThr,T44="H"),"Yes","No"))</f>
        <v/>
      </c>
      <c r="V44" s="4" t="n"/>
      <c r="W44" s="4" t="n"/>
      <c r="X44" s="4" t="n"/>
      <c r="Y44" s="29" t="n"/>
      <c r="Z44" s="16" t="n"/>
      <c r="AA44" s="16" t="n"/>
      <c r="AB44" s="16" t="n"/>
      <c r="AC44" s="20">
        <f>IF(OR(Z44="",AA44="",AB44=""),"",(--TRIM(LEFT(Z44,2)))*(--TRIM(LEFT(AA44,2)))*(--TRIM(LEFT(AB44,2))))</f>
        <v/>
      </c>
      <c r="AD44" s="20">
        <f>IF(OR(Z44="",AA44="",AB44=""),"",INDEX(APGrid,COUNTIF(APS,"&gt;"&amp;(--TRIM(LEFT(Z44,2))))*5+COUNTIF(APO,"&gt;"&amp;(--TRIM(LEFT(AA44,2))))+1,COUNTIF(APD,"&gt;"&amp;(--TRIM(LEFT(AB44,2))))+1))</f>
        <v/>
      </c>
      <c r="AE44" s="4" t="n"/>
      <c r="AF44" s="4" t="n"/>
      <c r="AH44">
        <f>IFERROR(INDEX(EqTag,_xlfn.AGGREGATE(15,6,(ROW(EqTag)-4)/((EqSys=$D$3)*(EqTag&lt;&gt;"")),ROWS($AH$14:AH44))),"")</f>
        <v/>
      </c>
    </row>
    <row r="45">
      <c r="A45" s="20">
        <f>IF(F45="","",LEFT($D$3,3)&amp;"-"&amp;TEXT(COUNTIF(F$14:F45,"?*"),"00"))</f>
        <v/>
      </c>
      <c r="B45" s="4" t="n"/>
      <c r="C45" s="5">
        <f>IF(B45="","",IFERROR(INDEX(EqTypeCol,MATCH(B45,EqTag,0)),"Tag not in register"))</f>
        <v/>
      </c>
      <c r="D45" s="4" t="n"/>
      <c r="E45" s="4" t="n"/>
      <c r="F45" s="4" t="n"/>
      <c r="G45" s="4" t="n"/>
      <c r="H45" s="4" t="n"/>
      <c r="I45" s="4" t="n"/>
      <c r="J45" s="5">
        <f>_xlfn.TEXTJOIN(CHAR(10),TRUE,IF(G45="","","• "&amp;G45),IF(H45="","","• "&amp;H45),IF(I45="","","• "&amp;I45))</f>
        <v/>
      </c>
      <c r="K45" s="4" t="n"/>
      <c r="L45" s="4" t="n"/>
      <c r="M45" s="4" t="n"/>
      <c r="N45" s="16" t="n"/>
      <c r="O45" s="4" t="n"/>
      <c r="P45" s="16" t="n"/>
      <c r="Q45" s="4" t="n"/>
      <c r="R45" s="16" t="n"/>
      <c r="S45" s="20">
        <f>IF(OR(N45="",P45="",R45=""),"",(--TRIM(LEFT(N45,2)))*(--TRIM(LEFT(P45,2)))*(--TRIM(LEFT(R45,2))))</f>
        <v/>
      </c>
      <c r="T45" s="20">
        <f>IF(OR(N45="",P45="",R45=""),"",INDEX(APGrid,COUNTIF(APS,"&gt;"&amp;(--TRIM(LEFT(N45,2))))*5+COUNTIF(APO,"&gt;"&amp;(--TRIM(LEFT(P45,2))))+1,COUNTIF(APD,"&gt;"&amp;(--TRIM(LEFT(R45,2))))+1))</f>
        <v/>
      </c>
      <c r="U45" s="20">
        <f>IF(S45="","",IF(OR((--TRIM(LEFT(N45,2)))&gt;=SThr,S45&gt;=RPNThr,T45="H"),"Yes","No"))</f>
        <v/>
      </c>
      <c r="V45" s="4" t="n"/>
      <c r="W45" s="4" t="n"/>
      <c r="X45" s="4" t="n"/>
      <c r="Y45" s="29" t="n"/>
      <c r="Z45" s="16" t="n"/>
      <c r="AA45" s="16" t="n"/>
      <c r="AB45" s="16" t="n"/>
      <c r="AC45" s="20">
        <f>IF(OR(Z45="",AA45="",AB45=""),"",(--TRIM(LEFT(Z45,2)))*(--TRIM(LEFT(AA45,2)))*(--TRIM(LEFT(AB45,2))))</f>
        <v/>
      </c>
      <c r="AD45" s="20">
        <f>IF(OR(Z45="",AA45="",AB45=""),"",INDEX(APGrid,COUNTIF(APS,"&gt;"&amp;(--TRIM(LEFT(Z45,2))))*5+COUNTIF(APO,"&gt;"&amp;(--TRIM(LEFT(AA45,2))))+1,COUNTIF(APD,"&gt;"&amp;(--TRIM(LEFT(AB45,2))))+1))</f>
        <v/>
      </c>
      <c r="AE45" s="4" t="n"/>
      <c r="AF45" s="4" t="n"/>
      <c r="AH45">
        <f>IFERROR(INDEX(EqTag,_xlfn.AGGREGATE(15,6,(ROW(EqTag)-4)/((EqSys=$D$3)*(EqTag&lt;&gt;"")),ROWS($AH$14:AH45))),"")</f>
        <v/>
      </c>
    </row>
    <row r="46">
      <c r="A46" s="20">
        <f>IF(F46="","",LEFT($D$3,3)&amp;"-"&amp;TEXT(COUNTIF(F$14:F46,"?*"),"00"))</f>
        <v/>
      </c>
      <c r="B46" s="4" t="n"/>
      <c r="C46" s="5">
        <f>IF(B46="","",IFERROR(INDEX(EqTypeCol,MATCH(B46,EqTag,0)),"Tag not in register"))</f>
        <v/>
      </c>
      <c r="D46" s="4" t="n"/>
      <c r="E46" s="4" t="n"/>
      <c r="F46" s="4" t="n"/>
      <c r="G46" s="4" t="n"/>
      <c r="H46" s="4" t="n"/>
      <c r="I46" s="4" t="n"/>
      <c r="J46" s="5">
        <f>_xlfn.TEXTJOIN(CHAR(10),TRUE,IF(G46="","","• "&amp;G46),IF(H46="","","• "&amp;H46),IF(I46="","","• "&amp;I46))</f>
        <v/>
      </c>
      <c r="K46" s="4" t="n"/>
      <c r="L46" s="4" t="n"/>
      <c r="M46" s="4" t="n"/>
      <c r="N46" s="16" t="n"/>
      <c r="O46" s="4" t="n"/>
      <c r="P46" s="16" t="n"/>
      <c r="Q46" s="4" t="n"/>
      <c r="R46" s="16" t="n"/>
      <c r="S46" s="20">
        <f>IF(OR(N46="",P46="",R46=""),"",(--TRIM(LEFT(N46,2)))*(--TRIM(LEFT(P46,2)))*(--TRIM(LEFT(R46,2))))</f>
        <v/>
      </c>
      <c r="T46" s="20">
        <f>IF(OR(N46="",P46="",R46=""),"",INDEX(APGrid,COUNTIF(APS,"&gt;"&amp;(--TRIM(LEFT(N46,2))))*5+COUNTIF(APO,"&gt;"&amp;(--TRIM(LEFT(P46,2))))+1,COUNTIF(APD,"&gt;"&amp;(--TRIM(LEFT(R46,2))))+1))</f>
        <v/>
      </c>
      <c r="U46" s="20">
        <f>IF(S46="","",IF(OR((--TRIM(LEFT(N46,2)))&gt;=SThr,S46&gt;=RPNThr,T46="H"),"Yes","No"))</f>
        <v/>
      </c>
      <c r="V46" s="4" t="n"/>
      <c r="W46" s="4" t="n"/>
      <c r="X46" s="4" t="n"/>
      <c r="Y46" s="29" t="n"/>
      <c r="Z46" s="16" t="n"/>
      <c r="AA46" s="16" t="n"/>
      <c r="AB46" s="16" t="n"/>
      <c r="AC46" s="20">
        <f>IF(OR(Z46="",AA46="",AB46=""),"",(--TRIM(LEFT(Z46,2)))*(--TRIM(LEFT(AA46,2)))*(--TRIM(LEFT(AB46,2))))</f>
        <v/>
      </c>
      <c r="AD46" s="20">
        <f>IF(OR(Z46="",AA46="",AB46=""),"",INDEX(APGrid,COUNTIF(APS,"&gt;"&amp;(--TRIM(LEFT(Z46,2))))*5+COUNTIF(APO,"&gt;"&amp;(--TRIM(LEFT(AA46,2))))+1,COUNTIF(APD,"&gt;"&amp;(--TRIM(LEFT(AB46,2))))+1))</f>
        <v/>
      </c>
      <c r="AE46" s="4" t="n"/>
      <c r="AF46" s="4" t="n"/>
      <c r="AH46">
        <f>IFERROR(INDEX(EqTag,_xlfn.AGGREGATE(15,6,(ROW(EqTag)-4)/((EqSys=$D$3)*(EqTag&lt;&gt;"")),ROWS($AH$14:AH46))),"")</f>
        <v/>
      </c>
    </row>
    <row r="47">
      <c r="A47" s="20">
        <f>IF(F47="","",LEFT($D$3,3)&amp;"-"&amp;TEXT(COUNTIF(F$14:F47,"?*"),"00"))</f>
        <v/>
      </c>
      <c r="B47" s="4" t="n"/>
      <c r="C47" s="5">
        <f>IF(B47="","",IFERROR(INDEX(EqTypeCol,MATCH(B47,EqTag,0)),"Tag not in register"))</f>
        <v/>
      </c>
      <c r="D47" s="4" t="n"/>
      <c r="E47" s="4" t="n"/>
      <c r="F47" s="4" t="n"/>
      <c r="G47" s="4" t="n"/>
      <c r="H47" s="4" t="n"/>
      <c r="I47" s="4" t="n"/>
      <c r="J47" s="5">
        <f>_xlfn.TEXTJOIN(CHAR(10),TRUE,IF(G47="","","• "&amp;G47),IF(H47="","","• "&amp;H47),IF(I47="","","• "&amp;I47))</f>
        <v/>
      </c>
      <c r="K47" s="4" t="n"/>
      <c r="L47" s="4" t="n"/>
      <c r="M47" s="4" t="n"/>
      <c r="N47" s="16" t="n"/>
      <c r="O47" s="4" t="n"/>
      <c r="P47" s="16" t="n"/>
      <c r="Q47" s="4" t="n"/>
      <c r="R47" s="16" t="n"/>
      <c r="S47" s="20">
        <f>IF(OR(N47="",P47="",R47=""),"",(--TRIM(LEFT(N47,2)))*(--TRIM(LEFT(P47,2)))*(--TRIM(LEFT(R47,2))))</f>
        <v/>
      </c>
      <c r="T47" s="20">
        <f>IF(OR(N47="",P47="",R47=""),"",INDEX(APGrid,COUNTIF(APS,"&gt;"&amp;(--TRIM(LEFT(N47,2))))*5+COUNTIF(APO,"&gt;"&amp;(--TRIM(LEFT(P47,2))))+1,COUNTIF(APD,"&gt;"&amp;(--TRIM(LEFT(R47,2))))+1))</f>
        <v/>
      </c>
      <c r="U47" s="20">
        <f>IF(S47="","",IF(OR((--TRIM(LEFT(N47,2)))&gt;=SThr,S47&gt;=RPNThr,T47="H"),"Yes","No"))</f>
        <v/>
      </c>
      <c r="V47" s="4" t="n"/>
      <c r="W47" s="4" t="n"/>
      <c r="X47" s="4" t="n"/>
      <c r="Y47" s="29" t="n"/>
      <c r="Z47" s="16" t="n"/>
      <c r="AA47" s="16" t="n"/>
      <c r="AB47" s="16" t="n"/>
      <c r="AC47" s="20">
        <f>IF(OR(Z47="",AA47="",AB47=""),"",(--TRIM(LEFT(Z47,2)))*(--TRIM(LEFT(AA47,2)))*(--TRIM(LEFT(AB47,2))))</f>
        <v/>
      </c>
      <c r="AD47" s="20">
        <f>IF(OR(Z47="",AA47="",AB47=""),"",INDEX(APGrid,COUNTIF(APS,"&gt;"&amp;(--TRIM(LEFT(Z47,2))))*5+COUNTIF(APO,"&gt;"&amp;(--TRIM(LEFT(AA47,2))))+1,COUNTIF(APD,"&gt;"&amp;(--TRIM(LEFT(AB47,2))))+1))</f>
        <v/>
      </c>
      <c r="AE47" s="4" t="n"/>
      <c r="AF47" s="4" t="n"/>
      <c r="AH47">
        <f>IFERROR(INDEX(EqTag,_xlfn.AGGREGATE(15,6,(ROW(EqTag)-4)/((EqSys=$D$3)*(EqTag&lt;&gt;"")),ROWS($AH$14:AH47))),"")</f>
        <v/>
      </c>
    </row>
    <row r="48">
      <c r="A48" s="20">
        <f>IF(F48="","",LEFT($D$3,3)&amp;"-"&amp;TEXT(COUNTIF(F$14:F48,"?*"),"00"))</f>
        <v/>
      </c>
      <c r="B48" s="4" t="n"/>
      <c r="C48" s="5">
        <f>IF(B48="","",IFERROR(INDEX(EqTypeCol,MATCH(B48,EqTag,0)),"Tag not in register"))</f>
        <v/>
      </c>
      <c r="D48" s="4" t="n"/>
      <c r="E48" s="4" t="n"/>
      <c r="F48" s="4" t="n"/>
      <c r="G48" s="4" t="n"/>
      <c r="H48" s="4" t="n"/>
      <c r="I48" s="4" t="n"/>
      <c r="J48" s="5">
        <f>_xlfn.TEXTJOIN(CHAR(10),TRUE,IF(G48="","","• "&amp;G48),IF(H48="","","• "&amp;H48),IF(I48="","","• "&amp;I48))</f>
        <v/>
      </c>
      <c r="K48" s="4" t="n"/>
      <c r="L48" s="4" t="n"/>
      <c r="M48" s="4" t="n"/>
      <c r="N48" s="16" t="n"/>
      <c r="O48" s="4" t="n"/>
      <c r="P48" s="16" t="n"/>
      <c r="Q48" s="4" t="n"/>
      <c r="R48" s="16" t="n"/>
      <c r="S48" s="20">
        <f>IF(OR(N48="",P48="",R48=""),"",(--TRIM(LEFT(N48,2)))*(--TRIM(LEFT(P48,2)))*(--TRIM(LEFT(R48,2))))</f>
        <v/>
      </c>
      <c r="T48" s="20">
        <f>IF(OR(N48="",P48="",R48=""),"",INDEX(APGrid,COUNTIF(APS,"&gt;"&amp;(--TRIM(LEFT(N48,2))))*5+COUNTIF(APO,"&gt;"&amp;(--TRIM(LEFT(P48,2))))+1,COUNTIF(APD,"&gt;"&amp;(--TRIM(LEFT(R48,2))))+1))</f>
        <v/>
      </c>
      <c r="U48" s="20">
        <f>IF(S48="","",IF(OR((--TRIM(LEFT(N48,2)))&gt;=SThr,S48&gt;=RPNThr,T48="H"),"Yes","No"))</f>
        <v/>
      </c>
      <c r="V48" s="4" t="n"/>
      <c r="W48" s="4" t="n"/>
      <c r="X48" s="4" t="n"/>
      <c r="Y48" s="29" t="n"/>
      <c r="Z48" s="16" t="n"/>
      <c r="AA48" s="16" t="n"/>
      <c r="AB48" s="16" t="n"/>
      <c r="AC48" s="20">
        <f>IF(OR(Z48="",AA48="",AB48=""),"",(--TRIM(LEFT(Z48,2)))*(--TRIM(LEFT(AA48,2)))*(--TRIM(LEFT(AB48,2))))</f>
        <v/>
      </c>
      <c r="AD48" s="20">
        <f>IF(OR(Z48="",AA48="",AB48=""),"",INDEX(APGrid,COUNTIF(APS,"&gt;"&amp;(--TRIM(LEFT(Z48,2))))*5+COUNTIF(APO,"&gt;"&amp;(--TRIM(LEFT(AA48,2))))+1,COUNTIF(APD,"&gt;"&amp;(--TRIM(LEFT(AB48,2))))+1))</f>
        <v/>
      </c>
      <c r="AE48" s="4" t="n"/>
      <c r="AF48" s="4" t="n"/>
      <c r="AH48">
        <f>IFERROR(INDEX(EqTag,_xlfn.AGGREGATE(15,6,(ROW(EqTag)-4)/((EqSys=$D$3)*(EqTag&lt;&gt;"")),ROWS($AH$14:AH48))),"")</f>
        <v/>
      </c>
    </row>
    <row r="49">
      <c r="A49" s="20">
        <f>IF(F49="","",LEFT($D$3,3)&amp;"-"&amp;TEXT(COUNTIF(F$14:F49,"?*"),"00"))</f>
        <v/>
      </c>
      <c r="B49" s="4" t="n"/>
      <c r="C49" s="5">
        <f>IF(B49="","",IFERROR(INDEX(EqTypeCol,MATCH(B49,EqTag,0)),"Tag not in register"))</f>
        <v/>
      </c>
      <c r="D49" s="4" t="n"/>
      <c r="E49" s="4" t="n"/>
      <c r="F49" s="4" t="n"/>
      <c r="G49" s="4" t="n"/>
      <c r="H49" s="4" t="n"/>
      <c r="I49" s="4" t="n"/>
      <c r="J49" s="5">
        <f>_xlfn.TEXTJOIN(CHAR(10),TRUE,IF(G49="","","• "&amp;G49),IF(H49="","","• "&amp;H49),IF(I49="","","• "&amp;I49))</f>
        <v/>
      </c>
      <c r="K49" s="4" t="n"/>
      <c r="L49" s="4" t="n"/>
      <c r="M49" s="4" t="n"/>
      <c r="N49" s="16" t="n"/>
      <c r="O49" s="4" t="n"/>
      <c r="P49" s="16" t="n"/>
      <c r="Q49" s="4" t="n"/>
      <c r="R49" s="16" t="n"/>
      <c r="S49" s="20">
        <f>IF(OR(N49="",P49="",R49=""),"",(--TRIM(LEFT(N49,2)))*(--TRIM(LEFT(P49,2)))*(--TRIM(LEFT(R49,2))))</f>
        <v/>
      </c>
      <c r="T49" s="20">
        <f>IF(OR(N49="",P49="",R49=""),"",INDEX(APGrid,COUNTIF(APS,"&gt;"&amp;(--TRIM(LEFT(N49,2))))*5+COUNTIF(APO,"&gt;"&amp;(--TRIM(LEFT(P49,2))))+1,COUNTIF(APD,"&gt;"&amp;(--TRIM(LEFT(R49,2))))+1))</f>
        <v/>
      </c>
      <c r="U49" s="20">
        <f>IF(S49="","",IF(OR((--TRIM(LEFT(N49,2)))&gt;=SThr,S49&gt;=RPNThr,T49="H"),"Yes","No"))</f>
        <v/>
      </c>
      <c r="V49" s="4" t="n"/>
      <c r="W49" s="4" t="n"/>
      <c r="X49" s="4" t="n"/>
      <c r="Y49" s="29" t="n"/>
      <c r="Z49" s="16" t="n"/>
      <c r="AA49" s="16" t="n"/>
      <c r="AB49" s="16" t="n"/>
      <c r="AC49" s="20">
        <f>IF(OR(Z49="",AA49="",AB49=""),"",(--TRIM(LEFT(Z49,2)))*(--TRIM(LEFT(AA49,2)))*(--TRIM(LEFT(AB49,2))))</f>
        <v/>
      </c>
      <c r="AD49" s="20">
        <f>IF(OR(Z49="",AA49="",AB49=""),"",INDEX(APGrid,COUNTIF(APS,"&gt;"&amp;(--TRIM(LEFT(Z49,2))))*5+COUNTIF(APO,"&gt;"&amp;(--TRIM(LEFT(AA49,2))))+1,COUNTIF(APD,"&gt;"&amp;(--TRIM(LEFT(AB49,2))))+1))</f>
        <v/>
      </c>
      <c r="AE49" s="4" t="n"/>
      <c r="AF49" s="4" t="n"/>
      <c r="AH49">
        <f>IFERROR(INDEX(EqTag,_xlfn.AGGREGATE(15,6,(ROW(EqTag)-4)/((EqSys=$D$3)*(EqTag&lt;&gt;"")),ROWS($AH$14:AH49))),"")</f>
        <v/>
      </c>
    </row>
    <row r="50">
      <c r="A50" s="20">
        <f>IF(F50="","",LEFT($D$3,3)&amp;"-"&amp;TEXT(COUNTIF(F$14:F50,"?*"),"00"))</f>
        <v/>
      </c>
      <c r="B50" s="4" t="n"/>
      <c r="C50" s="5">
        <f>IF(B50="","",IFERROR(INDEX(EqTypeCol,MATCH(B50,EqTag,0)),"Tag not in register"))</f>
        <v/>
      </c>
      <c r="D50" s="4" t="n"/>
      <c r="E50" s="4" t="n"/>
      <c r="F50" s="4" t="n"/>
      <c r="G50" s="4" t="n"/>
      <c r="H50" s="4" t="n"/>
      <c r="I50" s="4" t="n"/>
      <c r="J50" s="5">
        <f>_xlfn.TEXTJOIN(CHAR(10),TRUE,IF(G50="","","• "&amp;G50),IF(H50="","","• "&amp;H50),IF(I50="","","• "&amp;I50))</f>
        <v/>
      </c>
      <c r="K50" s="4" t="n"/>
      <c r="L50" s="4" t="n"/>
      <c r="M50" s="4" t="n"/>
      <c r="N50" s="16" t="n"/>
      <c r="O50" s="4" t="n"/>
      <c r="P50" s="16" t="n"/>
      <c r="Q50" s="4" t="n"/>
      <c r="R50" s="16" t="n"/>
      <c r="S50" s="20">
        <f>IF(OR(N50="",P50="",R50=""),"",(--TRIM(LEFT(N50,2)))*(--TRIM(LEFT(P50,2)))*(--TRIM(LEFT(R50,2))))</f>
        <v/>
      </c>
      <c r="T50" s="20">
        <f>IF(OR(N50="",P50="",R50=""),"",INDEX(APGrid,COUNTIF(APS,"&gt;"&amp;(--TRIM(LEFT(N50,2))))*5+COUNTIF(APO,"&gt;"&amp;(--TRIM(LEFT(P50,2))))+1,COUNTIF(APD,"&gt;"&amp;(--TRIM(LEFT(R50,2))))+1))</f>
        <v/>
      </c>
      <c r="U50" s="20">
        <f>IF(S50="","",IF(OR((--TRIM(LEFT(N50,2)))&gt;=SThr,S50&gt;=RPNThr,T50="H"),"Yes","No"))</f>
        <v/>
      </c>
      <c r="V50" s="4" t="n"/>
      <c r="W50" s="4" t="n"/>
      <c r="X50" s="4" t="n"/>
      <c r="Y50" s="29" t="n"/>
      <c r="Z50" s="16" t="n"/>
      <c r="AA50" s="16" t="n"/>
      <c r="AB50" s="16" t="n"/>
      <c r="AC50" s="20">
        <f>IF(OR(Z50="",AA50="",AB50=""),"",(--TRIM(LEFT(Z50,2)))*(--TRIM(LEFT(AA50,2)))*(--TRIM(LEFT(AB50,2))))</f>
        <v/>
      </c>
      <c r="AD50" s="20">
        <f>IF(OR(Z50="",AA50="",AB50=""),"",INDEX(APGrid,COUNTIF(APS,"&gt;"&amp;(--TRIM(LEFT(Z50,2))))*5+COUNTIF(APO,"&gt;"&amp;(--TRIM(LEFT(AA50,2))))+1,COUNTIF(APD,"&gt;"&amp;(--TRIM(LEFT(AB50,2))))+1))</f>
        <v/>
      </c>
      <c r="AE50" s="4" t="n"/>
      <c r="AF50" s="4" t="n"/>
      <c r="AH50">
        <f>IFERROR(INDEX(EqTag,_xlfn.AGGREGATE(15,6,(ROW(EqTag)-4)/((EqSys=$D$3)*(EqTag&lt;&gt;"")),ROWS($AH$14:AH50))),"")</f>
        <v/>
      </c>
    </row>
    <row r="51">
      <c r="A51" s="20">
        <f>IF(F51="","",LEFT($D$3,3)&amp;"-"&amp;TEXT(COUNTIF(F$14:F51,"?*"),"00"))</f>
        <v/>
      </c>
      <c r="B51" s="4" t="n"/>
      <c r="C51" s="5">
        <f>IF(B51="","",IFERROR(INDEX(EqTypeCol,MATCH(B51,EqTag,0)),"Tag not in register"))</f>
        <v/>
      </c>
      <c r="D51" s="4" t="n"/>
      <c r="E51" s="4" t="n"/>
      <c r="F51" s="4" t="n"/>
      <c r="G51" s="4" t="n"/>
      <c r="H51" s="4" t="n"/>
      <c r="I51" s="4" t="n"/>
      <c r="J51" s="5">
        <f>_xlfn.TEXTJOIN(CHAR(10),TRUE,IF(G51="","","• "&amp;G51),IF(H51="","","• "&amp;H51),IF(I51="","","• "&amp;I51))</f>
        <v/>
      </c>
      <c r="K51" s="4" t="n"/>
      <c r="L51" s="4" t="n"/>
      <c r="M51" s="4" t="n"/>
      <c r="N51" s="16" t="n"/>
      <c r="O51" s="4" t="n"/>
      <c r="P51" s="16" t="n"/>
      <c r="Q51" s="4" t="n"/>
      <c r="R51" s="16" t="n"/>
      <c r="S51" s="20">
        <f>IF(OR(N51="",P51="",R51=""),"",(--TRIM(LEFT(N51,2)))*(--TRIM(LEFT(P51,2)))*(--TRIM(LEFT(R51,2))))</f>
        <v/>
      </c>
      <c r="T51" s="20">
        <f>IF(OR(N51="",P51="",R51=""),"",INDEX(APGrid,COUNTIF(APS,"&gt;"&amp;(--TRIM(LEFT(N51,2))))*5+COUNTIF(APO,"&gt;"&amp;(--TRIM(LEFT(P51,2))))+1,COUNTIF(APD,"&gt;"&amp;(--TRIM(LEFT(R51,2))))+1))</f>
        <v/>
      </c>
      <c r="U51" s="20">
        <f>IF(S51="","",IF(OR((--TRIM(LEFT(N51,2)))&gt;=SThr,S51&gt;=RPNThr,T51="H"),"Yes","No"))</f>
        <v/>
      </c>
      <c r="V51" s="4" t="n"/>
      <c r="W51" s="4" t="n"/>
      <c r="X51" s="4" t="n"/>
      <c r="Y51" s="29" t="n"/>
      <c r="Z51" s="16" t="n"/>
      <c r="AA51" s="16" t="n"/>
      <c r="AB51" s="16" t="n"/>
      <c r="AC51" s="20">
        <f>IF(OR(Z51="",AA51="",AB51=""),"",(--TRIM(LEFT(Z51,2)))*(--TRIM(LEFT(AA51,2)))*(--TRIM(LEFT(AB51,2))))</f>
        <v/>
      </c>
      <c r="AD51" s="20">
        <f>IF(OR(Z51="",AA51="",AB51=""),"",INDEX(APGrid,COUNTIF(APS,"&gt;"&amp;(--TRIM(LEFT(Z51,2))))*5+COUNTIF(APO,"&gt;"&amp;(--TRIM(LEFT(AA51,2))))+1,COUNTIF(APD,"&gt;"&amp;(--TRIM(LEFT(AB51,2))))+1))</f>
        <v/>
      </c>
      <c r="AE51" s="4" t="n"/>
      <c r="AF51" s="4" t="n"/>
      <c r="AH51">
        <f>IFERROR(INDEX(EqTag,_xlfn.AGGREGATE(15,6,(ROW(EqTag)-4)/((EqSys=$D$3)*(EqTag&lt;&gt;"")),ROWS($AH$14:AH51))),"")</f>
        <v/>
      </c>
    </row>
    <row r="52">
      <c r="A52" s="20">
        <f>IF(F52="","",LEFT($D$3,3)&amp;"-"&amp;TEXT(COUNTIF(F$14:F52,"?*"),"00"))</f>
        <v/>
      </c>
      <c r="B52" s="4" t="n"/>
      <c r="C52" s="5">
        <f>IF(B52="","",IFERROR(INDEX(EqTypeCol,MATCH(B52,EqTag,0)),"Tag not in register"))</f>
        <v/>
      </c>
      <c r="D52" s="4" t="n"/>
      <c r="E52" s="4" t="n"/>
      <c r="F52" s="4" t="n"/>
      <c r="G52" s="4" t="n"/>
      <c r="H52" s="4" t="n"/>
      <c r="I52" s="4" t="n"/>
      <c r="J52" s="5">
        <f>_xlfn.TEXTJOIN(CHAR(10),TRUE,IF(G52="","","• "&amp;G52),IF(H52="","","• "&amp;H52),IF(I52="","","• "&amp;I52))</f>
        <v/>
      </c>
      <c r="K52" s="4" t="n"/>
      <c r="L52" s="4" t="n"/>
      <c r="M52" s="4" t="n"/>
      <c r="N52" s="16" t="n"/>
      <c r="O52" s="4" t="n"/>
      <c r="P52" s="16" t="n"/>
      <c r="Q52" s="4" t="n"/>
      <c r="R52" s="16" t="n"/>
      <c r="S52" s="20">
        <f>IF(OR(N52="",P52="",R52=""),"",(--TRIM(LEFT(N52,2)))*(--TRIM(LEFT(P52,2)))*(--TRIM(LEFT(R52,2))))</f>
        <v/>
      </c>
      <c r="T52" s="20">
        <f>IF(OR(N52="",P52="",R52=""),"",INDEX(APGrid,COUNTIF(APS,"&gt;"&amp;(--TRIM(LEFT(N52,2))))*5+COUNTIF(APO,"&gt;"&amp;(--TRIM(LEFT(P52,2))))+1,COUNTIF(APD,"&gt;"&amp;(--TRIM(LEFT(R52,2))))+1))</f>
        <v/>
      </c>
      <c r="U52" s="20">
        <f>IF(S52="","",IF(OR((--TRIM(LEFT(N52,2)))&gt;=SThr,S52&gt;=RPNThr,T52="H"),"Yes","No"))</f>
        <v/>
      </c>
      <c r="V52" s="4" t="n"/>
      <c r="W52" s="4" t="n"/>
      <c r="X52" s="4" t="n"/>
      <c r="Y52" s="29" t="n"/>
      <c r="Z52" s="16" t="n"/>
      <c r="AA52" s="16" t="n"/>
      <c r="AB52" s="16" t="n"/>
      <c r="AC52" s="20">
        <f>IF(OR(Z52="",AA52="",AB52=""),"",(--TRIM(LEFT(Z52,2)))*(--TRIM(LEFT(AA52,2)))*(--TRIM(LEFT(AB52,2))))</f>
        <v/>
      </c>
      <c r="AD52" s="20">
        <f>IF(OR(Z52="",AA52="",AB52=""),"",INDEX(APGrid,COUNTIF(APS,"&gt;"&amp;(--TRIM(LEFT(Z52,2))))*5+COUNTIF(APO,"&gt;"&amp;(--TRIM(LEFT(AA52,2))))+1,COUNTIF(APD,"&gt;"&amp;(--TRIM(LEFT(AB52,2))))+1))</f>
        <v/>
      </c>
      <c r="AE52" s="4" t="n"/>
      <c r="AF52" s="4" t="n"/>
      <c r="AH52">
        <f>IFERROR(INDEX(EqTag,_xlfn.AGGREGATE(15,6,(ROW(EqTag)-4)/((EqSys=$D$3)*(EqTag&lt;&gt;"")),ROWS($AH$14:AH52))),"")</f>
        <v/>
      </c>
    </row>
    <row r="53">
      <c r="A53" s="20">
        <f>IF(F53="","",LEFT($D$3,3)&amp;"-"&amp;TEXT(COUNTIF(F$14:F53,"?*"),"00"))</f>
        <v/>
      </c>
      <c r="B53" s="4" t="n"/>
      <c r="C53" s="5">
        <f>IF(B53="","",IFERROR(INDEX(EqTypeCol,MATCH(B53,EqTag,0)),"Tag not in register"))</f>
        <v/>
      </c>
      <c r="D53" s="4" t="n"/>
      <c r="E53" s="4" t="n"/>
      <c r="F53" s="4" t="n"/>
      <c r="G53" s="4" t="n"/>
      <c r="H53" s="4" t="n"/>
      <c r="I53" s="4" t="n"/>
      <c r="J53" s="5">
        <f>_xlfn.TEXTJOIN(CHAR(10),TRUE,IF(G53="","","• "&amp;G53),IF(H53="","","• "&amp;H53),IF(I53="","","• "&amp;I53))</f>
        <v/>
      </c>
      <c r="K53" s="4" t="n"/>
      <c r="L53" s="4" t="n"/>
      <c r="M53" s="4" t="n"/>
      <c r="N53" s="16" t="n"/>
      <c r="O53" s="4" t="n"/>
      <c r="P53" s="16" t="n"/>
      <c r="Q53" s="4" t="n"/>
      <c r="R53" s="16" t="n"/>
      <c r="S53" s="20">
        <f>IF(OR(N53="",P53="",R53=""),"",(--TRIM(LEFT(N53,2)))*(--TRIM(LEFT(P53,2)))*(--TRIM(LEFT(R53,2))))</f>
        <v/>
      </c>
      <c r="T53" s="20">
        <f>IF(OR(N53="",P53="",R53=""),"",INDEX(APGrid,COUNTIF(APS,"&gt;"&amp;(--TRIM(LEFT(N53,2))))*5+COUNTIF(APO,"&gt;"&amp;(--TRIM(LEFT(P53,2))))+1,COUNTIF(APD,"&gt;"&amp;(--TRIM(LEFT(R53,2))))+1))</f>
        <v/>
      </c>
      <c r="U53" s="20">
        <f>IF(S53="","",IF(OR((--TRIM(LEFT(N53,2)))&gt;=SThr,S53&gt;=RPNThr,T53="H"),"Yes","No"))</f>
        <v/>
      </c>
      <c r="V53" s="4" t="n"/>
      <c r="W53" s="4" t="n"/>
      <c r="X53" s="4" t="n"/>
      <c r="Y53" s="29" t="n"/>
      <c r="Z53" s="16" t="n"/>
      <c r="AA53" s="16" t="n"/>
      <c r="AB53" s="16" t="n"/>
      <c r="AC53" s="20">
        <f>IF(OR(Z53="",AA53="",AB53=""),"",(--TRIM(LEFT(Z53,2)))*(--TRIM(LEFT(AA53,2)))*(--TRIM(LEFT(AB53,2))))</f>
        <v/>
      </c>
      <c r="AD53" s="20">
        <f>IF(OR(Z53="",AA53="",AB53=""),"",INDEX(APGrid,COUNTIF(APS,"&gt;"&amp;(--TRIM(LEFT(Z53,2))))*5+COUNTIF(APO,"&gt;"&amp;(--TRIM(LEFT(AA53,2))))+1,COUNTIF(APD,"&gt;"&amp;(--TRIM(LEFT(AB53,2))))+1))</f>
        <v/>
      </c>
      <c r="AE53" s="4" t="n"/>
      <c r="AF53" s="4" t="n"/>
      <c r="AH53">
        <f>IFERROR(INDEX(EqTag,_xlfn.AGGREGATE(15,6,(ROW(EqTag)-4)/((EqSys=$D$3)*(EqTag&lt;&gt;"")),ROWS($AH$14:AH53))),"")</f>
        <v/>
      </c>
    </row>
    <row r="54">
      <c r="A54" s="20">
        <f>IF(F54="","",LEFT($D$3,3)&amp;"-"&amp;TEXT(COUNTIF(F$14:F54,"?*"),"00"))</f>
        <v/>
      </c>
      <c r="B54" s="4" t="n"/>
      <c r="C54" s="5">
        <f>IF(B54="","",IFERROR(INDEX(EqTypeCol,MATCH(B54,EqTag,0)),"Tag not in register"))</f>
        <v/>
      </c>
      <c r="D54" s="4" t="n"/>
      <c r="E54" s="4" t="n"/>
      <c r="F54" s="4" t="n"/>
      <c r="G54" s="4" t="n"/>
      <c r="H54" s="4" t="n"/>
      <c r="I54" s="4" t="n"/>
      <c r="J54" s="5">
        <f>_xlfn.TEXTJOIN(CHAR(10),TRUE,IF(G54="","","• "&amp;G54),IF(H54="","","• "&amp;H54),IF(I54="","","• "&amp;I54))</f>
        <v/>
      </c>
      <c r="K54" s="4" t="n"/>
      <c r="L54" s="4" t="n"/>
      <c r="M54" s="4" t="n"/>
      <c r="N54" s="16" t="n"/>
      <c r="O54" s="4" t="n"/>
      <c r="P54" s="16" t="n"/>
      <c r="Q54" s="4" t="n"/>
      <c r="R54" s="16" t="n"/>
      <c r="S54" s="20">
        <f>IF(OR(N54="",P54="",R54=""),"",(--TRIM(LEFT(N54,2)))*(--TRIM(LEFT(P54,2)))*(--TRIM(LEFT(R54,2))))</f>
        <v/>
      </c>
      <c r="T54" s="20">
        <f>IF(OR(N54="",P54="",R54=""),"",INDEX(APGrid,COUNTIF(APS,"&gt;"&amp;(--TRIM(LEFT(N54,2))))*5+COUNTIF(APO,"&gt;"&amp;(--TRIM(LEFT(P54,2))))+1,COUNTIF(APD,"&gt;"&amp;(--TRIM(LEFT(R54,2))))+1))</f>
        <v/>
      </c>
      <c r="U54" s="20">
        <f>IF(S54="","",IF(OR((--TRIM(LEFT(N54,2)))&gt;=SThr,S54&gt;=RPNThr,T54="H"),"Yes","No"))</f>
        <v/>
      </c>
      <c r="V54" s="4" t="n"/>
      <c r="W54" s="4" t="n"/>
      <c r="X54" s="4" t="n"/>
      <c r="Y54" s="29" t="n"/>
      <c r="Z54" s="16" t="n"/>
      <c r="AA54" s="16" t="n"/>
      <c r="AB54" s="16" t="n"/>
      <c r="AC54" s="20">
        <f>IF(OR(Z54="",AA54="",AB54=""),"",(--TRIM(LEFT(Z54,2)))*(--TRIM(LEFT(AA54,2)))*(--TRIM(LEFT(AB54,2))))</f>
        <v/>
      </c>
      <c r="AD54" s="20">
        <f>IF(OR(Z54="",AA54="",AB54=""),"",INDEX(APGrid,COUNTIF(APS,"&gt;"&amp;(--TRIM(LEFT(Z54,2))))*5+COUNTIF(APO,"&gt;"&amp;(--TRIM(LEFT(AA54,2))))+1,COUNTIF(APD,"&gt;"&amp;(--TRIM(LEFT(AB54,2))))+1))</f>
        <v/>
      </c>
      <c r="AE54" s="4" t="n"/>
      <c r="AF54" s="4" t="n"/>
      <c r="AH54">
        <f>IFERROR(INDEX(EqTag,_xlfn.AGGREGATE(15,6,(ROW(EqTag)-4)/((EqSys=$D$3)*(EqTag&lt;&gt;"")),ROWS($AH$14:AH54))),"")</f>
        <v/>
      </c>
    </row>
    <row r="55">
      <c r="A55" s="20">
        <f>IF(F55="","",LEFT($D$3,3)&amp;"-"&amp;TEXT(COUNTIF(F$14:F55,"?*"),"00"))</f>
        <v/>
      </c>
      <c r="B55" s="4" t="n"/>
      <c r="C55" s="5">
        <f>IF(B55="","",IFERROR(INDEX(EqTypeCol,MATCH(B55,EqTag,0)),"Tag not in register"))</f>
        <v/>
      </c>
      <c r="D55" s="4" t="n"/>
      <c r="E55" s="4" t="n"/>
      <c r="F55" s="4" t="n"/>
      <c r="G55" s="4" t="n"/>
      <c r="H55" s="4" t="n"/>
      <c r="I55" s="4" t="n"/>
      <c r="J55" s="5">
        <f>_xlfn.TEXTJOIN(CHAR(10),TRUE,IF(G55="","","• "&amp;G55),IF(H55="","","• "&amp;H55),IF(I55="","","• "&amp;I55))</f>
        <v/>
      </c>
      <c r="K55" s="4" t="n"/>
      <c r="L55" s="4" t="n"/>
      <c r="M55" s="4" t="n"/>
      <c r="N55" s="16" t="n"/>
      <c r="O55" s="4" t="n"/>
      <c r="P55" s="16" t="n"/>
      <c r="Q55" s="4" t="n"/>
      <c r="R55" s="16" t="n"/>
      <c r="S55" s="20">
        <f>IF(OR(N55="",P55="",R55=""),"",(--TRIM(LEFT(N55,2)))*(--TRIM(LEFT(P55,2)))*(--TRIM(LEFT(R55,2))))</f>
        <v/>
      </c>
      <c r="T55" s="20">
        <f>IF(OR(N55="",P55="",R55=""),"",INDEX(APGrid,COUNTIF(APS,"&gt;"&amp;(--TRIM(LEFT(N55,2))))*5+COUNTIF(APO,"&gt;"&amp;(--TRIM(LEFT(P55,2))))+1,COUNTIF(APD,"&gt;"&amp;(--TRIM(LEFT(R55,2))))+1))</f>
        <v/>
      </c>
      <c r="U55" s="20">
        <f>IF(S55="","",IF(OR((--TRIM(LEFT(N55,2)))&gt;=SThr,S55&gt;=RPNThr,T55="H"),"Yes","No"))</f>
        <v/>
      </c>
      <c r="V55" s="4" t="n"/>
      <c r="W55" s="4" t="n"/>
      <c r="X55" s="4" t="n"/>
      <c r="Y55" s="29" t="n"/>
      <c r="Z55" s="16" t="n"/>
      <c r="AA55" s="16" t="n"/>
      <c r="AB55" s="16" t="n"/>
      <c r="AC55" s="20">
        <f>IF(OR(Z55="",AA55="",AB55=""),"",(--TRIM(LEFT(Z55,2)))*(--TRIM(LEFT(AA55,2)))*(--TRIM(LEFT(AB55,2))))</f>
        <v/>
      </c>
      <c r="AD55" s="20">
        <f>IF(OR(Z55="",AA55="",AB55=""),"",INDEX(APGrid,COUNTIF(APS,"&gt;"&amp;(--TRIM(LEFT(Z55,2))))*5+COUNTIF(APO,"&gt;"&amp;(--TRIM(LEFT(AA55,2))))+1,COUNTIF(APD,"&gt;"&amp;(--TRIM(LEFT(AB55,2))))+1))</f>
        <v/>
      </c>
      <c r="AE55" s="4" t="n"/>
      <c r="AF55" s="4" t="n"/>
      <c r="AH55">
        <f>IFERROR(INDEX(EqTag,_xlfn.AGGREGATE(15,6,(ROW(EqTag)-4)/((EqSys=$D$3)*(EqTag&lt;&gt;"")),ROWS($AH$14:AH55))),"")</f>
        <v/>
      </c>
    </row>
    <row r="56">
      <c r="A56" s="20">
        <f>IF(F56="","",LEFT($D$3,3)&amp;"-"&amp;TEXT(COUNTIF(F$14:F56,"?*"),"00"))</f>
        <v/>
      </c>
      <c r="B56" s="4" t="n"/>
      <c r="C56" s="5">
        <f>IF(B56="","",IFERROR(INDEX(EqTypeCol,MATCH(B56,EqTag,0)),"Tag not in register"))</f>
        <v/>
      </c>
      <c r="D56" s="4" t="n"/>
      <c r="E56" s="4" t="n"/>
      <c r="F56" s="4" t="n"/>
      <c r="G56" s="4" t="n"/>
      <c r="H56" s="4" t="n"/>
      <c r="I56" s="4" t="n"/>
      <c r="J56" s="5">
        <f>_xlfn.TEXTJOIN(CHAR(10),TRUE,IF(G56="","","• "&amp;G56),IF(H56="","","• "&amp;H56),IF(I56="","","• "&amp;I56))</f>
        <v/>
      </c>
      <c r="K56" s="4" t="n"/>
      <c r="L56" s="4" t="n"/>
      <c r="M56" s="4" t="n"/>
      <c r="N56" s="16" t="n"/>
      <c r="O56" s="4" t="n"/>
      <c r="P56" s="16" t="n"/>
      <c r="Q56" s="4" t="n"/>
      <c r="R56" s="16" t="n"/>
      <c r="S56" s="20">
        <f>IF(OR(N56="",P56="",R56=""),"",(--TRIM(LEFT(N56,2)))*(--TRIM(LEFT(P56,2)))*(--TRIM(LEFT(R56,2))))</f>
        <v/>
      </c>
      <c r="T56" s="20">
        <f>IF(OR(N56="",P56="",R56=""),"",INDEX(APGrid,COUNTIF(APS,"&gt;"&amp;(--TRIM(LEFT(N56,2))))*5+COUNTIF(APO,"&gt;"&amp;(--TRIM(LEFT(P56,2))))+1,COUNTIF(APD,"&gt;"&amp;(--TRIM(LEFT(R56,2))))+1))</f>
        <v/>
      </c>
      <c r="U56" s="20">
        <f>IF(S56="","",IF(OR((--TRIM(LEFT(N56,2)))&gt;=SThr,S56&gt;=RPNThr,T56="H"),"Yes","No"))</f>
        <v/>
      </c>
      <c r="V56" s="4" t="n"/>
      <c r="W56" s="4" t="n"/>
      <c r="X56" s="4" t="n"/>
      <c r="Y56" s="29" t="n"/>
      <c r="Z56" s="16" t="n"/>
      <c r="AA56" s="16" t="n"/>
      <c r="AB56" s="16" t="n"/>
      <c r="AC56" s="20">
        <f>IF(OR(Z56="",AA56="",AB56=""),"",(--TRIM(LEFT(Z56,2)))*(--TRIM(LEFT(AA56,2)))*(--TRIM(LEFT(AB56,2))))</f>
        <v/>
      </c>
      <c r="AD56" s="20">
        <f>IF(OR(Z56="",AA56="",AB56=""),"",INDEX(APGrid,COUNTIF(APS,"&gt;"&amp;(--TRIM(LEFT(Z56,2))))*5+COUNTIF(APO,"&gt;"&amp;(--TRIM(LEFT(AA56,2))))+1,COUNTIF(APD,"&gt;"&amp;(--TRIM(LEFT(AB56,2))))+1))</f>
        <v/>
      </c>
      <c r="AE56" s="4" t="n"/>
      <c r="AF56" s="4" t="n"/>
      <c r="AH56">
        <f>IFERROR(INDEX(EqTag,_xlfn.AGGREGATE(15,6,(ROW(EqTag)-4)/((EqSys=$D$3)*(EqTag&lt;&gt;"")),ROWS($AH$14:AH56))),"")</f>
        <v/>
      </c>
    </row>
    <row r="57">
      <c r="A57" s="20">
        <f>IF(F57="","",LEFT($D$3,3)&amp;"-"&amp;TEXT(COUNTIF(F$14:F57,"?*"),"00"))</f>
        <v/>
      </c>
      <c r="B57" s="4" t="n"/>
      <c r="C57" s="5">
        <f>IF(B57="","",IFERROR(INDEX(EqTypeCol,MATCH(B57,EqTag,0)),"Tag not in register"))</f>
        <v/>
      </c>
      <c r="D57" s="4" t="n"/>
      <c r="E57" s="4" t="n"/>
      <c r="F57" s="4" t="n"/>
      <c r="G57" s="4" t="n"/>
      <c r="H57" s="4" t="n"/>
      <c r="I57" s="4" t="n"/>
      <c r="J57" s="5">
        <f>_xlfn.TEXTJOIN(CHAR(10),TRUE,IF(G57="","","• "&amp;G57),IF(H57="","","• "&amp;H57),IF(I57="","","• "&amp;I57))</f>
        <v/>
      </c>
      <c r="K57" s="4" t="n"/>
      <c r="L57" s="4" t="n"/>
      <c r="M57" s="4" t="n"/>
      <c r="N57" s="16" t="n"/>
      <c r="O57" s="4" t="n"/>
      <c r="P57" s="16" t="n"/>
      <c r="Q57" s="4" t="n"/>
      <c r="R57" s="16" t="n"/>
      <c r="S57" s="20">
        <f>IF(OR(N57="",P57="",R57=""),"",(--TRIM(LEFT(N57,2)))*(--TRIM(LEFT(P57,2)))*(--TRIM(LEFT(R57,2))))</f>
        <v/>
      </c>
      <c r="T57" s="20">
        <f>IF(OR(N57="",P57="",R57=""),"",INDEX(APGrid,COUNTIF(APS,"&gt;"&amp;(--TRIM(LEFT(N57,2))))*5+COUNTIF(APO,"&gt;"&amp;(--TRIM(LEFT(P57,2))))+1,COUNTIF(APD,"&gt;"&amp;(--TRIM(LEFT(R57,2))))+1))</f>
        <v/>
      </c>
      <c r="U57" s="20">
        <f>IF(S57="","",IF(OR((--TRIM(LEFT(N57,2)))&gt;=SThr,S57&gt;=RPNThr,T57="H"),"Yes","No"))</f>
        <v/>
      </c>
      <c r="V57" s="4" t="n"/>
      <c r="W57" s="4" t="n"/>
      <c r="X57" s="4" t="n"/>
      <c r="Y57" s="29" t="n"/>
      <c r="Z57" s="16" t="n"/>
      <c r="AA57" s="16" t="n"/>
      <c r="AB57" s="16" t="n"/>
      <c r="AC57" s="20">
        <f>IF(OR(Z57="",AA57="",AB57=""),"",(--TRIM(LEFT(Z57,2)))*(--TRIM(LEFT(AA57,2)))*(--TRIM(LEFT(AB57,2))))</f>
        <v/>
      </c>
      <c r="AD57" s="20">
        <f>IF(OR(Z57="",AA57="",AB57=""),"",INDEX(APGrid,COUNTIF(APS,"&gt;"&amp;(--TRIM(LEFT(Z57,2))))*5+COUNTIF(APO,"&gt;"&amp;(--TRIM(LEFT(AA57,2))))+1,COUNTIF(APD,"&gt;"&amp;(--TRIM(LEFT(AB57,2))))+1))</f>
        <v/>
      </c>
      <c r="AE57" s="4" t="n"/>
      <c r="AF57" s="4" t="n"/>
      <c r="AH57">
        <f>IFERROR(INDEX(EqTag,_xlfn.AGGREGATE(15,6,(ROW(EqTag)-4)/((EqSys=$D$3)*(EqTag&lt;&gt;"")),ROWS($AH$14:AH57))),"")</f>
        <v/>
      </c>
    </row>
    <row r="58">
      <c r="A58" s="20">
        <f>IF(F58="","",LEFT($D$3,3)&amp;"-"&amp;TEXT(COUNTIF(F$14:F58,"?*"),"00"))</f>
        <v/>
      </c>
      <c r="B58" s="4" t="n"/>
      <c r="C58" s="5">
        <f>IF(B58="","",IFERROR(INDEX(EqTypeCol,MATCH(B58,EqTag,0)),"Tag not in register"))</f>
        <v/>
      </c>
      <c r="D58" s="4" t="n"/>
      <c r="E58" s="4" t="n"/>
      <c r="F58" s="4" t="n"/>
      <c r="G58" s="4" t="n"/>
      <c r="H58" s="4" t="n"/>
      <c r="I58" s="4" t="n"/>
      <c r="J58" s="5">
        <f>_xlfn.TEXTJOIN(CHAR(10),TRUE,IF(G58="","","• "&amp;G58),IF(H58="","","• "&amp;H58),IF(I58="","","• "&amp;I58))</f>
        <v/>
      </c>
      <c r="K58" s="4" t="n"/>
      <c r="L58" s="4" t="n"/>
      <c r="M58" s="4" t="n"/>
      <c r="N58" s="16" t="n"/>
      <c r="O58" s="4" t="n"/>
      <c r="P58" s="16" t="n"/>
      <c r="Q58" s="4" t="n"/>
      <c r="R58" s="16" t="n"/>
      <c r="S58" s="20">
        <f>IF(OR(N58="",P58="",R58=""),"",(--TRIM(LEFT(N58,2)))*(--TRIM(LEFT(P58,2)))*(--TRIM(LEFT(R58,2))))</f>
        <v/>
      </c>
      <c r="T58" s="20">
        <f>IF(OR(N58="",P58="",R58=""),"",INDEX(APGrid,COUNTIF(APS,"&gt;"&amp;(--TRIM(LEFT(N58,2))))*5+COUNTIF(APO,"&gt;"&amp;(--TRIM(LEFT(P58,2))))+1,COUNTIF(APD,"&gt;"&amp;(--TRIM(LEFT(R58,2))))+1))</f>
        <v/>
      </c>
      <c r="U58" s="20">
        <f>IF(S58="","",IF(OR((--TRIM(LEFT(N58,2)))&gt;=SThr,S58&gt;=RPNThr,T58="H"),"Yes","No"))</f>
        <v/>
      </c>
      <c r="V58" s="4" t="n"/>
      <c r="W58" s="4" t="n"/>
      <c r="X58" s="4" t="n"/>
      <c r="Y58" s="29" t="n"/>
      <c r="Z58" s="16" t="n"/>
      <c r="AA58" s="16" t="n"/>
      <c r="AB58" s="16" t="n"/>
      <c r="AC58" s="20">
        <f>IF(OR(Z58="",AA58="",AB58=""),"",(--TRIM(LEFT(Z58,2)))*(--TRIM(LEFT(AA58,2)))*(--TRIM(LEFT(AB58,2))))</f>
        <v/>
      </c>
      <c r="AD58" s="20">
        <f>IF(OR(Z58="",AA58="",AB58=""),"",INDEX(APGrid,COUNTIF(APS,"&gt;"&amp;(--TRIM(LEFT(Z58,2))))*5+COUNTIF(APO,"&gt;"&amp;(--TRIM(LEFT(AA58,2))))+1,COUNTIF(APD,"&gt;"&amp;(--TRIM(LEFT(AB58,2))))+1))</f>
        <v/>
      </c>
      <c r="AE58" s="4" t="n"/>
      <c r="AF58" s="4" t="n"/>
      <c r="AH58">
        <f>IFERROR(INDEX(EqTag,_xlfn.AGGREGATE(15,6,(ROW(EqTag)-4)/((EqSys=$D$3)*(EqTag&lt;&gt;"")),ROWS($AH$14:AH58))),"")</f>
        <v/>
      </c>
    </row>
    <row r="59">
      <c r="A59" s="20">
        <f>IF(F59="","",LEFT($D$3,3)&amp;"-"&amp;TEXT(COUNTIF(F$14:F59,"?*"),"00"))</f>
        <v/>
      </c>
      <c r="B59" s="4" t="n"/>
      <c r="C59" s="5">
        <f>IF(B59="","",IFERROR(INDEX(EqTypeCol,MATCH(B59,EqTag,0)),"Tag not in register"))</f>
        <v/>
      </c>
      <c r="D59" s="4" t="n"/>
      <c r="E59" s="4" t="n"/>
      <c r="F59" s="4" t="n"/>
      <c r="G59" s="4" t="n"/>
      <c r="H59" s="4" t="n"/>
      <c r="I59" s="4" t="n"/>
      <c r="J59" s="5">
        <f>_xlfn.TEXTJOIN(CHAR(10),TRUE,IF(G59="","","• "&amp;G59),IF(H59="","","• "&amp;H59),IF(I59="","","• "&amp;I59))</f>
        <v/>
      </c>
      <c r="K59" s="4" t="n"/>
      <c r="L59" s="4" t="n"/>
      <c r="M59" s="4" t="n"/>
      <c r="N59" s="16" t="n"/>
      <c r="O59" s="4" t="n"/>
      <c r="P59" s="16" t="n"/>
      <c r="Q59" s="4" t="n"/>
      <c r="R59" s="16" t="n"/>
      <c r="S59" s="20">
        <f>IF(OR(N59="",P59="",R59=""),"",(--TRIM(LEFT(N59,2)))*(--TRIM(LEFT(P59,2)))*(--TRIM(LEFT(R59,2))))</f>
        <v/>
      </c>
      <c r="T59" s="20">
        <f>IF(OR(N59="",P59="",R59=""),"",INDEX(APGrid,COUNTIF(APS,"&gt;"&amp;(--TRIM(LEFT(N59,2))))*5+COUNTIF(APO,"&gt;"&amp;(--TRIM(LEFT(P59,2))))+1,COUNTIF(APD,"&gt;"&amp;(--TRIM(LEFT(R59,2))))+1))</f>
        <v/>
      </c>
      <c r="U59" s="20">
        <f>IF(S59="","",IF(OR((--TRIM(LEFT(N59,2)))&gt;=SThr,S59&gt;=RPNThr,T59="H"),"Yes","No"))</f>
        <v/>
      </c>
      <c r="V59" s="4" t="n"/>
      <c r="W59" s="4" t="n"/>
      <c r="X59" s="4" t="n"/>
      <c r="Y59" s="29" t="n"/>
      <c r="Z59" s="16" t="n"/>
      <c r="AA59" s="16" t="n"/>
      <c r="AB59" s="16" t="n"/>
      <c r="AC59" s="20">
        <f>IF(OR(Z59="",AA59="",AB59=""),"",(--TRIM(LEFT(Z59,2)))*(--TRIM(LEFT(AA59,2)))*(--TRIM(LEFT(AB59,2))))</f>
        <v/>
      </c>
      <c r="AD59" s="20">
        <f>IF(OR(Z59="",AA59="",AB59=""),"",INDEX(APGrid,COUNTIF(APS,"&gt;"&amp;(--TRIM(LEFT(Z59,2))))*5+COUNTIF(APO,"&gt;"&amp;(--TRIM(LEFT(AA59,2))))+1,COUNTIF(APD,"&gt;"&amp;(--TRIM(LEFT(AB59,2))))+1))</f>
        <v/>
      </c>
      <c r="AE59" s="4" t="n"/>
      <c r="AF59" s="4" t="n"/>
      <c r="AH59">
        <f>IFERROR(INDEX(EqTag,_xlfn.AGGREGATE(15,6,(ROW(EqTag)-4)/((EqSys=$D$3)*(EqTag&lt;&gt;"")),ROWS($AH$14:AH59))),"")</f>
        <v/>
      </c>
    </row>
    <row r="60">
      <c r="A60" s="20">
        <f>IF(F60="","",LEFT($D$3,3)&amp;"-"&amp;TEXT(COUNTIF(F$14:F60,"?*"),"00"))</f>
        <v/>
      </c>
      <c r="B60" s="4" t="n"/>
      <c r="C60" s="5">
        <f>IF(B60="","",IFERROR(INDEX(EqTypeCol,MATCH(B60,EqTag,0)),"Tag not in register"))</f>
        <v/>
      </c>
      <c r="D60" s="4" t="n"/>
      <c r="E60" s="4" t="n"/>
      <c r="F60" s="4" t="n"/>
      <c r="G60" s="4" t="n"/>
      <c r="H60" s="4" t="n"/>
      <c r="I60" s="4" t="n"/>
      <c r="J60" s="5">
        <f>_xlfn.TEXTJOIN(CHAR(10),TRUE,IF(G60="","","• "&amp;G60),IF(H60="","","• "&amp;H60),IF(I60="","","• "&amp;I60))</f>
        <v/>
      </c>
      <c r="K60" s="4" t="n"/>
      <c r="L60" s="4" t="n"/>
      <c r="M60" s="4" t="n"/>
      <c r="N60" s="16" t="n"/>
      <c r="O60" s="4" t="n"/>
      <c r="P60" s="16" t="n"/>
      <c r="Q60" s="4" t="n"/>
      <c r="R60" s="16" t="n"/>
      <c r="S60" s="20">
        <f>IF(OR(N60="",P60="",R60=""),"",(--TRIM(LEFT(N60,2)))*(--TRIM(LEFT(P60,2)))*(--TRIM(LEFT(R60,2))))</f>
        <v/>
      </c>
      <c r="T60" s="20">
        <f>IF(OR(N60="",P60="",R60=""),"",INDEX(APGrid,COUNTIF(APS,"&gt;"&amp;(--TRIM(LEFT(N60,2))))*5+COUNTIF(APO,"&gt;"&amp;(--TRIM(LEFT(P60,2))))+1,COUNTIF(APD,"&gt;"&amp;(--TRIM(LEFT(R60,2))))+1))</f>
        <v/>
      </c>
      <c r="U60" s="20">
        <f>IF(S60="","",IF(OR((--TRIM(LEFT(N60,2)))&gt;=SThr,S60&gt;=RPNThr,T60="H"),"Yes","No"))</f>
        <v/>
      </c>
      <c r="V60" s="4" t="n"/>
      <c r="W60" s="4" t="n"/>
      <c r="X60" s="4" t="n"/>
      <c r="Y60" s="29" t="n"/>
      <c r="Z60" s="16" t="n"/>
      <c r="AA60" s="16" t="n"/>
      <c r="AB60" s="16" t="n"/>
      <c r="AC60" s="20">
        <f>IF(OR(Z60="",AA60="",AB60=""),"",(--TRIM(LEFT(Z60,2)))*(--TRIM(LEFT(AA60,2)))*(--TRIM(LEFT(AB60,2))))</f>
        <v/>
      </c>
      <c r="AD60" s="20">
        <f>IF(OR(Z60="",AA60="",AB60=""),"",INDEX(APGrid,COUNTIF(APS,"&gt;"&amp;(--TRIM(LEFT(Z60,2))))*5+COUNTIF(APO,"&gt;"&amp;(--TRIM(LEFT(AA60,2))))+1,COUNTIF(APD,"&gt;"&amp;(--TRIM(LEFT(AB60,2))))+1))</f>
        <v/>
      </c>
      <c r="AE60" s="4" t="n"/>
      <c r="AF60" s="4" t="n"/>
      <c r="AH60">
        <f>IFERROR(INDEX(EqTag,_xlfn.AGGREGATE(15,6,(ROW(EqTag)-4)/((EqSys=$D$3)*(EqTag&lt;&gt;"")),ROWS($AH$14:AH60))),"")</f>
        <v/>
      </c>
    </row>
    <row r="61">
      <c r="A61" s="20">
        <f>IF(F61="","",LEFT($D$3,3)&amp;"-"&amp;TEXT(COUNTIF(F$14:F61,"?*"),"00"))</f>
        <v/>
      </c>
      <c r="B61" s="4" t="n"/>
      <c r="C61" s="5">
        <f>IF(B61="","",IFERROR(INDEX(EqTypeCol,MATCH(B61,EqTag,0)),"Tag not in register"))</f>
        <v/>
      </c>
      <c r="D61" s="4" t="n"/>
      <c r="E61" s="4" t="n"/>
      <c r="F61" s="4" t="n"/>
      <c r="G61" s="4" t="n"/>
      <c r="H61" s="4" t="n"/>
      <c r="I61" s="4" t="n"/>
      <c r="J61" s="5">
        <f>_xlfn.TEXTJOIN(CHAR(10),TRUE,IF(G61="","","• "&amp;G61),IF(H61="","","• "&amp;H61),IF(I61="","","• "&amp;I61))</f>
        <v/>
      </c>
      <c r="K61" s="4" t="n"/>
      <c r="L61" s="4" t="n"/>
      <c r="M61" s="4" t="n"/>
      <c r="N61" s="16" t="n"/>
      <c r="O61" s="4" t="n"/>
      <c r="P61" s="16" t="n"/>
      <c r="Q61" s="4" t="n"/>
      <c r="R61" s="16" t="n"/>
      <c r="S61" s="20">
        <f>IF(OR(N61="",P61="",R61=""),"",(--TRIM(LEFT(N61,2)))*(--TRIM(LEFT(P61,2)))*(--TRIM(LEFT(R61,2))))</f>
        <v/>
      </c>
      <c r="T61" s="20">
        <f>IF(OR(N61="",P61="",R61=""),"",INDEX(APGrid,COUNTIF(APS,"&gt;"&amp;(--TRIM(LEFT(N61,2))))*5+COUNTIF(APO,"&gt;"&amp;(--TRIM(LEFT(P61,2))))+1,COUNTIF(APD,"&gt;"&amp;(--TRIM(LEFT(R61,2))))+1))</f>
        <v/>
      </c>
      <c r="U61" s="20">
        <f>IF(S61="","",IF(OR((--TRIM(LEFT(N61,2)))&gt;=SThr,S61&gt;=RPNThr,T61="H"),"Yes","No"))</f>
        <v/>
      </c>
      <c r="V61" s="4" t="n"/>
      <c r="W61" s="4" t="n"/>
      <c r="X61" s="4" t="n"/>
      <c r="Y61" s="29" t="n"/>
      <c r="Z61" s="16" t="n"/>
      <c r="AA61" s="16" t="n"/>
      <c r="AB61" s="16" t="n"/>
      <c r="AC61" s="20">
        <f>IF(OR(Z61="",AA61="",AB61=""),"",(--TRIM(LEFT(Z61,2)))*(--TRIM(LEFT(AA61,2)))*(--TRIM(LEFT(AB61,2))))</f>
        <v/>
      </c>
      <c r="AD61" s="20">
        <f>IF(OR(Z61="",AA61="",AB61=""),"",INDEX(APGrid,COUNTIF(APS,"&gt;"&amp;(--TRIM(LEFT(Z61,2))))*5+COUNTIF(APO,"&gt;"&amp;(--TRIM(LEFT(AA61,2))))+1,COUNTIF(APD,"&gt;"&amp;(--TRIM(LEFT(AB61,2))))+1))</f>
        <v/>
      </c>
      <c r="AE61" s="4" t="n"/>
      <c r="AF61" s="4" t="n"/>
      <c r="AH61">
        <f>IFERROR(INDEX(EqTag,_xlfn.AGGREGATE(15,6,(ROW(EqTag)-4)/((EqSys=$D$3)*(EqTag&lt;&gt;"")),ROWS($AH$14:AH61))),"")</f>
        <v/>
      </c>
    </row>
    <row r="62">
      <c r="A62" s="20">
        <f>IF(F62="","",LEFT($D$3,3)&amp;"-"&amp;TEXT(COUNTIF(F$14:F62,"?*"),"00"))</f>
        <v/>
      </c>
      <c r="B62" s="4" t="n"/>
      <c r="C62" s="5">
        <f>IF(B62="","",IFERROR(INDEX(EqTypeCol,MATCH(B62,EqTag,0)),"Tag not in register"))</f>
        <v/>
      </c>
      <c r="D62" s="4" t="n"/>
      <c r="E62" s="4" t="n"/>
      <c r="F62" s="4" t="n"/>
      <c r="G62" s="4" t="n"/>
      <c r="H62" s="4" t="n"/>
      <c r="I62" s="4" t="n"/>
      <c r="J62" s="5">
        <f>_xlfn.TEXTJOIN(CHAR(10),TRUE,IF(G62="","","• "&amp;G62),IF(H62="","","• "&amp;H62),IF(I62="","","• "&amp;I62))</f>
        <v/>
      </c>
      <c r="K62" s="4" t="n"/>
      <c r="L62" s="4" t="n"/>
      <c r="M62" s="4" t="n"/>
      <c r="N62" s="16" t="n"/>
      <c r="O62" s="4" t="n"/>
      <c r="P62" s="16" t="n"/>
      <c r="Q62" s="4" t="n"/>
      <c r="R62" s="16" t="n"/>
      <c r="S62" s="20">
        <f>IF(OR(N62="",P62="",R62=""),"",(--TRIM(LEFT(N62,2)))*(--TRIM(LEFT(P62,2)))*(--TRIM(LEFT(R62,2))))</f>
        <v/>
      </c>
      <c r="T62" s="20">
        <f>IF(OR(N62="",P62="",R62=""),"",INDEX(APGrid,COUNTIF(APS,"&gt;"&amp;(--TRIM(LEFT(N62,2))))*5+COUNTIF(APO,"&gt;"&amp;(--TRIM(LEFT(P62,2))))+1,COUNTIF(APD,"&gt;"&amp;(--TRIM(LEFT(R62,2))))+1))</f>
        <v/>
      </c>
      <c r="U62" s="20">
        <f>IF(S62="","",IF(OR((--TRIM(LEFT(N62,2)))&gt;=SThr,S62&gt;=RPNThr,T62="H"),"Yes","No"))</f>
        <v/>
      </c>
      <c r="V62" s="4" t="n"/>
      <c r="W62" s="4" t="n"/>
      <c r="X62" s="4" t="n"/>
      <c r="Y62" s="29" t="n"/>
      <c r="Z62" s="16" t="n"/>
      <c r="AA62" s="16" t="n"/>
      <c r="AB62" s="16" t="n"/>
      <c r="AC62" s="20">
        <f>IF(OR(Z62="",AA62="",AB62=""),"",(--TRIM(LEFT(Z62,2)))*(--TRIM(LEFT(AA62,2)))*(--TRIM(LEFT(AB62,2))))</f>
        <v/>
      </c>
      <c r="AD62" s="20">
        <f>IF(OR(Z62="",AA62="",AB62=""),"",INDEX(APGrid,COUNTIF(APS,"&gt;"&amp;(--TRIM(LEFT(Z62,2))))*5+COUNTIF(APO,"&gt;"&amp;(--TRIM(LEFT(AA62,2))))+1,COUNTIF(APD,"&gt;"&amp;(--TRIM(LEFT(AB62,2))))+1))</f>
        <v/>
      </c>
      <c r="AE62" s="4" t="n"/>
      <c r="AF62" s="4" t="n"/>
      <c r="AH62">
        <f>IFERROR(INDEX(EqTag,_xlfn.AGGREGATE(15,6,(ROW(EqTag)-4)/((EqSys=$D$3)*(EqTag&lt;&gt;"")),ROWS($AH$14:AH62))),"")</f>
        <v/>
      </c>
    </row>
    <row r="63">
      <c r="A63" s="20">
        <f>IF(F63="","",LEFT($D$3,3)&amp;"-"&amp;TEXT(COUNTIF(F$14:F63,"?*"),"00"))</f>
        <v/>
      </c>
      <c r="B63" s="4" t="n"/>
      <c r="C63" s="5">
        <f>IF(B63="","",IFERROR(INDEX(EqTypeCol,MATCH(B63,EqTag,0)),"Tag not in register"))</f>
        <v/>
      </c>
      <c r="D63" s="4" t="n"/>
      <c r="E63" s="4" t="n"/>
      <c r="F63" s="4" t="n"/>
      <c r="G63" s="4" t="n"/>
      <c r="H63" s="4" t="n"/>
      <c r="I63" s="4" t="n"/>
      <c r="J63" s="5">
        <f>_xlfn.TEXTJOIN(CHAR(10),TRUE,IF(G63="","","• "&amp;G63),IF(H63="","","• "&amp;H63),IF(I63="","","• "&amp;I63))</f>
        <v/>
      </c>
      <c r="K63" s="4" t="n"/>
      <c r="L63" s="4" t="n"/>
      <c r="M63" s="4" t="n"/>
      <c r="N63" s="16" t="n"/>
      <c r="O63" s="4" t="n"/>
      <c r="P63" s="16" t="n"/>
      <c r="Q63" s="4" t="n"/>
      <c r="R63" s="16" t="n"/>
      <c r="S63" s="20">
        <f>IF(OR(N63="",P63="",R63=""),"",(--TRIM(LEFT(N63,2)))*(--TRIM(LEFT(P63,2)))*(--TRIM(LEFT(R63,2))))</f>
        <v/>
      </c>
      <c r="T63" s="20">
        <f>IF(OR(N63="",P63="",R63=""),"",INDEX(APGrid,COUNTIF(APS,"&gt;"&amp;(--TRIM(LEFT(N63,2))))*5+COUNTIF(APO,"&gt;"&amp;(--TRIM(LEFT(P63,2))))+1,COUNTIF(APD,"&gt;"&amp;(--TRIM(LEFT(R63,2))))+1))</f>
        <v/>
      </c>
      <c r="U63" s="20">
        <f>IF(S63="","",IF(OR((--TRIM(LEFT(N63,2)))&gt;=SThr,S63&gt;=RPNThr,T63="H"),"Yes","No"))</f>
        <v/>
      </c>
      <c r="V63" s="4" t="n"/>
      <c r="W63" s="4" t="n"/>
      <c r="X63" s="4" t="n"/>
      <c r="Y63" s="29" t="n"/>
      <c r="Z63" s="16" t="n"/>
      <c r="AA63" s="16" t="n"/>
      <c r="AB63" s="16" t="n"/>
      <c r="AC63" s="20">
        <f>IF(OR(Z63="",AA63="",AB63=""),"",(--TRIM(LEFT(Z63,2)))*(--TRIM(LEFT(AA63,2)))*(--TRIM(LEFT(AB63,2))))</f>
        <v/>
      </c>
      <c r="AD63" s="20">
        <f>IF(OR(Z63="",AA63="",AB63=""),"",INDEX(APGrid,COUNTIF(APS,"&gt;"&amp;(--TRIM(LEFT(Z63,2))))*5+COUNTIF(APO,"&gt;"&amp;(--TRIM(LEFT(AA63,2))))+1,COUNTIF(APD,"&gt;"&amp;(--TRIM(LEFT(AB63,2))))+1))</f>
        <v/>
      </c>
      <c r="AE63" s="4" t="n"/>
      <c r="AF63" s="4" t="n"/>
      <c r="AH63">
        <f>IFERROR(INDEX(EqTag,_xlfn.AGGREGATE(15,6,(ROW(EqTag)-4)/((EqSys=$D$3)*(EqTag&lt;&gt;"")),ROWS($AH$14:AH63))),"")</f>
        <v/>
      </c>
    </row>
    <row r="64">
      <c r="A64" s="20">
        <f>IF(F64="","",LEFT($D$3,3)&amp;"-"&amp;TEXT(COUNTIF(F$14:F64,"?*"),"00"))</f>
        <v/>
      </c>
      <c r="B64" s="4" t="n"/>
      <c r="C64" s="5">
        <f>IF(B64="","",IFERROR(INDEX(EqTypeCol,MATCH(B64,EqTag,0)),"Tag not in register"))</f>
        <v/>
      </c>
      <c r="D64" s="4" t="n"/>
      <c r="E64" s="4" t="n"/>
      <c r="F64" s="4" t="n"/>
      <c r="G64" s="4" t="n"/>
      <c r="H64" s="4" t="n"/>
      <c r="I64" s="4" t="n"/>
      <c r="J64" s="5">
        <f>_xlfn.TEXTJOIN(CHAR(10),TRUE,IF(G64="","","• "&amp;G64),IF(H64="","","• "&amp;H64),IF(I64="","","• "&amp;I64))</f>
        <v/>
      </c>
      <c r="K64" s="4" t="n"/>
      <c r="L64" s="4" t="n"/>
      <c r="M64" s="4" t="n"/>
      <c r="N64" s="16" t="n"/>
      <c r="O64" s="4" t="n"/>
      <c r="P64" s="16" t="n"/>
      <c r="Q64" s="4" t="n"/>
      <c r="R64" s="16" t="n"/>
      <c r="S64" s="20">
        <f>IF(OR(N64="",P64="",R64=""),"",(--TRIM(LEFT(N64,2)))*(--TRIM(LEFT(P64,2)))*(--TRIM(LEFT(R64,2))))</f>
        <v/>
      </c>
      <c r="T64" s="20">
        <f>IF(OR(N64="",P64="",R64=""),"",INDEX(APGrid,COUNTIF(APS,"&gt;"&amp;(--TRIM(LEFT(N64,2))))*5+COUNTIF(APO,"&gt;"&amp;(--TRIM(LEFT(P64,2))))+1,COUNTIF(APD,"&gt;"&amp;(--TRIM(LEFT(R64,2))))+1))</f>
        <v/>
      </c>
      <c r="U64" s="20">
        <f>IF(S64="","",IF(OR((--TRIM(LEFT(N64,2)))&gt;=SThr,S64&gt;=RPNThr,T64="H"),"Yes","No"))</f>
        <v/>
      </c>
      <c r="V64" s="4" t="n"/>
      <c r="W64" s="4" t="n"/>
      <c r="X64" s="4" t="n"/>
      <c r="Y64" s="29" t="n"/>
      <c r="Z64" s="16" t="n"/>
      <c r="AA64" s="16" t="n"/>
      <c r="AB64" s="16" t="n"/>
      <c r="AC64" s="20">
        <f>IF(OR(Z64="",AA64="",AB64=""),"",(--TRIM(LEFT(Z64,2)))*(--TRIM(LEFT(AA64,2)))*(--TRIM(LEFT(AB64,2))))</f>
        <v/>
      </c>
      <c r="AD64" s="20">
        <f>IF(OR(Z64="",AA64="",AB64=""),"",INDEX(APGrid,COUNTIF(APS,"&gt;"&amp;(--TRIM(LEFT(Z64,2))))*5+COUNTIF(APO,"&gt;"&amp;(--TRIM(LEFT(AA64,2))))+1,COUNTIF(APD,"&gt;"&amp;(--TRIM(LEFT(AB64,2))))+1))</f>
        <v/>
      </c>
      <c r="AE64" s="4" t="n"/>
      <c r="AF64" s="4" t="n"/>
      <c r="AH64">
        <f>IFERROR(INDEX(EqTag,_xlfn.AGGREGATE(15,6,(ROW(EqTag)-4)/((EqSys=$D$3)*(EqTag&lt;&gt;"")),ROWS($AH$14:AH64))),"")</f>
        <v/>
      </c>
    </row>
    <row r="65">
      <c r="A65" s="20">
        <f>IF(F65="","",LEFT($D$3,3)&amp;"-"&amp;TEXT(COUNTIF(F$14:F65,"?*"),"00"))</f>
        <v/>
      </c>
      <c r="B65" s="4" t="n"/>
      <c r="C65" s="5">
        <f>IF(B65="","",IFERROR(INDEX(EqTypeCol,MATCH(B65,EqTag,0)),"Tag not in register"))</f>
        <v/>
      </c>
      <c r="D65" s="4" t="n"/>
      <c r="E65" s="4" t="n"/>
      <c r="F65" s="4" t="n"/>
      <c r="G65" s="4" t="n"/>
      <c r="H65" s="4" t="n"/>
      <c r="I65" s="4" t="n"/>
      <c r="J65" s="5">
        <f>_xlfn.TEXTJOIN(CHAR(10),TRUE,IF(G65="","","• "&amp;G65),IF(H65="","","• "&amp;H65),IF(I65="","","• "&amp;I65))</f>
        <v/>
      </c>
      <c r="K65" s="4" t="n"/>
      <c r="L65" s="4" t="n"/>
      <c r="M65" s="4" t="n"/>
      <c r="N65" s="16" t="n"/>
      <c r="O65" s="4" t="n"/>
      <c r="P65" s="16" t="n"/>
      <c r="Q65" s="4" t="n"/>
      <c r="R65" s="16" t="n"/>
      <c r="S65" s="20">
        <f>IF(OR(N65="",P65="",R65=""),"",(--TRIM(LEFT(N65,2)))*(--TRIM(LEFT(P65,2)))*(--TRIM(LEFT(R65,2))))</f>
        <v/>
      </c>
      <c r="T65" s="20">
        <f>IF(OR(N65="",P65="",R65=""),"",INDEX(APGrid,COUNTIF(APS,"&gt;"&amp;(--TRIM(LEFT(N65,2))))*5+COUNTIF(APO,"&gt;"&amp;(--TRIM(LEFT(P65,2))))+1,COUNTIF(APD,"&gt;"&amp;(--TRIM(LEFT(R65,2))))+1))</f>
        <v/>
      </c>
      <c r="U65" s="20">
        <f>IF(S65="","",IF(OR((--TRIM(LEFT(N65,2)))&gt;=SThr,S65&gt;=RPNThr,T65="H"),"Yes","No"))</f>
        <v/>
      </c>
      <c r="V65" s="4" t="n"/>
      <c r="W65" s="4" t="n"/>
      <c r="X65" s="4" t="n"/>
      <c r="Y65" s="29" t="n"/>
      <c r="Z65" s="16" t="n"/>
      <c r="AA65" s="16" t="n"/>
      <c r="AB65" s="16" t="n"/>
      <c r="AC65" s="20">
        <f>IF(OR(Z65="",AA65="",AB65=""),"",(--TRIM(LEFT(Z65,2)))*(--TRIM(LEFT(AA65,2)))*(--TRIM(LEFT(AB65,2))))</f>
        <v/>
      </c>
      <c r="AD65" s="20">
        <f>IF(OR(Z65="",AA65="",AB65=""),"",INDEX(APGrid,COUNTIF(APS,"&gt;"&amp;(--TRIM(LEFT(Z65,2))))*5+COUNTIF(APO,"&gt;"&amp;(--TRIM(LEFT(AA65,2))))+1,COUNTIF(APD,"&gt;"&amp;(--TRIM(LEFT(AB65,2))))+1))</f>
        <v/>
      </c>
      <c r="AE65" s="4" t="n"/>
      <c r="AF65" s="4" t="n"/>
      <c r="AH65">
        <f>IFERROR(INDEX(EqTag,_xlfn.AGGREGATE(15,6,(ROW(EqTag)-4)/((EqSys=$D$3)*(EqTag&lt;&gt;"")),ROWS($AH$14:AH65))),"")</f>
        <v/>
      </c>
    </row>
    <row r="66">
      <c r="A66" s="20">
        <f>IF(F66="","",LEFT($D$3,3)&amp;"-"&amp;TEXT(COUNTIF(F$14:F66,"?*"),"00"))</f>
        <v/>
      </c>
      <c r="B66" s="4" t="n"/>
      <c r="C66" s="5">
        <f>IF(B66="","",IFERROR(INDEX(EqTypeCol,MATCH(B66,EqTag,0)),"Tag not in register"))</f>
        <v/>
      </c>
      <c r="D66" s="4" t="n"/>
      <c r="E66" s="4" t="n"/>
      <c r="F66" s="4" t="n"/>
      <c r="G66" s="4" t="n"/>
      <c r="H66" s="4" t="n"/>
      <c r="I66" s="4" t="n"/>
      <c r="J66" s="5">
        <f>_xlfn.TEXTJOIN(CHAR(10),TRUE,IF(G66="","","• "&amp;G66),IF(H66="","","• "&amp;H66),IF(I66="","","• "&amp;I66))</f>
        <v/>
      </c>
      <c r="K66" s="4" t="n"/>
      <c r="L66" s="4" t="n"/>
      <c r="M66" s="4" t="n"/>
      <c r="N66" s="16" t="n"/>
      <c r="O66" s="4" t="n"/>
      <c r="P66" s="16" t="n"/>
      <c r="Q66" s="4" t="n"/>
      <c r="R66" s="16" t="n"/>
      <c r="S66" s="20">
        <f>IF(OR(N66="",P66="",R66=""),"",(--TRIM(LEFT(N66,2)))*(--TRIM(LEFT(P66,2)))*(--TRIM(LEFT(R66,2))))</f>
        <v/>
      </c>
      <c r="T66" s="20">
        <f>IF(OR(N66="",P66="",R66=""),"",INDEX(APGrid,COUNTIF(APS,"&gt;"&amp;(--TRIM(LEFT(N66,2))))*5+COUNTIF(APO,"&gt;"&amp;(--TRIM(LEFT(P66,2))))+1,COUNTIF(APD,"&gt;"&amp;(--TRIM(LEFT(R66,2))))+1))</f>
        <v/>
      </c>
      <c r="U66" s="20">
        <f>IF(S66="","",IF(OR((--TRIM(LEFT(N66,2)))&gt;=SThr,S66&gt;=RPNThr,T66="H"),"Yes","No"))</f>
        <v/>
      </c>
      <c r="V66" s="4" t="n"/>
      <c r="W66" s="4" t="n"/>
      <c r="X66" s="4" t="n"/>
      <c r="Y66" s="29" t="n"/>
      <c r="Z66" s="16" t="n"/>
      <c r="AA66" s="16" t="n"/>
      <c r="AB66" s="16" t="n"/>
      <c r="AC66" s="20">
        <f>IF(OR(Z66="",AA66="",AB66=""),"",(--TRIM(LEFT(Z66,2)))*(--TRIM(LEFT(AA66,2)))*(--TRIM(LEFT(AB66,2))))</f>
        <v/>
      </c>
      <c r="AD66" s="20">
        <f>IF(OR(Z66="",AA66="",AB66=""),"",INDEX(APGrid,COUNTIF(APS,"&gt;"&amp;(--TRIM(LEFT(Z66,2))))*5+COUNTIF(APO,"&gt;"&amp;(--TRIM(LEFT(AA66,2))))+1,COUNTIF(APD,"&gt;"&amp;(--TRIM(LEFT(AB66,2))))+1))</f>
        <v/>
      </c>
      <c r="AE66" s="4" t="n"/>
      <c r="AF66" s="4" t="n"/>
      <c r="AH66">
        <f>IFERROR(INDEX(EqTag,_xlfn.AGGREGATE(15,6,(ROW(EqTag)-4)/((EqSys=$D$3)*(EqTag&lt;&gt;"")),ROWS($AH$14:AH66))),"")</f>
        <v/>
      </c>
    </row>
    <row r="67">
      <c r="A67" s="20">
        <f>IF(F67="","",LEFT($D$3,3)&amp;"-"&amp;TEXT(COUNTIF(F$14:F67,"?*"),"00"))</f>
        <v/>
      </c>
      <c r="B67" s="4" t="n"/>
      <c r="C67" s="5">
        <f>IF(B67="","",IFERROR(INDEX(EqTypeCol,MATCH(B67,EqTag,0)),"Tag not in register"))</f>
        <v/>
      </c>
      <c r="D67" s="4" t="n"/>
      <c r="E67" s="4" t="n"/>
      <c r="F67" s="4" t="n"/>
      <c r="G67" s="4" t="n"/>
      <c r="H67" s="4" t="n"/>
      <c r="I67" s="4" t="n"/>
      <c r="J67" s="5">
        <f>_xlfn.TEXTJOIN(CHAR(10),TRUE,IF(G67="","","• "&amp;G67),IF(H67="","","• "&amp;H67),IF(I67="","","• "&amp;I67))</f>
        <v/>
      </c>
      <c r="K67" s="4" t="n"/>
      <c r="L67" s="4" t="n"/>
      <c r="M67" s="4" t="n"/>
      <c r="N67" s="16" t="n"/>
      <c r="O67" s="4" t="n"/>
      <c r="P67" s="16" t="n"/>
      <c r="Q67" s="4" t="n"/>
      <c r="R67" s="16" t="n"/>
      <c r="S67" s="20">
        <f>IF(OR(N67="",P67="",R67=""),"",(--TRIM(LEFT(N67,2)))*(--TRIM(LEFT(P67,2)))*(--TRIM(LEFT(R67,2))))</f>
        <v/>
      </c>
      <c r="T67" s="20">
        <f>IF(OR(N67="",P67="",R67=""),"",INDEX(APGrid,COUNTIF(APS,"&gt;"&amp;(--TRIM(LEFT(N67,2))))*5+COUNTIF(APO,"&gt;"&amp;(--TRIM(LEFT(P67,2))))+1,COUNTIF(APD,"&gt;"&amp;(--TRIM(LEFT(R67,2))))+1))</f>
        <v/>
      </c>
      <c r="U67" s="20">
        <f>IF(S67="","",IF(OR((--TRIM(LEFT(N67,2)))&gt;=SThr,S67&gt;=RPNThr,T67="H"),"Yes","No"))</f>
        <v/>
      </c>
      <c r="V67" s="4" t="n"/>
      <c r="W67" s="4" t="n"/>
      <c r="X67" s="4" t="n"/>
      <c r="Y67" s="29" t="n"/>
      <c r="Z67" s="16" t="n"/>
      <c r="AA67" s="16" t="n"/>
      <c r="AB67" s="16" t="n"/>
      <c r="AC67" s="20">
        <f>IF(OR(Z67="",AA67="",AB67=""),"",(--TRIM(LEFT(Z67,2)))*(--TRIM(LEFT(AA67,2)))*(--TRIM(LEFT(AB67,2))))</f>
        <v/>
      </c>
      <c r="AD67" s="20">
        <f>IF(OR(Z67="",AA67="",AB67=""),"",INDEX(APGrid,COUNTIF(APS,"&gt;"&amp;(--TRIM(LEFT(Z67,2))))*5+COUNTIF(APO,"&gt;"&amp;(--TRIM(LEFT(AA67,2))))+1,COUNTIF(APD,"&gt;"&amp;(--TRIM(LEFT(AB67,2))))+1))</f>
        <v/>
      </c>
      <c r="AE67" s="4" t="n"/>
      <c r="AF67" s="4" t="n"/>
      <c r="AH67">
        <f>IFERROR(INDEX(EqTag,_xlfn.AGGREGATE(15,6,(ROW(EqTag)-4)/((EqSys=$D$3)*(EqTag&lt;&gt;"")),ROWS($AH$14:AH67))),"")</f>
        <v/>
      </c>
    </row>
    <row r="68">
      <c r="A68" s="20">
        <f>IF(F68="","",LEFT($D$3,3)&amp;"-"&amp;TEXT(COUNTIF(F$14:F68,"?*"),"00"))</f>
        <v/>
      </c>
      <c r="B68" s="4" t="n"/>
      <c r="C68" s="5">
        <f>IF(B68="","",IFERROR(INDEX(EqTypeCol,MATCH(B68,EqTag,0)),"Tag not in register"))</f>
        <v/>
      </c>
      <c r="D68" s="4" t="n"/>
      <c r="E68" s="4" t="n"/>
      <c r="F68" s="4" t="n"/>
      <c r="G68" s="4" t="n"/>
      <c r="H68" s="4" t="n"/>
      <c r="I68" s="4" t="n"/>
      <c r="J68" s="5">
        <f>_xlfn.TEXTJOIN(CHAR(10),TRUE,IF(G68="","","• "&amp;G68),IF(H68="","","• "&amp;H68),IF(I68="","","• "&amp;I68))</f>
        <v/>
      </c>
      <c r="K68" s="4" t="n"/>
      <c r="L68" s="4" t="n"/>
      <c r="M68" s="4" t="n"/>
      <c r="N68" s="16" t="n"/>
      <c r="O68" s="4" t="n"/>
      <c r="P68" s="16" t="n"/>
      <c r="Q68" s="4" t="n"/>
      <c r="R68" s="16" t="n"/>
      <c r="S68" s="20">
        <f>IF(OR(N68="",P68="",R68=""),"",(--TRIM(LEFT(N68,2)))*(--TRIM(LEFT(P68,2)))*(--TRIM(LEFT(R68,2))))</f>
        <v/>
      </c>
      <c r="T68" s="20">
        <f>IF(OR(N68="",P68="",R68=""),"",INDEX(APGrid,COUNTIF(APS,"&gt;"&amp;(--TRIM(LEFT(N68,2))))*5+COUNTIF(APO,"&gt;"&amp;(--TRIM(LEFT(P68,2))))+1,COUNTIF(APD,"&gt;"&amp;(--TRIM(LEFT(R68,2))))+1))</f>
        <v/>
      </c>
      <c r="U68" s="20">
        <f>IF(S68="","",IF(OR((--TRIM(LEFT(N68,2)))&gt;=SThr,S68&gt;=RPNThr,T68="H"),"Yes","No"))</f>
        <v/>
      </c>
      <c r="V68" s="4" t="n"/>
      <c r="W68" s="4" t="n"/>
      <c r="X68" s="4" t="n"/>
      <c r="Y68" s="29" t="n"/>
      <c r="Z68" s="16" t="n"/>
      <c r="AA68" s="16" t="n"/>
      <c r="AB68" s="16" t="n"/>
      <c r="AC68" s="20">
        <f>IF(OR(Z68="",AA68="",AB68=""),"",(--TRIM(LEFT(Z68,2)))*(--TRIM(LEFT(AA68,2)))*(--TRIM(LEFT(AB68,2))))</f>
        <v/>
      </c>
      <c r="AD68" s="20">
        <f>IF(OR(Z68="",AA68="",AB68=""),"",INDEX(APGrid,COUNTIF(APS,"&gt;"&amp;(--TRIM(LEFT(Z68,2))))*5+COUNTIF(APO,"&gt;"&amp;(--TRIM(LEFT(AA68,2))))+1,COUNTIF(APD,"&gt;"&amp;(--TRIM(LEFT(AB68,2))))+1))</f>
        <v/>
      </c>
      <c r="AE68" s="4" t="n"/>
      <c r="AF68" s="4" t="n"/>
      <c r="AH68">
        <f>IFERROR(INDEX(EqTag,_xlfn.AGGREGATE(15,6,(ROW(EqTag)-4)/((EqSys=$D$3)*(EqTag&lt;&gt;"")),ROWS($AH$14:AH68))),"")</f>
        <v/>
      </c>
    </row>
    <row r="69">
      <c r="A69" s="20">
        <f>IF(F69="","",LEFT($D$3,3)&amp;"-"&amp;TEXT(COUNTIF(F$14:F69,"?*"),"00"))</f>
        <v/>
      </c>
      <c r="B69" s="4" t="n"/>
      <c r="C69" s="5">
        <f>IF(B69="","",IFERROR(INDEX(EqTypeCol,MATCH(B69,EqTag,0)),"Tag not in register"))</f>
        <v/>
      </c>
      <c r="D69" s="4" t="n"/>
      <c r="E69" s="4" t="n"/>
      <c r="F69" s="4" t="n"/>
      <c r="G69" s="4" t="n"/>
      <c r="H69" s="4" t="n"/>
      <c r="I69" s="4" t="n"/>
      <c r="J69" s="5">
        <f>_xlfn.TEXTJOIN(CHAR(10),TRUE,IF(G69="","","• "&amp;G69),IF(H69="","","• "&amp;H69),IF(I69="","","• "&amp;I69))</f>
        <v/>
      </c>
      <c r="K69" s="4" t="n"/>
      <c r="L69" s="4" t="n"/>
      <c r="M69" s="4" t="n"/>
      <c r="N69" s="16" t="n"/>
      <c r="O69" s="4" t="n"/>
      <c r="P69" s="16" t="n"/>
      <c r="Q69" s="4" t="n"/>
      <c r="R69" s="16" t="n"/>
      <c r="S69" s="20">
        <f>IF(OR(N69="",P69="",R69=""),"",(--TRIM(LEFT(N69,2)))*(--TRIM(LEFT(P69,2)))*(--TRIM(LEFT(R69,2))))</f>
        <v/>
      </c>
      <c r="T69" s="20">
        <f>IF(OR(N69="",P69="",R69=""),"",INDEX(APGrid,COUNTIF(APS,"&gt;"&amp;(--TRIM(LEFT(N69,2))))*5+COUNTIF(APO,"&gt;"&amp;(--TRIM(LEFT(P69,2))))+1,COUNTIF(APD,"&gt;"&amp;(--TRIM(LEFT(R69,2))))+1))</f>
        <v/>
      </c>
      <c r="U69" s="20">
        <f>IF(S69="","",IF(OR((--TRIM(LEFT(N69,2)))&gt;=SThr,S69&gt;=RPNThr,T69="H"),"Yes","No"))</f>
        <v/>
      </c>
      <c r="V69" s="4" t="n"/>
      <c r="W69" s="4" t="n"/>
      <c r="X69" s="4" t="n"/>
      <c r="Y69" s="29" t="n"/>
      <c r="Z69" s="16" t="n"/>
      <c r="AA69" s="16" t="n"/>
      <c r="AB69" s="16" t="n"/>
      <c r="AC69" s="20">
        <f>IF(OR(Z69="",AA69="",AB69=""),"",(--TRIM(LEFT(Z69,2)))*(--TRIM(LEFT(AA69,2)))*(--TRIM(LEFT(AB69,2))))</f>
        <v/>
      </c>
      <c r="AD69" s="20">
        <f>IF(OR(Z69="",AA69="",AB69=""),"",INDEX(APGrid,COUNTIF(APS,"&gt;"&amp;(--TRIM(LEFT(Z69,2))))*5+COUNTIF(APO,"&gt;"&amp;(--TRIM(LEFT(AA69,2))))+1,COUNTIF(APD,"&gt;"&amp;(--TRIM(LEFT(AB69,2))))+1))</f>
        <v/>
      </c>
      <c r="AE69" s="4" t="n"/>
      <c r="AF69" s="4" t="n"/>
      <c r="AH69">
        <f>IFERROR(INDEX(EqTag,_xlfn.AGGREGATE(15,6,(ROW(EqTag)-4)/((EqSys=$D$3)*(EqTag&lt;&gt;"")),ROWS($AH$14:AH69))),"")</f>
        <v/>
      </c>
    </row>
    <row r="70">
      <c r="A70" s="20">
        <f>IF(F70="","",LEFT($D$3,3)&amp;"-"&amp;TEXT(COUNTIF(F$14:F70,"?*"),"00"))</f>
        <v/>
      </c>
      <c r="B70" s="4" t="n"/>
      <c r="C70" s="5">
        <f>IF(B70="","",IFERROR(INDEX(EqTypeCol,MATCH(B70,EqTag,0)),"Tag not in register"))</f>
        <v/>
      </c>
      <c r="D70" s="4" t="n"/>
      <c r="E70" s="4" t="n"/>
      <c r="F70" s="4" t="n"/>
      <c r="G70" s="4" t="n"/>
      <c r="H70" s="4" t="n"/>
      <c r="I70" s="4" t="n"/>
      <c r="J70" s="5">
        <f>_xlfn.TEXTJOIN(CHAR(10),TRUE,IF(G70="","","• "&amp;G70),IF(H70="","","• "&amp;H70),IF(I70="","","• "&amp;I70))</f>
        <v/>
      </c>
      <c r="K70" s="4" t="n"/>
      <c r="L70" s="4" t="n"/>
      <c r="M70" s="4" t="n"/>
      <c r="N70" s="16" t="n"/>
      <c r="O70" s="4" t="n"/>
      <c r="P70" s="16" t="n"/>
      <c r="Q70" s="4" t="n"/>
      <c r="R70" s="16" t="n"/>
      <c r="S70" s="20">
        <f>IF(OR(N70="",P70="",R70=""),"",(--TRIM(LEFT(N70,2)))*(--TRIM(LEFT(P70,2)))*(--TRIM(LEFT(R70,2))))</f>
        <v/>
      </c>
      <c r="T70" s="20">
        <f>IF(OR(N70="",P70="",R70=""),"",INDEX(APGrid,COUNTIF(APS,"&gt;"&amp;(--TRIM(LEFT(N70,2))))*5+COUNTIF(APO,"&gt;"&amp;(--TRIM(LEFT(P70,2))))+1,COUNTIF(APD,"&gt;"&amp;(--TRIM(LEFT(R70,2))))+1))</f>
        <v/>
      </c>
      <c r="U70" s="20">
        <f>IF(S70="","",IF(OR((--TRIM(LEFT(N70,2)))&gt;=SThr,S70&gt;=RPNThr,T70="H"),"Yes","No"))</f>
        <v/>
      </c>
      <c r="V70" s="4" t="n"/>
      <c r="W70" s="4" t="n"/>
      <c r="X70" s="4" t="n"/>
      <c r="Y70" s="29" t="n"/>
      <c r="Z70" s="16" t="n"/>
      <c r="AA70" s="16" t="n"/>
      <c r="AB70" s="16" t="n"/>
      <c r="AC70" s="20">
        <f>IF(OR(Z70="",AA70="",AB70=""),"",(--TRIM(LEFT(Z70,2)))*(--TRIM(LEFT(AA70,2)))*(--TRIM(LEFT(AB70,2))))</f>
        <v/>
      </c>
      <c r="AD70" s="20">
        <f>IF(OR(Z70="",AA70="",AB70=""),"",INDEX(APGrid,COUNTIF(APS,"&gt;"&amp;(--TRIM(LEFT(Z70,2))))*5+COUNTIF(APO,"&gt;"&amp;(--TRIM(LEFT(AA70,2))))+1,COUNTIF(APD,"&gt;"&amp;(--TRIM(LEFT(AB70,2))))+1))</f>
        <v/>
      </c>
      <c r="AE70" s="4" t="n"/>
      <c r="AF70" s="4" t="n"/>
      <c r="AH70">
        <f>IFERROR(INDEX(EqTag,_xlfn.AGGREGATE(15,6,(ROW(EqTag)-4)/((EqSys=$D$3)*(EqTag&lt;&gt;"")),ROWS($AH$14:AH70))),"")</f>
        <v/>
      </c>
    </row>
    <row r="71">
      <c r="A71" s="20">
        <f>IF(F71="","",LEFT($D$3,3)&amp;"-"&amp;TEXT(COUNTIF(F$14:F71,"?*"),"00"))</f>
        <v/>
      </c>
      <c r="B71" s="4" t="n"/>
      <c r="C71" s="5">
        <f>IF(B71="","",IFERROR(INDEX(EqTypeCol,MATCH(B71,EqTag,0)),"Tag not in register"))</f>
        <v/>
      </c>
      <c r="D71" s="4" t="n"/>
      <c r="E71" s="4" t="n"/>
      <c r="F71" s="4" t="n"/>
      <c r="G71" s="4" t="n"/>
      <c r="H71" s="4" t="n"/>
      <c r="I71" s="4" t="n"/>
      <c r="J71" s="5">
        <f>_xlfn.TEXTJOIN(CHAR(10),TRUE,IF(G71="","","• "&amp;G71),IF(H71="","","• "&amp;H71),IF(I71="","","• "&amp;I71))</f>
        <v/>
      </c>
      <c r="K71" s="4" t="n"/>
      <c r="L71" s="4" t="n"/>
      <c r="M71" s="4" t="n"/>
      <c r="N71" s="16" t="n"/>
      <c r="O71" s="4" t="n"/>
      <c r="P71" s="16" t="n"/>
      <c r="Q71" s="4" t="n"/>
      <c r="R71" s="16" t="n"/>
      <c r="S71" s="20">
        <f>IF(OR(N71="",P71="",R71=""),"",(--TRIM(LEFT(N71,2)))*(--TRIM(LEFT(P71,2)))*(--TRIM(LEFT(R71,2))))</f>
        <v/>
      </c>
      <c r="T71" s="20">
        <f>IF(OR(N71="",P71="",R71=""),"",INDEX(APGrid,COUNTIF(APS,"&gt;"&amp;(--TRIM(LEFT(N71,2))))*5+COUNTIF(APO,"&gt;"&amp;(--TRIM(LEFT(P71,2))))+1,COUNTIF(APD,"&gt;"&amp;(--TRIM(LEFT(R71,2))))+1))</f>
        <v/>
      </c>
      <c r="U71" s="20">
        <f>IF(S71="","",IF(OR((--TRIM(LEFT(N71,2)))&gt;=SThr,S71&gt;=RPNThr,T71="H"),"Yes","No"))</f>
        <v/>
      </c>
      <c r="V71" s="4" t="n"/>
      <c r="W71" s="4" t="n"/>
      <c r="X71" s="4" t="n"/>
      <c r="Y71" s="29" t="n"/>
      <c r="Z71" s="16" t="n"/>
      <c r="AA71" s="16" t="n"/>
      <c r="AB71" s="16" t="n"/>
      <c r="AC71" s="20">
        <f>IF(OR(Z71="",AA71="",AB71=""),"",(--TRIM(LEFT(Z71,2)))*(--TRIM(LEFT(AA71,2)))*(--TRIM(LEFT(AB71,2))))</f>
        <v/>
      </c>
      <c r="AD71" s="20">
        <f>IF(OR(Z71="",AA71="",AB71=""),"",INDEX(APGrid,COUNTIF(APS,"&gt;"&amp;(--TRIM(LEFT(Z71,2))))*5+COUNTIF(APO,"&gt;"&amp;(--TRIM(LEFT(AA71,2))))+1,COUNTIF(APD,"&gt;"&amp;(--TRIM(LEFT(AB71,2))))+1))</f>
        <v/>
      </c>
      <c r="AE71" s="4" t="n"/>
      <c r="AF71" s="4" t="n"/>
      <c r="AH71">
        <f>IFERROR(INDEX(EqTag,_xlfn.AGGREGATE(15,6,(ROW(EqTag)-4)/((EqSys=$D$3)*(EqTag&lt;&gt;"")),ROWS($AH$14:AH71))),"")</f>
        <v/>
      </c>
    </row>
    <row r="72">
      <c r="A72" s="20">
        <f>IF(F72="","",LEFT($D$3,3)&amp;"-"&amp;TEXT(COUNTIF(F$14:F72,"?*"),"00"))</f>
        <v/>
      </c>
      <c r="B72" s="4" t="n"/>
      <c r="C72" s="5">
        <f>IF(B72="","",IFERROR(INDEX(EqTypeCol,MATCH(B72,EqTag,0)),"Tag not in register"))</f>
        <v/>
      </c>
      <c r="D72" s="4" t="n"/>
      <c r="E72" s="4" t="n"/>
      <c r="F72" s="4" t="n"/>
      <c r="G72" s="4" t="n"/>
      <c r="H72" s="4" t="n"/>
      <c r="I72" s="4" t="n"/>
      <c r="J72" s="5">
        <f>_xlfn.TEXTJOIN(CHAR(10),TRUE,IF(G72="","","• "&amp;G72),IF(H72="","","• "&amp;H72),IF(I72="","","• "&amp;I72))</f>
        <v/>
      </c>
      <c r="K72" s="4" t="n"/>
      <c r="L72" s="4" t="n"/>
      <c r="M72" s="4" t="n"/>
      <c r="N72" s="16" t="n"/>
      <c r="O72" s="4" t="n"/>
      <c r="P72" s="16" t="n"/>
      <c r="Q72" s="4" t="n"/>
      <c r="R72" s="16" t="n"/>
      <c r="S72" s="20">
        <f>IF(OR(N72="",P72="",R72=""),"",(--TRIM(LEFT(N72,2)))*(--TRIM(LEFT(P72,2)))*(--TRIM(LEFT(R72,2))))</f>
        <v/>
      </c>
      <c r="T72" s="20">
        <f>IF(OR(N72="",P72="",R72=""),"",INDEX(APGrid,COUNTIF(APS,"&gt;"&amp;(--TRIM(LEFT(N72,2))))*5+COUNTIF(APO,"&gt;"&amp;(--TRIM(LEFT(P72,2))))+1,COUNTIF(APD,"&gt;"&amp;(--TRIM(LEFT(R72,2))))+1))</f>
        <v/>
      </c>
      <c r="U72" s="20">
        <f>IF(S72="","",IF(OR((--TRIM(LEFT(N72,2)))&gt;=SThr,S72&gt;=RPNThr,T72="H"),"Yes","No"))</f>
        <v/>
      </c>
      <c r="V72" s="4" t="n"/>
      <c r="W72" s="4" t="n"/>
      <c r="X72" s="4" t="n"/>
      <c r="Y72" s="29" t="n"/>
      <c r="Z72" s="16" t="n"/>
      <c r="AA72" s="16" t="n"/>
      <c r="AB72" s="16" t="n"/>
      <c r="AC72" s="20">
        <f>IF(OR(Z72="",AA72="",AB72=""),"",(--TRIM(LEFT(Z72,2)))*(--TRIM(LEFT(AA72,2)))*(--TRIM(LEFT(AB72,2))))</f>
        <v/>
      </c>
      <c r="AD72" s="20">
        <f>IF(OR(Z72="",AA72="",AB72=""),"",INDEX(APGrid,COUNTIF(APS,"&gt;"&amp;(--TRIM(LEFT(Z72,2))))*5+COUNTIF(APO,"&gt;"&amp;(--TRIM(LEFT(AA72,2))))+1,COUNTIF(APD,"&gt;"&amp;(--TRIM(LEFT(AB72,2))))+1))</f>
        <v/>
      </c>
      <c r="AE72" s="4" t="n"/>
      <c r="AF72" s="4" t="n"/>
      <c r="AH72">
        <f>IFERROR(INDEX(EqTag,_xlfn.AGGREGATE(15,6,(ROW(EqTag)-4)/((EqSys=$D$3)*(EqTag&lt;&gt;"")),ROWS($AH$14:AH72))),"")</f>
        <v/>
      </c>
    </row>
    <row r="73">
      <c r="A73" s="20">
        <f>IF(F73="","",LEFT($D$3,3)&amp;"-"&amp;TEXT(COUNTIF(F$14:F73,"?*"),"00"))</f>
        <v/>
      </c>
      <c r="B73" s="4" t="n"/>
      <c r="C73" s="5">
        <f>IF(B73="","",IFERROR(INDEX(EqTypeCol,MATCH(B73,EqTag,0)),"Tag not in register"))</f>
        <v/>
      </c>
      <c r="D73" s="4" t="n"/>
      <c r="E73" s="4" t="n"/>
      <c r="F73" s="4" t="n"/>
      <c r="G73" s="4" t="n"/>
      <c r="H73" s="4" t="n"/>
      <c r="I73" s="4" t="n"/>
      <c r="J73" s="5">
        <f>_xlfn.TEXTJOIN(CHAR(10),TRUE,IF(G73="","","• "&amp;G73),IF(H73="","","• "&amp;H73),IF(I73="","","• "&amp;I73))</f>
        <v/>
      </c>
      <c r="K73" s="4" t="n"/>
      <c r="L73" s="4" t="n"/>
      <c r="M73" s="4" t="n"/>
      <c r="N73" s="16" t="n"/>
      <c r="O73" s="4" t="n"/>
      <c r="P73" s="16" t="n"/>
      <c r="Q73" s="4" t="n"/>
      <c r="R73" s="16" t="n"/>
      <c r="S73" s="20">
        <f>IF(OR(N73="",P73="",R73=""),"",(--TRIM(LEFT(N73,2)))*(--TRIM(LEFT(P73,2)))*(--TRIM(LEFT(R73,2))))</f>
        <v/>
      </c>
      <c r="T73" s="20">
        <f>IF(OR(N73="",P73="",R73=""),"",INDEX(APGrid,COUNTIF(APS,"&gt;"&amp;(--TRIM(LEFT(N73,2))))*5+COUNTIF(APO,"&gt;"&amp;(--TRIM(LEFT(P73,2))))+1,COUNTIF(APD,"&gt;"&amp;(--TRIM(LEFT(R73,2))))+1))</f>
        <v/>
      </c>
      <c r="U73" s="20">
        <f>IF(S73="","",IF(OR((--TRIM(LEFT(N73,2)))&gt;=SThr,S73&gt;=RPNThr,T73="H"),"Yes","No"))</f>
        <v/>
      </c>
      <c r="V73" s="4" t="n"/>
      <c r="W73" s="4" t="n"/>
      <c r="X73" s="4" t="n"/>
      <c r="Y73" s="29" t="n"/>
      <c r="Z73" s="16" t="n"/>
      <c r="AA73" s="16" t="n"/>
      <c r="AB73" s="16" t="n"/>
      <c r="AC73" s="20">
        <f>IF(OR(Z73="",AA73="",AB73=""),"",(--TRIM(LEFT(Z73,2)))*(--TRIM(LEFT(AA73,2)))*(--TRIM(LEFT(AB73,2))))</f>
        <v/>
      </c>
      <c r="AD73" s="20">
        <f>IF(OR(Z73="",AA73="",AB73=""),"",INDEX(APGrid,COUNTIF(APS,"&gt;"&amp;(--TRIM(LEFT(Z73,2))))*5+COUNTIF(APO,"&gt;"&amp;(--TRIM(LEFT(AA73,2))))+1,COUNTIF(APD,"&gt;"&amp;(--TRIM(LEFT(AB73,2))))+1))</f>
        <v/>
      </c>
      <c r="AE73" s="4" t="n"/>
      <c r="AF73" s="4" t="n"/>
      <c r="AH73">
        <f>IFERROR(INDEX(EqTag,_xlfn.AGGREGATE(15,6,(ROW(EqTag)-4)/((EqSys=$D$3)*(EqTag&lt;&gt;"")),ROWS($AH$14:AH73))),"")</f>
        <v/>
      </c>
    </row>
    <row r="74">
      <c r="A74" s="20">
        <f>IF(F74="","",LEFT($D$3,3)&amp;"-"&amp;TEXT(COUNTIF(F$14:F74,"?*"),"00"))</f>
        <v/>
      </c>
      <c r="B74" s="4" t="n"/>
      <c r="C74" s="5">
        <f>IF(B74="","",IFERROR(INDEX(EqTypeCol,MATCH(B74,EqTag,0)),"Tag not in register"))</f>
        <v/>
      </c>
      <c r="D74" s="4" t="n"/>
      <c r="E74" s="4" t="n"/>
      <c r="F74" s="4" t="n"/>
      <c r="G74" s="4" t="n"/>
      <c r="H74" s="4" t="n"/>
      <c r="I74" s="4" t="n"/>
      <c r="J74" s="5">
        <f>_xlfn.TEXTJOIN(CHAR(10),TRUE,IF(G74="","","• "&amp;G74),IF(H74="","","• "&amp;H74),IF(I74="","","• "&amp;I74))</f>
        <v/>
      </c>
      <c r="K74" s="4" t="n"/>
      <c r="L74" s="4" t="n"/>
      <c r="M74" s="4" t="n"/>
      <c r="N74" s="16" t="n"/>
      <c r="O74" s="4" t="n"/>
      <c r="P74" s="16" t="n"/>
      <c r="Q74" s="4" t="n"/>
      <c r="R74" s="16" t="n"/>
      <c r="S74" s="20">
        <f>IF(OR(N74="",P74="",R74=""),"",(--TRIM(LEFT(N74,2)))*(--TRIM(LEFT(P74,2)))*(--TRIM(LEFT(R74,2))))</f>
        <v/>
      </c>
      <c r="T74" s="20">
        <f>IF(OR(N74="",P74="",R74=""),"",INDEX(APGrid,COUNTIF(APS,"&gt;"&amp;(--TRIM(LEFT(N74,2))))*5+COUNTIF(APO,"&gt;"&amp;(--TRIM(LEFT(P74,2))))+1,COUNTIF(APD,"&gt;"&amp;(--TRIM(LEFT(R74,2))))+1))</f>
        <v/>
      </c>
      <c r="U74" s="20">
        <f>IF(S74="","",IF(OR((--TRIM(LEFT(N74,2)))&gt;=SThr,S74&gt;=RPNThr,T74="H"),"Yes","No"))</f>
        <v/>
      </c>
      <c r="V74" s="4" t="n"/>
      <c r="W74" s="4" t="n"/>
      <c r="X74" s="4" t="n"/>
      <c r="Y74" s="29" t="n"/>
      <c r="Z74" s="16" t="n"/>
      <c r="AA74" s="16" t="n"/>
      <c r="AB74" s="16" t="n"/>
      <c r="AC74" s="20">
        <f>IF(OR(Z74="",AA74="",AB74=""),"",(--TRIM(LEFT(Z74,2)))*(--TRIM(LEFT(AA74,2)))*(--TRIM(LEFT(AB74,2))))</f>
        <v/>
      </c>
      <c r="AD74" s="20">
        <f>IF(OR(Z74="",AA74="",AB74=""),"",INDEX(APGrid,COUNTIF(APS,"&gt;"&amp;(--TRIM(LEFT(Z74,2))))*5+COUNTIF(APO,"&gt;"&amp;(--TRIM(LEFT(AA74,2))))+1,COUNTIF(APD,"&gt;"&amp;(--TRIM(LEFT(AB74,2))))+1))</f>
        <v/>
      </c>
      <c r="AE74" s="4" t="n"/>
      <c r="AF74" s="4" t="n"/>
      <c r="AH74">
        <f>IFERROR(INDEX(EqTag,_xlfn.AGGREGATE(15,6,(ROW(EqTag)-4)/((EqSys=$D$3)*(EqTag&lt;&gt;"")),ROWS($AH$14:AH74))),"")</f>
        <v/>
      </c>
    </row>
    <row r="75">
      <c r="A75" s="20">
        <f>IF(F75="","",LEFT($D$3,3)&amp;"-"&amp;TEXT(COUNTIF(F$14:F75,"?*"),"00"))</f>
        <v/>
      </c>
      <c r="B75" s="4" t="n"/>
      <c r="C75" s="5">
        <f>IF(B75="","",IFERROR(INDEX(EqTypeCol,MATCH(B75,EqTag,0)),"Tag not in register"))</f>
        <v/>
      </c>
      <c r="D75" s="4" t="n"/>
      <c r="E75" s="4" t="n"/>
      <c r="F75" s="4" t="n"/>
      <c r="G75" s="4" t="n"/>
      <c r="H75" s="4" t="n"/>
      <c r="I75" s="4" t="n"/>
      <c r="J75" s="5">
        <f>_xlfn.TEXTJOIN(CHAR(10),TRUE,IF(G75="","","• "&amp;G75),IF(H75="","","• "&amp;H75),IF(I75="","","• "&amp;I75))</f>
        <v/>
      </c>
      <c r="K75" s="4" t="n"/>
      <c r="L75" s="4" t="n"/>
      <c r="M75" s="4" t="n"/>
      <c r="N75" s="16" t="n"/>
      <c r="O75" s="4" t="n"/>
      <c r="P75" s="16" t="n"/>
      <c r="Q75" s="4" t="n"/>
      <c r="R75" s="16" t="n"/>
      <c r="S75" s="20">
        <f>IF(OR(N75="",P75="",R75=""),"",(--TRIM(LEFT(N75,2)))*(--TRIM(LEFT(P75,2)))*(--TRIM(LEFT(R75,2))))</f>
        <v/>
      </c>
      <c r="T75" s="20">
        <f>IF(OR(N75="",P75="",R75=""),"",INDEX(APGrid,COUNTIF(APS,"&gt;"&amp;(--TRIM(LEFT(N75,2))))*5+COUNTIF(APO,"&gt;"&amp;(--TRIM(LEFT(P75,2))))+1,COUNTIF(APD,"&gt;"&amp;(--TRIM(LEFT(R75,2))))+1))</f>
        <v/>
      </c>
      <c r="U75" s="20">
        <f>IF(S75="","",IF(OR((--TRIM(LEFT(N75,2)))&gt;=SThr,S75&gt;=RPNThr,T75="H"),"Yes","No"))</f>
        <v/>
      </c>
      <c r="V75" s="4" t="n"/>
      <c r="W75" s="4" t="n"/>
      <c r="X75" s="4" t="n"/>
      <c r="Y75" s="29" t="n"/>
      <c r="Z75" s="16" t="n"/>
      <c r="AA75" s="16" t="n"/>
      <c r="AB75" s="16" t="n"/>
      <c r="AC75" s="20">
        <f>IF(OR(Z75="",AA75="",AB75=""),"",(--TRIM(LEFT(Z75,2)))*(--TRIM(LEFT(AA75,2)))*(--TRIM(LEFT(AB75,2))))</f>
        <v/>
      </c>
      <c r="AD75" s="20">
        <f>IF(OR(Z75="",AA75="",AB75=""),"",INDEX(APGrid,COUNTIF(APS,"&gt;"&amp;(--TRIM(LEFT(Z75,2))))*5+COUNTIF(APO,"&gt;"&amp;(--TRIM(LEFT(AA75,2))))+1,COUNTIF(APD,"&gt;"&amp;(--TRIM(LEFT(AB75,2))))+1))</f>
        <v/>
      </c>
      <c r="AE75" s="4" t="n"/>
      <c r="AF75" s="4" t="n"/>
      <c r="AH75">
        <f>IFERROR(INDEX(EqTag,_xlfn.AGGREGATE(15,6,(ROW(EqTag)-4)/((EqSys=$D$3)*(EqTag&lt;&gt;"")),ROWS($AH$14:AH75))),"")</f>
        <v/>
      </c>
    </row>
    <row r="76">
      <c r="A76" s="20">
        <f>IF(F76="","",LEFT($D$3,3)&amp;"-"&amp;TEXT(COUNTIF(F$14:F76,"?*"),"00"))</f>
        <v/>
      </c>
      <c r="B76" s="4" t="n"/>
      <c r="C76" s="5">
        <f>IF(B76="","",IFERROR(INDEX(EqTypeCol,MATCH(B76,EqTag,0)),"Tag not in register"))</f>
        <v/>
      </c>
      <c r="D76" s="4" t="n"/>
      <c r="E76" s="4" t="n"/>
      <c r="F76" s="4" t="n"/>
      <c r="G76" s="4" t="n"/>
      <c r="H76" s="4" t="n"/>
      <c r="I76" s="4" t="n"/>
      <c r="J76" s="5">
        <f>_xlfn.TEXTJOIN(CHAR(10),TRUE,IF(G76="","","• "&amp;G76),IF(H76="","","• "&amp;H76),IF(I76="","","• "&amp;I76))</f>
        <v/>
      </c>
      <c r="K76" s="4" t="n"/>
      <c r="L76" s="4" t="n"/>
      <c r="M76" s="4" t="n"/>
      <c r="N76" s="16" t="n"/>
      <c r="O76" s="4" t="n"/>
      <c r="P76" s="16" t="n"/>
      <c r="Q76" s="4" t="n"/>
      <c r="R76" s="16" t="n"/>
      <c r="S76" s="20">
        <f>IF(OR(N76="",P76="",R76=""),"",(--TRIM(LEFT(N76,2)))*(--TRIM(LEFT(P76,2)))*(--TRIM(LEFT(R76,2))))</f>
        <v/>
      </c>
      <c r="T76" s="20">
        <f>IF(OR(N76="",P76="",R76=""),"",INDEX(APGrid,COUNTIF(APS,"&gt;"&amp;(--TRIM(LEFT(N76,2))))*5+COUNTIF(APO,"&gt;"&amp;(--TRIM(LEFT(P76,2))))+1,COUNTIF(APD,"&gt;"&amp;(--TRIM(LEFT(R76,2))))+1))</f>
        <v/>
      </c>
      <c r="U76" s="20">
        <f>IF(S76="","",IF(OR((--TRIM(LEFT(N76,2)))&gt;=SThr,S76&gt;=RPNThr,T76="H"),"Yes","No"))</f>
        <v/>
      </c>
      <c r="V76" s="4" t="n"/>
      <c r="W76" s="4" t="n"/>
      <c r="X76" s="4" t="n"/>
      <c r="Y76" s="29" t="n"/>
      <c r="Z76" s="16" t="n"/>
      <c r="AA76" s="16" t="n"/>
      <c r="AB76" s="16" t="n"/>
      <c r="AC76" s="20">
        <f>IF(OR(Z76="",AA76="",AB76=""),"",(--TRIM(LEFT(Z76,2)))*(--TRIM(LEFT(AA76,2)))*(--TRIM(LEFT(AB76,2))))</f>
        <v/>
      </c>
      <c r="AD76" s="20">
        <f>IF(OR(Z76="",AA76="",AB76=""),"",INDEX(APGrid,COUNTIF(APS,"&gt;"&amp;(--TRIM(LEFT(Z76,2))))*5+COUNTIF(APO,"&gt;"&amp;(--TRIM(LEFT(AA76,2))))+1,COUNTIF(APD,"&gt;"&amp;(--TRIM(LEFT(AB76,2))))+1))</f>
        <v/>
      </c>
      <c r="AE76" s="4" t="n"/>
      <c r="AF76" s="4" t="n"/>
      <c r="AH76">
        <f>IFERROR(INDEX(EqTag,_xlfn.AGGREGATE(15,6,(ROW(EqTag)-4)/((EqSys=$D$3)*(EqTag&lt;&gt;"")),ROWS($AH$14:AH76))),"")</f>
        <v/>
      </c>
    </row>
    <row r="77">
      <c r="A77" s="20">
        <f>IF(F77="","",LEFT($D$3,3)&amp;"-"&amp;TEXT(COUNTIF(F$14:F77,"?*"),"00"))</f>
        <v/>
      </c>
      <c r="B77" s="4" t="n"/>
      <c r="C77" s="5">
        <f>IF(B77="","",IFERROR(INDEX(EqTypeCol,MATCH(B77,EqTag,0)),"Tag not in register"))</f>
        <v/>
      </c>
      <c r="D77" s="4" t="n"/>
      <c r="E77" s="4" t="n"/>
      <c r="F77" s="4" t="n"/>
      <c r="G77" s="4" t="n"/>
      <c r="H77" s="4" t="n"/>
      <c r="I77" s="4" t="n"/>
      <c r="J77" s="5">
        <f>_xlfn.TEXTJOIN(CHAR(10),TRUE,IF(G77="","","• "&amp;G77),IF(H77="","","• "&amp;H77),IF(I77="","","• "&amp;I77))</f>
        <v/>
      </c>
      <c r="K77" s="4" t="n"/>
      <c r="L77" s="4" t="n"/>
      <c r="M77" s="4" t="n"/>
      <c r="N77" s="16" t="n"/>
      <c r="O77" s="4" t="n"/>
      <c r="P77" s="16" t="n"/>
      <c r="Q77" s="4" t="n"/>
      <c r="R77" s="16" t="n"/>
      <c r="S77" s="20">
        <f>IF(OR(N77="",P77="",R77=""),"",(--TRIM(LEFT(N77,2)))*(--TRIM(LEFT(P77,2)))*(--TRIM(LEFT(R77,2))))</f>
        <v/>
      </c>
      <c r="T77" s="20">
        <f>IF(OR(N77="",P77="",R77=""),"",INDEX(APGrid,COUNTIF(APS,"&gt;"&amp;(--TRIM(LEFT(N77,2))))*5+COUNTIF(APO,"&gt;"&amp;(--TRIM(LEFT(P77,2))))+1,COUNTIF(APD,"&gt;"&amp;(--TRIM(LEFT(R77,2))))+1))</f>
        <v/>
      </c>
      <c r="U77" s="20">
        <f>IF(S77="","",IF(OR((--TRIM(LEFT(N77,2)))&gt;=SThr,S77&gt;=RPNThr,T77="H"),"Yes","No"))</f>
        <v/>
      </c>
      <c r="V77" s="4" t="n"/>
      <c r="W77" s="4" t="n"/>
      <c r="X77" s="4" t="n"/>
      <c r="Y77" s="29" t="n"/>
      <c r="Z77" s="16" t="n"/>
      <c r="AA77" s="16" t="n"/>
      <c r="AB77" s="16" t="n"/>
      <c r="AC77" s="20">
        <f>IF(OR(Z77="",AA77="",AB77=""),"",(--TRIM(LEFT(Z77,2)))*(--TRIM(LEFT(AA77,2)))*(--TRIM(LEFT(AB77,2))))</f>
        <v/>
      </c>
      <c r="AD77" s="20">
        <f>IF(OR(Z77="",AA77="",AB77=""),"",INDEX(APGrid,COUNTIF(APS,"&gt;"&amp;(--TRIM(LEFT(Z77,2))))*5+COUNTIF(APO,"&gt;"&amp;(--TRIM(LEFT(AA77,2))))+1,COUNTIF(APD,"&gt;"&amp;(--TRIM(LEFT(AB77,2))))+1))</f>
        <v/>
      </c>
      <c r="AE77" s="4" t="n"/>
      <c r="AF77" s="4" t="n"/>
      <c r="AH77">
        <f>IFERROR(INDEX(EqTag,_xlfn.AGGREGATE(15,6,(ROW(EqTag)-4)/((EqSys=$D$3)*(EqTag&lt;&gt;"")),ROWS($AH$14:AH77))),"")</f>
        <v/>
      </c>
    </row>
    <row r="78">
      <c r="A78" s="20">
        <f>IF(F78="","",LEFT($D$3,3)&amp;"-"&amp;TEXT(COUNTIF(F$14:F78,"?*"),"00"))</f>
        <v/>
      </c>
      <c r="B78" s="4" t="n"/>
      <c r="C78" s="5">
        <f>IF(B78="","",IFERROR(INDEX(EqTypeCol,MATCH(B78,EqTag,0)),"Tag not in register"))</f>
        <v/>
      </c>
      <c r="D78" s="4" t="n"/>
      <c r="E78" s="4" t="n"/>
      <c r="F78" s="4" t="n"/>
      <c r="G78" s="4" t="n"/>
      <c r="H78" s="4" t="n"/>
      <c r="I78" s="4" t="n"/>
      <c r="J78" s="5">
        <f>_xlfn.TEXTJOIN(CHAR(10),TRUE,IF(G78="","","• "&amp;G78),IF(H78="","","• "&amp;H78),IF(I78="","","• "&amp;I78))</f>
        <v/>
      </c>
      <c r="K78" s="4" t="n"/>
      <c r="L78" s="4" t="n"/>
      <c r="M78" s="4" t="n"/>
      <c r="N78" s="16" t="n"/>
      <c r="O78" s="4" t="n"/>
      <c r="P78" s="16" t="n"/>
      <c r="Q78" s="4" t="n"/>
      <c r="R78" s="16" t="n"/>
      <c r="S78" s="20">
        <f>IF(OR(N78="",P78="",R78=""),"",(--TRIM(LEFT(N78,2)))*(--TRIM(LEFT(P78,2)))*(--TRIM(LEFT(R78,2))))</f>
        <v/>
      </c>
      <c r="T78" s="20">
        <f>IF(OR(N78="",P78="",R78=""),"",INDEX(APGrid,COUNTIF(APS,"&gt;"&amp;(--TRIM(LEFT(N78,2))))*5+COUNTIF(APO,"&gt;"&amp;(--TRIM(LEFT(P78,2))))+1,COUNTIF(APD,"&gt;"&amp;(--TRIM(LEFT(R78,2))))+1))</f>
        <v/>
      </c>
      <c r="U78" s="20">
        <f>IF(S78="","",IF(OR((--TRIM(LEFT(N78,2)))&gt;=SThr,S78&gt;=RPNThr,T78="H"),"Yes","No"))</f>
        <v/>
      </c>
      <c r="V78" s="4" t="n"/>
      <c r="W78" s="4" t="n"/>
      <c r="X78" s="4" t="n"/>
      <c r="Y78" s="29" t="n"/>
      <c r="Z78" s="16" t="n"/>
      <c r="AA78" s="16" t="n"/>
      <c r="AB78" s="16" t="n"/>
      <c r="AC78" s="20">
        <f>IF(OR(Z78="",AA78="",AB78=""),"",(--TRIM(LEFT(Z78,2)))*(--TRIM(LEFT(AA78,2)))*(--TRIM(LEFT(AB78,2))))</f>
        <v/>
      </c>
      <c r="AD78" s="20">
        <f>IF(OR(Z78="",AA78="",AB78=""),"",INDEX(APGrid,COUNTIF(APS,"&gt;"&amp;(--TRIM(LEFT(Z78,2))))*5+COUNTIF(APO,"&gt;"&amp;(--TRIM(LEFT(AA78,2))))+1,COUNTIF(APD,"&gt;"&amp;(--TRIM(LEFT(AB78,2))))+1))</f>
        <v/>
      </c>
      <c r="AE78" s="4" t="n"/>
      <c r="AF78" s="4" t="n"/>
      <c r="AH78">
        <f>IFERROR(INDEX(EqTag,_xlfn.AGGREGATE(15,6,(ROW(EqTag)-4)/((EqSys=$D$3)*(EqTag&lt;&gt;"")),ROWS($AH$14:AH78))),"")</f>
        <v/>
      </c>
    </row>
    <row r="79">
      <c r="A79" s="20">
        <f>IF(F79="","",LEFT($D$3,3)&amp;"-"&amp;TEXT(COUNTIF(F$14:F79,"?*"),"00"))</f>
        <v/>
      </c>
      <c r="B79" s="4" t="n"/>
      <c r="C79" s="5">
        <f>IF(B79="","",IFERROR(INDEX(EqTypeCol,MATCH(B79,EqTag,0)),"Tag not in register"))</f>
        <v/>
      </c>
      <c r="D79" s="4" t="n"/>
      <c r="E79" s="4" t="n"/>
      <c r="F79" s="4" t="n"/>
      <c r="G79" s="4" t="n"/>
      <c r="H79" s="4" t="n"/>
      <c r="I79" s="4" t="n"/>
      <c r="J79" s="5">
        <f>_xlfn.TEXTJOIN(CHAR(10),TRUE,IF(G79="","","• "&amp;G79),IF(H79="","","• "&amp;H79),IF(I79="","","• "&amp;I79))</f>
        <v/>
      </c>
      <c r="K79" s="4" t="n"/>
      <c r="L79" s="4" t="n"/>
      <c r="M79" s="4" t="n"/>
      <c r="N79" s="16" t="n"/>
      <c r="O79" s="4" t="n"/>
      <c r="P79" s="16" t="n"/>
      <c r="Q79" s="4" t="n"/>
      <c r="R79" s="16" t="n"/>
      <c r="S79" s="20">
        <f>IF(OR(N79="",P79="",R79=""),"",(--TRIM(LEFT(N79,2)))*(--TRIM(LEFT(P79,2)))*(--TRIM(LEFT(R79,2))))</f>
        <v/>
      </c>
      <c r="T79" s="20">
        <f>IF(OR(N79="",P79="",R79=""),"",INDEX(APGrid,COUNTIF(APS,"&gt;"&amp;(--TRIM(LEFT(N79,2))))*5+COUNTIF(APO,"&gt;"&amp;(--TRIM(LEFT(P79,2))))+1,COUNTIF(APD,"&gt;"&amp;(--TRIM(LEFT(R79,2))))+1))</f>
        <v/>
      </c>
      <c r="U79" s="20">
        <f>IF(S79="","",IF(OR((--TRIM(LEFT(N79,2)))&gt;=SThr,S79&gt;=RPNThr,T79="H"),"Yes","No"))</f>
        <v/>
      </c>
      <c r="V79" s="4" t="n"/>
      <c r="W79" s="4" t="n"/>
      <c r="X79" s="4" t="n"/>
      <c r="Y79" s="29" t="n"/>
      <c r="Z79" s="16" t="n"/>
      <c r="AA79" s="16" t="n"/>
      <c r="AB79" s="16" t="n"/>
      <c r="AC79" s="20">
        <f>IF(OR(Z79="",AA79="",AB79=""),"",(--TRIM(LEFT(Z79,2)))*(--TRIM(LEFT(AA79,2)))*(--TRIM(LEFT(AB79,2))))</f>
        <v/>
      </c>
      <c r="AD79" s="20">
        <f>IF(OR(Z79="",AA79="",AB79=""),"",INDEX(APGrid,COUNTIF(APS,"&gt;"&amp;(--TRIM(LEFT(Z79,2))))*5+COUNTIF(APO,"&gt;"&amp;(--TRIM(LEFT(AA79,2))))+1,COUNTIF(APD,"&gt;"&amp;(--TRIM(LEFT(AB79,2))))+1))</f>
        <v/>
      </c>
      <c r="AE79" s="4" t="n"/>
      <c r="AF79" s="4" t="n"/>
      <c r="AH79">
        <f>IFERROR(INDEX(EqTag,_xlfn.AGGREGATE(15,6,(ROW(EqTag)-4)/((EqSys=$D$3)*(EqTag&lt;&gt;"")),ROWS($AH$14:AH79))),"")</f>
        <v/>
      </c>
    </row>
    <row r="80">
      <c r="A80" s="20">
        <f>IF(F80="","",LEFT($D$3,3)&amp;"-"&amp;TEXT(COUNTIF(F$14:F80,"?*"),"00"))</f>
        <v/>
      </c>
      <c r="B80" s="4" t="n"/>
      <c r="C80" s="5">
        <f>IF(B80="","",IFERROR(INDEX(EqTypeCol,MATCH(B80,EqTag,0)),"Tag not in register"))</f>
        <v/>
      </c>
      <c r="D80" s="4" t="n"/>
      <c r="E80" s="4" t="n"/>
      <c r="F80" s="4" t="n"/>
      <c r="G80" s="4" t="n"/>
      <c r="H80" s="4" t="n"/>
      <c r="I80" s="4" t="n"/>
      <c r="J80" s="5">
        <f>_xlfn.TEXTJOIN(CHAR(10),TRUE,IF(G80="","","• "&amp;G80),IF(H80="","","• "&amp;H80),IF(I80="","","• "&amp;I80))</f>
        <v/>
      </c>
      <c r="K80" s="4" t="n"/>
      <c r="L80" s="4" t="n"/>
      <c r="M80" s="4" t="n"/>
      <c r="N80" s="16" t="n"/>
      <c r="O80" s="4" t="n"/>
      <c r="P80" s="16" t="n"/>
      <c r="Q80" s="4" t="n"/>
      <c r="R80" s="16" t="n"/>
      <c r="S80" s="20">
        <f>IF(OR(N80="",P80="",R80=""),"",(--TRIM(LEFT(N80,2)))*(--TRIM(LEFT(P80,2)))*(--TRIM(LEFT(R80,2))))</f>
        <v/>
      </c>
      <c r="T80" s="20">
        <f>IF(OR(N80="",P80="",R80=""),"",INDEX(APGrid,COUNTIF(APS,"&gt;"&amp;(--TRIM(LEFT(N80,2))))*5+COUNTIF(APO,"&gt;"&amp;(--TRIM(LEFT(P80,2))))+1,COUNTIF(APD,"&gt;"&amp;(--TRIM(LEFT(R80,2))))+1))</f>
        <v/>
      </c>
      <c r="U80" s="20">
        <f>IF(S80="","",IF(OR((--TRIM(LEFT(N80,2)))&gt;=SThr,S80&gt;=RPNThr,T80="H"),"Yes","No"))</f>
        <v/>
      </c>
      <c r="V80" s="4" t="n"/>
      <c r="W80" s="4" t="n"/>
      <c r="X80" s="4" t="n"/>
      <c r="Y80" s="29" t="n"/>
      <c r="Z80" s="16" t="n"/>
      <c r="AA80" s="16" t="n"/>
      <c r="AB80" s="16" t="n"/>
      <c r="AC80" s="20">
        <f>IF(OR(Z80="",AA80="",AB80=""),"",(--TRIM(LEFT(Z80,2)))*(--TRIM(LEFT(AA80,2)))*(--TRIM(LEFT(AB80,2))))</f>
        <v/>
      </c>
      <c r="AD80" s="20">
        <f>IF(OR(Z80="",AA80="",AB80=""),"",INDEX(APGrid,COUNTIF(APS,"&gt;"&amp;(--TRIM(LEFT(Z80,2))))*5+COUNTIF(APO,"&gt;"&amp;(--TRIM(LEFT(AA80,2))))+1,COUNTIF(APD,"&gt;"&amp;(--TRIM(LEFT(AB80,2))))+1))</f>
        <v/>
      </c>
      <c r="AE80" s="4" t="n"/>
      <c r="AF80" s="4" t="n"/>
      <c r="AH80">
        <f>IFERROR(INDEX(EqTag,_xlfn.AGGREGATE(15,6,(ROW(EqTag)-4)/((EqSys=$D$3)*(EqTag&lt;&gt;"")),ROWS($AH$14:AH80))),"")</f>
        <v/>
      </c>
    </row>
    <row r="81">
      <c r="A81" s="20">
        <f>IF(F81="","",LEFT($D$3,3)&amp;"-"&amp;TEXT(COUNTIF(F$14:F81,"?*"),"00"))</f>
        <v/>
      </c>
      <c r="B81" s="4" t="n"/>
      <c r="C81" s="5">
        <f>IF(B81="","",IFERROR(INDEX(EqTypeCol,MATCH(B81,EqTag,0)),"Tag not in register"))</f>
        <v/>
      </c>
      <c r="D81" s="4" t="n"/>
      <c r="E81" s="4" t="n"/>
      <c r="F81" s="4" t="n"/>
      <c r="G81" s="4" t="n"/>
      <c r="H81" s="4" t="n"/>
      <c r="I81" s="4" t="n"/>
      <c r="J81" s="5">
        <f>_xlfn.TEXTJOIN(CHAR(10),TRUE,IF(G81="","","• "&amp;G81),IF(H81="","","• "&amp;H81),IF(I81="","","• "&amp;I81))</f>
        <v/>
      </c>
      <c r="K81" s="4" t="n"/>
      <c r="L81" s="4" t="n"/>
      <c r="M81" s="4" t="n"/>
      <c r="N81" s="16" t="n"/>
      <c r="O81" s="4" t="n"/>
      <c r="P81" s="16" t="n"/>
      <c r="Q81" s="4" t="n"/>
      <c r="R81" s="16" t="n"/>
      <c r="S81" s="20">
        <f>IF(OR(N81="",P81="",R81=""),"",(--TRIM(LEFT(N81,2)))*(--TRIM(LEFT(P81,2)))*(--TRIM(LEFT(R81,2))))</f>
        <v/>
      </c>
      <c r="T81" s="20">
        <f>IF(OR(N81="",P81="",R81=""),"",INDEX(APGrid,COUNTIF(APS,"&gt;"&amp;(--TRIM(LEFT(N81,2))))*5+COUNTIF(APO,"&gt;"&amp;(--TRIM(LEFT(P81,2))))+1,COUNTIF(APD,"&gt;"&amp;(--TRIM(LEFT(R81,2))))+1))</f>
        <v/>
      </c>
      <c r="U81" s="20">
        <f>IF(S81="","",IF(OR((--TRIM(LEFT(N81,2)))&gt;=SThr,S81&gt;=RPNThr,T81="H"),"Yes","No"))</f>
        <v/>
      </c>
      <c r="V81" s="4" t="n"/>
      <c r="W81" s="4" t="n"/>
      <c r="X81" s="4" t="n"/>
      <c r="Y81" s="29" t="n"/>
      <c r="Z81" s="16" t="n"/>
      <c r="AA81" s="16" t="n"/>
      <c r="AB81" s="16" t="n"/>
      <c r="AC81" s="20">
        <f>IF(OR(Z81="",AA81="",AB81=""),"",(--TRIM(LEFT(Z81,2)))*(--TRIM(LEFT(AA81,2)))*(--TRIM(LEFT(AB81,2))))</f>
        <v/>
      </c>
      <c r="AD81" s="20">
        <f>IF(OR(Z81="",AA81="",AB81=""),"",INDEX(APGrid,COUNTIF(APS,"&gt;"&amp;(--TRIM(LEFT(Z81,2))))*5+COUNTIF(APO,"&gt;"&amp;(--TRIM(LEFT(AA81,2))))+1,COUNTIF(APD,"&gt;"&amp;(--TRIM(LEFT(AB81,2))))+1))</f>
        <v/>
      </c>
      <c r="AE81" s="4" t="n"/>
      <c r="AF81" s="4" t="n"/>
      <c r="AH81">
        <f>IFERROR(INDEX(EqTag,_xlfn.AGGREGATE(15,6,(ROW(EqTag)-4)/((EqSys=$D$3)*(EqTag&lt;&gt;"")),ROWS($AH$14:AH81))),"")</f>
        <v/>
      </c>
    </row>
    <row r="82">
      <c r="A82" s="20">
        <f>IF(F82="","",LEFT($D$3,3)&amp;"-"&amp;TEXT(COUNTIF(F$14:F82,"?*"),"00"))</f>
        <v/>
      </c>
      <c r="B82" s="4" t="n"/>
      <c r="C82" s="5">
        <f>IF(B82="","",IFERROR(INDEX(EqTypeCol,MATCH(B82,EqTag,0)),"Tag not in register"))</f>
        <v/>
      </c>
      <c r="D82" s="4" t="n"/>
      <c r="E82" s="4" t="n"/>
      <c r="F82" s="4" t="n"/>
      <c r="G82" s="4" t="n"/>
      <c r="H82" s="4" t="n"/>
      <c r="I82" s="4" t="n"/>
      <c r="J82" s="5">
        <f>_xlfn.TEXTJOIN(CHAR(10),TRUE,IF(G82="","","• "&amp;G82),IF(H82="","","• "&amp;H82),IF(I82="","","• "&amp;I82))</f>
        <v/>
      </c>
      <c r="K82" s="4" t="n"/>
      <c r="L82" s="4" t="n"/>
      <c r="M82" s="4" t="n"/>
      <c r="N82" s="16" t="n"/>
      <c r="O82" s="4" t="n"/>
      <c r="P82" s="16" t="n"/>
      <c r="Q82" s="4" t="n"/>
      <c r="R82" s="16" t="n"/>
      <c r="S82" s="20">
        <f>IF(OR(N82="",P82="",R82=""),"",(--TRIM(LEFT(N82,2)))*(--TRIM(LEFT(P82,2)))*(--TRIM(LEFT(R82,2))))</f>
        <v/>
      </c>
      <c r="T82" s="20">
        <f>IF(OR(N82="",P82="",R82=""),"",INDEX(APGrid,COUNTIF(APS,"&gt;"&amp;(--TRIM(LEFT(N82,2))))*5+COUNTIF(APO,"&gt;"&amp;(--TRIM(LEFT(P82,2))))+1,COUNTIF(APD,"&gt;"&amp;(--TRIM(LEFT(R82,2))))+1))</f>
        <v/>
      </c>
      <c r="U82" s="20">
        <f>IF(S82="","",IF(OR((--TRIM(LEFT(N82,2)))&gt;=SThr,S82&gt;=RPNThr,T82="H"),"Yes","No"))</f>
        <v/>
      </c>
      <c r="V82" s="4" t="n"/>
      <c r="W82" s="4" t="n"/>
      <c r="X82" s="4" t="n"/>
      <c r="Y82" s="29" t="n"/>
      <c r="Z82" s="16" t="n"/>
      <c r="AA82" s="16" t="n"/>
      <c r="AB82" s="16" t="n"/>
      <c r="AC82" s="20">
        <f>IF(OR(Z82="",AA82="",AB82=""),"",(--TRIM(LEFT(Z82,2)))*(--TRIM(LEFT(AA82,2)))*(--TRIM(LEFT(AB82,2))))</f>
        <v/>
      </c>
      <c r="AD82" s="20">
        <f>IF(OR(Z82="",AA82="",AB82=""),"",INDEX(APGrid,COUNTIF(APS,"&gt;"&amp;(--TRIM(LEFT(Z82,2))))*5+COUNTIF(APO,"&gt;"&amp;(--TRIM(LEFT(AA82,2))))+1,COUNTIF(APD,"&gt;"&amp;(--TRIM(LEFT(AB82,2))))+1))</f>
        <v/>
      </c>
      <c r="AE82" s="4" t="n"/>
      <c r="AF82" s="4" t="n"/>
      <c r="AH82">
        <f>IFERROR(INDEX(EqTag,_xlfn.AGGREGATE(15,6,(ROW(EqTag)-4)/((EqSys=$D$3)*(EqTag&lt;&gt;"")),ROWS($AH$14:AH82))),"")</f>
        <v/>
      </c>
    </row>
    <row r="83">
      <c r="A83" s="20">
        <f>IF(F83="","",LEFT($D$3,3)&amp;"-"&amp;TEXT(COUNTIF(F$14:F83,"?*"),"00"))</f>
        <v/>
      </c>
      <c r="B83" s="4" t="n"/>
      <c r="C83" s="5">
        <f>IF(B83="","",IFERROR(INDEX(EqTypeCol,MATCH(B83,EqTag,0)),"Tag not in register"))</f>
        <v/>
      </c>
      <c r="D83" s="4" t="n"/>
      <c r="E83" s="4" t="n"/>
      <c r="F83" s="4" t="n"/>
      <c r="G83" s="4" t="n"/>
      <c r="H83" s="4" t="n"/>
      <c r="I83" s="4" t="n"/>
      <c r="J83" s="5">
        <f>_xlfn.TEXTJOIN(CHAR(10),TRUE,IF(G83="","","• "&amp;G83),IF(H83="","","• "&amp;H83),IF(I83="","","• "&amp;I83))</f>
        <v/>
      </c>
      <c r="K83" s="4" t="n"/>
      <c r="L83" s="4" t="n"/>
      <c r="M83" s="4" t="n"/>
      <c r="N83" s="16" t="n"/>
      <c r="O83" s="4" t="n"/>
      <c r="P83" s="16" t="n"/>
      <c r="Q83" s="4" t="n"/>
      <c r="R83" s="16" t="n"/>
      <c r="S83" s="20">
        <f>IF(OR(N83="",P83="",R83=""),"",(--TRIM(LEFT(N83,2)))*(--TRIM(LEFT(P83,2)))*(--TRIM(LEFT(R83,2))))</f>
        <v/>
      </c>
      <c r="T83" s="20">
        <f>IF(OR(N83="",P83="",R83=""),"",INDEX(APGrid,COUNTIF(APS,"&gt;"&amp;(--TRIM(LEFT(N83,2))))*5+COUNTIF(APO,"&gt;"&amp;(--TRIM(LEFT(P83,2))))+1,COUNTIF(APD,"&gt;"&amp;(--TRIM(LEFT(R83,2))))+1))</f>
        <v/>
      </c>
      <c r="U83" s="20">
        <f>IF(S83="","",IF(OR((--TRIM(LEFT(N83,2)))&gt;=SThr,S83&gt;=RPNThr,T83="H"),"Yes","No"))</f>
        <v/>
      </c>
      <c r="V83" s="4" t="n"/>
      <c r="W83" s="4" t="n"/>
      <c r="X83" s="4" t="n"/>
      <c r="Y83" s="29" t="n"/>
      <c r="Z83" s="16" t="n"/>
      <c r="AA83" s="16" t="n"/>
      <c r="AB83" s="16" t="n"/>
      <c r="AC83" s="20">
        <f>IF(OR(Z83="",AA83="",AB83=""),"",(--TRIM(LEFT(Z83,2)))*(--TRIM(LEFT(AA83,2)))*(--TRIM(LEFT(AB83,2))))</f>
        <v/>
      </c>
      <c r="AD83" s="20">
        <f>IF(OR(Z83="",AA83="",AB83=""),"",INDEX(APGrid,COUNTIF(APS,"&gt;"&amp;(--TRIM(LEFT(Z83,2))))*5+COUNTIF(APO,"&gt;"&amp;(--TRIM(LEFT(AA83,2))))+1,COUNTIF(APD,"&gt;"&amp;(--TRIM(LEFT(AB83,2))))+1))</f>
        <v/>
      </c>
      <c r="AE83" s="4" t="n"/>
      <c r="AF83" s="4" t="n"/>
      <c r="AH83">
        <f>IFERROR(INDEX(EqTag,_xlfn.AGGREGATE(15,6,(ROW(EqTag)-4)/((EqSys=$D$3)*(EqTag&lt;&gt;"")),ROWS($AH$14:AH83))),"")</f>
        <v/>
      </c>
    </row>
    <row r="84">
      <c r="A84" s="20">
        <f>IF(F84="","",LEFT($D$3,3)&amp;"-"&amp;TEXT(COUNTIF(F$14:F84,"?*"),"00"))</f>
        <v/>
      </c>
      <c r="B84" s="4" t="n"/>
      <c r="C84" s="5">
        <f>IF(B84="","",IFERROR(INDEX(EqTypeCol,MATCH(B84,EqTag,0)),"Tag not in register"))</f>
        <v/>
      </c>
      <c r="D84" s="4" t="n"/>
      <c r="E84" s="4" t="n"/>
      <c r="F84" s="4" t="n"/>
      <c r="G84" s="4" t="n"/>
      <c r="H84" s="4" t="n"/>
      <c r="I84" s="4" t="n"/>
      <c r="J84" s="5">
        <f>_xlfn.TEXTJOIN(CHAR(10),TRUE,IF(G84="","","• "&amp;G84),IF(H84="","","• "&amp;H84),IF(I84="","","• "&amp;I84))</f>
        <v/>
      </c>
      <c r="K84" s="4" t="n"/>
      <c r="L84" s="4" t="n"/>
      <c r="M84" s="4" t="n"/>
      <c r="N84" s="16" t="n"/>
      <c r="O84" s="4" t="n"/>
      <c r="P84" s="16" t="n"/>
      <c r="Q84" s="4" t="n"/>
      <c r="R84" s="16" t="n"/>
      <c r="S84" s="20">
        <f>IF(OR(N84="",P84="",R84=""),"",(--TRIM(LEFT(N84,2)))*(--TRIM(LEFT(P84,2)))*(--TRIM(LEFT(R84,2))))</f>
        <v/>
      </c>
      <c r="T84" s="20">
        <f>IF(OR(N84="",P84="",R84=""),"",INDEX(APGrid,COUNTIF(APS,"&gt;"&amp;(--TRIM(LEFT(N84,2))))*5+COUNTIF(APO,"&gt;"&amp;(--TRIM(LEFT(P84,2))))+1,COUNTIF(APD,"&gt;"&amp;(--TRIM(LEFT(R84,2))))+1))</f>
        <v/>
      </c>
      <c r="U84" s="20">
        <f>IF(S84="","",IF(OR((--TRIM(LEFT(N84,2)))&gt;=SThr,S84&gt;=RPNThr,T84="H"),"Yes","No"))</f>
        <v/>
      </c>
      <c r="V84" s="4" t="n"/>
      <c r="W84" s="4" t="n"/>
      <c r="X84" s="4" t="n"/>
      <c r="Y84" s="29" t="n"/>
      <c r="Z84" s="16" t="n"/>
      <c r="AA84" s="16" t="n"/>
      <c r="AB84" s="16" t="n"/>
      <c r="AC84" s="20">
        <f>IF(OR(Z84="",AA84="",AB84=""),"",(--TRIM(LEFT(Z84,2)))*(--TRIM(LEFT(AA84,2)))*(--TRIM(LEFT(AB84,2))))</f>
        <v/>
      </c>
      <c r="AD84" s="20">
        <f>IF(OR(Z84="",AA84="",AB84=""),"",INDEX(APGrid,COUNTIF(APS,"&gt;"&amp;(--TRIM(LEFT(Z84,2))))*5+COUNTIF(APO,"&gt;"&amp;(--TRIM(LEFT(AA84,2))))+1,COUNTIF(APD,"&gt;"&amp;(--TRIM(LEFT(AB84,2))))+1))</f>
        <v/>
      </c>
      <c r="AE84" s="4" t="n"/>
      <c r="AF84" s="4" t="n"/>
      <c r="AH84">
        <f>IFERROR(INDEX(EqTag,_xlfn.AGGREGATE(15,6,(ROW(EqTag)-4)/((EqSys=$D$3)*(EqTag&lt;&gt;"")),ROWS($AH$14:AH84))),"")</f>
        <v/>
      </c>
    </row>
    <row r="85">
      <c r="A85" s="20">
        <f>IF(F85="","",LEFT($D$3,3)&amp;"-"&amp;TEXT(COUNTIF(F$14:F85,"?*"),"00"))</f>
        <v/>
      </c>
      <c r="B85" s="4" t="n"/>
      <c r="C85" s="5">
        <f>IF(B85="","",IFERROR(INDEX(EqTypeCol,MATCH(B85,EqTag,0)),"Tag not in register"))</f>
        <v/>
      </c>
      <c r="D85" s="4" t="n"/>
      <c r="E85" s="4" t="n"/>
      <c r="F85" s="4" t="n"/>
      <c r="G85" s="4" t="n"/>
      <c r="H85" s="4" t="n"/>
      <c r="I85" s="4" t="n"/>
      <c r="J85" s="5">
        <f>_xlfn.TEXTJOIN(CHAR(10),TRUE,IF(G85="","","• "&amp;G85),IF(H85="","","• "&amp;H85),IF(I85="","","• "&amp;I85))</f>
        <v/>
      </c>
      <c r="K85" s="4" t="n"/>
      <c r="L85" s="4" t="n"/>
      <c r="M85" s="4" t="n"/>
      <c r="N85" s="16" t="n"/>
      <c r="O85" s="4" t="n"/>
      <c r="P85" s="16" t="n"/>
      <c r="Q85" s="4" t="n"/>
      <c r="R85" s="16" t="n"/>
      <c r="S85" s="20">
        <f>IF(OR(N85="",P85="",R85=""),"",(--TRIM(LEFT(N85,2)))*(--TRIM(LEFT(P85,2)))*(--TRIM(LEFT(R85,2))))</f>
        <v/>
      </c>
      <c r="T85" s="20">
        <f>IF(OR(N85="",P85="",R85=""),"",INDEX(APGrid,COUNTIF(APS,"&gt;"&amp;(--TRIM(LEFT(N85,2))))*5+COUNTIF(APO,"&gt;"&amp;(--TRIM(LEFT(P85,2))))+1,COUNTIF(APD,"&gt;"&amp;(--TRIM(LEFT(R85,2))))+1))</f>
        <v/>
      </c>
      <c r="U85" s="20">
        <f>IF(S85="","",IF(OR((--TRIM(LEFT(N85,2)))&gt;=SThr,S85&gt;=RPNThr,T85="H"),"Yes","No"))</f>
        <v/>
      </c>
      <c r="V85" s="4" t="n"/>
      <c r="W85" s="4" t="n"/>
      <c r="X85" s="4" t="n"/>
      <c r="Y85" s="29" t="n"/>
      <c r="Z85" s="16" t="n"/>
      <c r="AA85" s="16" t="n"/>
      <c r="AB85" s="16" t="n"/>
      <c r="AC85" s="20">
        <f>IF(OR(Z85="",AA85="",AB85=""),"",(--TRIM(LEFT(Z85,2)))*(--TRIM(LEFT(AA85,2)))*(--TRIM(LEFT(AB85,2))))</f>
        <v/>
      </c>
      <c r="AD85" s="20">
        <f>IF(OR(Z85="",AA85="",AB85=""),"",INDEX(APGrid,COUNTIF(APS,"&gt;"&amp;(--TRIM(LEFT(Z85,2))))*5+COUNTIF(APO,"&gt;"&amp;(--TRIM(LEFT(AA85,2))))+1,COUNTIF(APD,"&gt;"&amp;(--TRIM(LEFT(AB85,2))))+1))</f>
        <v/>
      </c>
      <c r="AE85" s="4" t="n"/>
      <c r="AF85" s="4" t="n"/>
      <c r="AH85">
        <f>IFERROR(INDEX(EqTag,_xlfn.AGGREGATE(15,6,(ROW(EqTag)-4)/((EqSys=$D$3)*(EqTag&lt;&gt;"")),ROWS($AH$14:AH85))),"")</f>
        <v/>
      </c>
    </row>
    <row r="86">
      <c r="A86" s="20">
        <f>IF(F86="","",LEFT($D$3,3)&amp;"-"&amp;TEXT(COUNTIF(F$14:F86,"?*"),"00"))</f>
        <v/>
      </c>
      <c r="B86" s="4" t="n"/>
      <c r="C86" s="5">
        <f>IF(B86="","",IFERROR(INDEX(EqTypeCol,MATCH(B86,EqTag,0)),"Tag not in register"))</f>
        <v/>
      </c>
      <c r="D86" s="4" t="n"/>
      <c r="E86" s="4" t="n"/>
      <c r="F86" s="4" t="n"/>
      <c r="G86" s="4" t="n"/>
      <c r="H86" s="4" t="n"/>
      <c r="I86" s="4" t="n"/>
      <c r="J86" s="5">
        <f>_xlfn.TEXTJOIN(CHAR(10),TRUE,IF(G86="","","• "&amp;G86),IF(H86="","","• "&amp;H86),IF(I86="","","• "&amp;I86))</f>
        <v/>
      </c>
      <c r="K86" s="4" t="n"/>
      <c r="L86" s="4" t="n"/>
      <c r="M86" s="4" t="n"/>
      <c r="N86" s="16" t="n"/>
      <c r="O86" s="4" t="n"/>
      <c r="P86" s="16" t="n"/>
      <c r="Q86" s="4" t="n"/>
      <c r="R86" s="16" t="n"/>
      <c r="S86" s="20">
        <f>IF(OR(N86="",P86="",R86=""),"",(--TRIM(LEFT(N86,2)))*(--TRIM(LEFT(P86,2)))*(--TRIM(LEFT(R86,2))))</f>
        <v/>
      </c>
      <c r="T86" s="20">
        <f>IF(OR(N86="",P86="",R86=""),"",INDEX(APGrid,COUNTIF(APS,"&gt;"&amp;(--TRIM(LEFT(N86,2))))*5+COUNTIF(APO,"&gt;"&amp;(--TRIM(LEFT(P86,2))))+1,COUNTIF(APD,"&gt;"&amp;(--TRIM(LEFT(R86,2))))+1))</f>
        <v/>
      </c>
      <c r="U86" s="20">
        <f>IF(S86="","",IF(OR((--TRIM(LEFT(N86,2)))&gt;=SThr,S86&gt;=RPNThr,T86="H"),"Yes","No"))</f>
        <v/>
      </c>
      <c r="V86" s="4" t="n"/>
      <c r="W86" s="4" t="n"/>
      <c r="X86" s="4" t="n"/>
      <c r="Y86" s="29" t="n"/>
      <c r="Z86" s="16" t="n"/>
      <c r="AA86" s="16" t="n"/>
      <c r="AB86" s="16" t="n"/>
      <c r="AC86" s="20">
        <f>IF(OR(Z86="",AA86="",AB86=""),"",(--TRIM(LEFT(Z86,2)))*(--TRIM(LEFT(AA86,2)))*(--TRIM(LEFT(AB86,2))))</f>
        <v/>
      </c>
      <c r="AD86" s="20">
        <f>IF(OR(Z86="",AA86="",AB86=""),"",INDEX(APGrid,COUNTIF(APS,"&gt;"&amp;(--TRIM(LEFT(Z86,2))))*5+COUNTIF(APO,"&gt;"&amp;(--TRIM(LEFT(AA86,2))))+1,COUNTIF(APD,"&gt;"&amp;(--TRIM(LEFT(AB86,2))))+1))</f>
        <v/>
      </c>
      <c r="AE86" s="4" t="n"/>
      <c r="AF86" s="4" t="n"/>
      <c r="AH86">
        <f>IFERROR(INDEX(EqTag,_xlfn.AGGREGATE(15,6,(ROW(EqTag)-4)/((EqSys=$D$3)*(EqTag&lt;&gt;"")),ROWS($AH$14:AH86))),"")</f>
        <v/>
      </c>
    </row>
    <row r="87">
      <c r="A87" s="20">
        <f>IF(F87="","",LEFT($D$3,3)&amp;"-"&amp;TEXT(COUNTIF(F$14:F87,"?*"),"00"))</f>
        <v/>
      </c>
      <c r="B87" s="4" t="n"/>
      <c r="C87" s="5">
        <f>IF(B87="","",IFERROR(INDEX(EqTypeCol,MATCH(B87,EqTag,0)),"Tag not in register"))</f>
        <v/>
      </c>
      <c r="D87" s="4" t="n"/>
      <c r="E87" s="4" t="n"/>
      <c r="F87" s="4" t="n"/>
      <c r="G87" s="4" t="n"/>
      <c r="H87" s="4" t="n"/>
      <c r="I87" s="4" t="n"/>
      <c r="J87" s="5">
        <f>_xlfn.TEXTJOIN(CHAR(10),TRUE,IF(G87="","","• "&amp;G87),IF(H87="","","• "&amp;H87),IF(I87="","","• "&amp;I87))</f>
        <v/>
      </c>
      <c r="K87" s="4" t="n"/>
      <c r="L87" s="4" t="n"/>
      <c r="M87" s="4" t="n"/>
      <c r="N87" s="16" t="n"/>
      <c r="O87" s="4" t="n"/>
      <c r="P87" s="16" t="n"/>
      <c r="Q87" s="4" t="n"/>
      <c r="R87" s="16" t="n"/>
      <c r="S87" s="20">
        <f>IF(OR(N87="",P87="",R87=""),"",(--TRIM(LEFT(N87,2)))*(--TRIM(LEFT(P87,2)))*(--TRIM(LEFT(R87,2))))</f>
        <v/>
      </c>
      <c r="T87" s="20">
        <f>IF(OR(N87="",P87="",R87=""),"",INDEX(APGrid,COUNTIF(APS,"&gt;"&amp;(--TRIM(LEFT(N87,2))))*5+COUNTIF(APO,"&gt;"&amp;(--TRIM(LEFT(P87,2))))+1,COUNTIF(APD,"&gt;"&amp;(--TRIM(LEFT(R87,2))))+1))</f>
        <v/>
      </c>
      <c r="U87" s="20">
        <f>IF(S87="","",IF(OR((--TRIM(LEFT(N87,2)))&gt;=SThr,S87&gt;=RPNThr,T87="H"),"Yes","No"))</f>
        <v/>
      </c>
      <c r="V87" s="4" t="n"/>
      <c r="W87" s="4" t="n"/>
      <c r="X87" s="4" t="n"/>
      <c r="Y87" s="29" t="n"/>
      <c r="Z87" s="16" t="n"/>
      <c r="AA87" s="16" t="n"/>
      <c r="AB87" s="16" t="n"/>
      <c r="AC87" s="20">
        <f>IF(OR(Z87="",AA87="",AB87=""),"",(--TRIM(LEFT(Z87,2)))*(--TRIM(LEFT(AA87,2)))*(--TRIM(LEFT(AB87,2))))</f>
        <v/>
      </c>
      <c r="AD87" s="20">
        <f>IF(OR(Z87="",AA87="",AB87=""),"",INDEX(APGrid,COUNTIF(APS,"&gt;"&amp;(--TRIM(LEFT(Z87,2))))*5+COUNTIF(APO,"&gt;"&amp;(--TRIM(LEFT(AA87,2))))+1,COUNTIF(APD,"&gt;"&amp;(--TRIM(LEFT(AB87,2))))+1))</f>
        <v/>
      </c>
      <c r="AE87" s="4" t="n"/>
      <c r="AF87" s="4" t="n"/>
      <c r="AH87">
        <f>IFERROR(INDEX(EqTag,_xlfn.AGGREGATE(15,6,(ROW(EqTag)-4)/((EqSys=$D$3)*(EqTag&lt;&gt;"")),ROWS($AH$14:AH87))),"")</f>
        <v/>
      </c>
    </row>
    <row r="88">
      <c r="A88" s="20">
        <f>IF(F88="","",LEFT($D$3,3)&amp;"-"&amp;TEXT(COUNTIF(F$14:F88,"?*"),"00"))</f>
        <v/>
      </c>
      <c r="B88" s="4" t="n"/>
      <c r="C88" s="5">
        <f>IF(B88="","",IFERROR(INDEX(EqTypeCol,MATCH(B88,EqTag,0)),"Tag not in register"))</f>
        <v/>
      </c>
      <c r="D88" s="4" t="n"/>
      <c r="E88" s="4" t="n"/>
      <c r="F88" s="4" t="n"/>
      <c r="G88" s="4" t="n"/>
      <c r="H88" s="4" t="n"/>
      <c r="I88" s="4" t="n"/>
      <c r="J88" s="5">
        <f>_xlfn.TEXTJOIN(CHAR(10),TRUE,IF(G88="","","• "&amp;G88),IF(H88="","","• "&amp;H88),IF(I88="","","• "&amp;I88))</f>
        <v/>
      </c>
      <c r="K88" s="4" t="n"/>
      <c r="L88" s="4" t="n"/>
      <c r="M88" s="4" t="n"/>
      <c r="N88" s="16" t="n"/>
      <c r="O88" s="4" t="n"/>
      <c r="P88" s="16" t="n"/>
      <c r="Q88" s="4" t="n"/>
      <c r="R88" s="16" t="n"/>
      <c r="S88" s="20">
        <f>IF(OR(N88="",P88="",R88=""),"",(--TRIM(LEFT(N88,2)))*(--TRIM(LEFT(P88,2)))*(--TRIM(LEFT(R88,2))))</f>
        <v/>
      </c>
      <c r="T88" s="20">
        <f>IF(OR(N88="",P88="",R88=""),"",INDEX(APGrid,COUNTIF(APS,"&gt;"&amp;(--TRIM(LEFT(N88,2))))*5+COUNTIF(APO,"&gt;"&amp;(--TRIM(LEFT(P88,2))))+1,COUNTIF(APD,"&gt;"&amp;(--TRIM(LEFT(R88,2))))+1))</f>
        <v/>
      </c>
      <c r="U88" s="20">
        <f>IF(S88="","",IF(OR((--TRIM(LEFT(N88,2)))&gt;=SThr,S88&gt;=RPNThr,T88="H"),"Yes","No"))</f>
        <v/>
      </c>
      <c r="V88" s="4" t="n"/>
      <c r="W88" s="4" t="n"/>
      <c r="X88" s="4" t="n"/>
      <c r="Y88" s="29" t="n"/>
      <c r="Z88" s="16" t="n"/>
      <c r="AA88" s="16" t="n"/>
      <c r="AB88" s="16" t="n"/>
      <c r="AC88" s="20">
        <f>IF(OR(Z88="",AA88="",AB88=""),"",(--TRIM(LEFT(Z88,2)))*(--TRIM(LEFT(AA88,2)))*(--TRIM(LEFT(AB88,2))))</f>
        <v/>
      </c>
      <c r="AD88" s="20">
        <f>IF(OR(Z88="",AA88="",AB88=""),"",INDEX(APGrid,COUNTIF(APS,"&gt;"&amp;(--TRIM(LEFT(Z88,2))))*5+COUNTIF(APO,"&gt;"&amp;(--TRIM(LEFT(AA88,2))))+1,COUNTIF(APD,"&gt;"&amp;(--TRIM(LEFT(AB88,2))))+1))</f>
        <v/>
      </c>
      <c r="AE88" s="4" t="n"/>
      <c r="AF88" s="4" t="n"/>
      <c r="AH88">
        <f>IFERROR(INDEX(EqTag,_xlfn.AGGREGATE(15,6,(ROW(EqTag)-4)/((EqSys=$D$3)*(EqTag&lt;&gt;"")),ROWS($AH$14:AH88))),"")</f>
        <v/>
      </c>
    </row>
    <row r="89">
      <c r="A89" s="20">
        <f>IF(F89="","",LEFT($D$3,3)&amp;"-"&amp;TEXT(COUNTIF(F$14:F89,"?*"),"00"))</f>
        <v/>
      </c>
      <c r="B89" s="4" t="n"/>
      <c r="C89" s="5">
        <f>IF(B89="","",IFERROR(INDEX(EqTypeCol,MATCH(B89,EqTag,0)),"Tag not in register"))</f>
        <v/>
      </c>
      <c r="D89" s="4" t="n"/>
      <c r="E89" s="4" t="n"/>
      <c r="F89" s="4" t="n"/>
      <c r="G89" s="4" t="n"/>
      <c r="H89" s="4" t="n"/>
      <c r="I89" s="4" t="n"/>
      <c r="J89" s="5">
        <f>_xlfn.TEXTJOIN(CHAR(10),TRUE,IF(G89="","","• "&amp;G89),IF(H89="","","• "&amp;H89),IF(I89="","","• "&amp;I89))</f>
        <v/>
      </c>
      <c r="K89" s="4" t="n"/>
      <c r="L89" s="4" t="n"/>
      <c r="M89" s="4" t="n"/>
      <c r="N89" s="16" t="n"/>
      <c r="O89" s="4" t="n"/>
      <c r="P89" s="16" t="n"/>
      <c r="Q89" s="4" t="n"/>
      <c r="R89" s="16" t="n"/>
      <c r="S89" s="20">
        <f>IF(OR(N89="",P89="",R89=""),"",(--TRIM(LEFT(N89,2)))*(--TRIM(LEFT(P89,2)))*(--TRIM(LEFT(R89,2))))</f>
        <v/>
      </c>
      <c r="T89" s="20">
        <f>IF(OR(N89="",P89="",R89=""),"",INDEX(APGrid,COUNTIF(APS,"&gt;"&amp;(--TRIM(LEFT(N89,2))))*5+COUNTIF(APO,"&gt;"&amp;(--TRIM(LEFT(P89,2))))+1,COUNTIF(APD,"&gt;"&amp;(--TRIM(LEFT(R89,2))))+1))</f>
        <v/>
      </c>
      <c r="U89" s="20">
        <f>IF(S89="","",IF(OR((--TRIM(LEFT(N89,2)))&gt;=SThr,S89&gt;=RPNThr,T89="H"),"Yes","No"))</f>
        <v/>
      </c>
      <c r="V89" s="4" t="n"/>
      <c r="W89" s="4" t="n"/>
      <c r="X89" s="4" t="n"/>
      <c r="Y89" s="29" t="n"/>
      <c r="Z89" s="16" t="n"/>
      <c r="AA89" s="16" t="n"/>
      <c r="AB89" s="16" t="n"/>
      <c r="AC89" s="20">
        <f>IF(OR(Z89="",AA89="",AB89=""),"",(--TRIM(LEFT(Z89,2)))*(--TRIM(LEFT(AA89,2)))*(--TRIM(LEFT(AB89,2))))</f>
        <v/>
      </c>
      <c r="AD89" s="20">
        <f>IF(OR(Z89="",AA89="",AB89=""),"",INDEX(APGrid,COUNTIF(APS,"&gt;"&amp;(--TRIM(LEFT(Z89,2))))*5+COUNTIF(APO,"&gt;"&amp;(--TRIM(LEFT(AA89,2))))+1,COUNTIF(APD,"&gt;"&amp;(--TRIM(LEFT(AB89,2))))+1))</f>
        <v/>
      </c>
      <c r="AE89" s="4" t="n"/>
      <c r="AF89" s="4" t="n"/>
      <c r="AH89">
        <f>IFERROR(INDEX(EqTag,_xlfn.AGGREGATE(15,6,(ROW(EqTag)-4)/((EqSys=$D$3)*(EqTag&lt;&gt;"")),ROWS($AH$14:AH89))),"")</f>
        <v/>
      </c>
    </row>
    <row r="90">
      <c r="A90" s="20">
        <f>IF(F90="","",LEFT($D$3,3)&amp;"-"&amp;TEXT(COUNTIF(F$14:F90,"?*"),"00"))</f>
        <v/>
      </c>
      <c r="B90" s="4" t="n"/>
      <c r="C90" s="5">
        <f>IF(B90="","",IFERROR(INDEX(EqTypeCol,MATCH(B90,EqTag,0)),"Tag not in register"))</f>
        <v/>
      </c>
      <c r="D90" s="4" t="n"/>
      <c r="E90" s="4" t="n"/>
      <c r="F90" s="4" t="n"/>
      <c r="G90" s="4" t="n"/>
      <c r="H90" s="4" t="n"/>
      <c r="I90" s="4" t="n"/>
      <c r="J90" s="5">
        <f>_xlfn.TEXTJOIN(CHAR(10),TRUE,IF(G90="","","• "&amp;G90),IF(H90="","","• "&amp;H90),IF(I90="","","• "&amp;I90))</f>
        <v/>
      </c>
      <c r="K90" s="4" t="n"/>
      <c r="L90" s="4" t="n"/>
      <c r="M90" s="4" t="n"/>
      <c r="N90" s="16" t="n"/>
      <c r="O90" s="4" t="n"/>
      <c r="P90" s="16" t="n"/>
      <c r="Q90" s="4" t="n"/>
      <c r="R90" s="16" t="n"/>
      <c r="S90" s="20">
        <f>IF(OR(N90="",P90="",R90=""),"",(--TRIM(LEFT(N90,2)))*(--TRIM(LEFT(P90,2)))*(--TRIM(LEFT(R90,2))))</f>
        <v/>
      </c>
      <c r="T90" s="20">
        <f>IF(OR(N90="",P90="",R90=""),"",INDEX(APGrid,COUNTIF(APS,"&gt;"&amp;(--TRIM(LEFT(N90,2))))*5+COUNTIF(APO,"&gt;"&amp;(--TRIM(LEFT(P90,2))))+1,COUNTIF(APD,"&gt;"&amp;(--TRIM(LEFT(R90,2))))+1))</f>
        <v/>
      </c>
      <c r="U90" s="20">
        <f>IF(S90="","",IF(OR((--TRIM(LEFT(N90,2)))&gt;=SThr,S90&gt;=RPNThr,T90="H"),"Yes","No"))</f>
        <v/>
      </c>
      <c r="V90" s="4" t="n"/>
      <c r="W90" s="4" t="n"/>
      <c r="X90" s="4" t="n"/>
      <c r="Y90" s="29" t="n"/>
      <c r="Z90" s="16" t="n"/>
      <c r="AA90" s="16" t="n"/>
      <c r="AB90" s="16" t="n"/>
      <c r="AC90" s="20">
        <f>IF(OR(Z90="",AA90="",AB90=""),"",(--TRIM(LEFT(Z90,2)))*(--TRIM(LEFT(AA90,2)))*(--TRIM(LEFT(AB90,2))))</f>
        <v/>
      </c>
      <c r="AD90" s="20">
        <f>IF(OR(Z90="",AA90="",AB90=""),"",INDEX(APGrid,COUNTIF(APS,"&gt;"&amp;(--TRIM(LEFT(Z90,2))))*5+COUNTIF(APO,"&gt;"&amp;(--TRIM(LEFT(AA90,2))))+1,COUNTIF(APD,"&gt;"&amp;(--TRIM(LEFT(AB90,2))))+1))</f>
        <v/>
      </c>
      <c r="AE90" s="4" t="n"/>
      <c r="AF90" s="4" t="n"/>
      <c r="AH90">
        <f>IFERROR(INDEX(EqTag,_xlfn.AGGREGATE(15,6,(ROW(EqTag)-4)/((EqSys=$D$3)*(EqTag&lt;&gt;"")),ROWS($AH$14:AH90))),"")</f>
        <v/>
      </c>
    </row>
    <row r="91">
      <c r="A91" s="20">
        <f>IF(F91="","",LEFT($D$3,3)&amp;"-"&amp;TEXT(COUNTIF(F$14:F91,"?*"),"00"))</f>
        <v/>
      </c>
      <c r="B91" s="4" t="n"/>
      <c r="C91" s="5">
        <f>IF(B91="","",IFERROR(INDEX(EqTypeCol,MATCH(B91,EqTag,0)),"Tag not in register"))</f>
        <v/>
      </c>
      <c r="D91" s="4" t="n"/>
      <c r="E91" s="4" t="n"/>
      <c r="F91" s="4" t="n"/>
      <c r="G91" s="4" t="n"/>
      <c r="H91" s="4" t="n"/>
      <c r="I91" s="4" t="n"/>
      <c r="J91" s="5">
        <f>_xlfn.TEXTJOIN(CHAR(10),TRUE,IF(G91="","","• "&amp;G91),IF(H91="","","• "&amp;H91),IF(I91="","","• "&amp;I91))</f>
        <v/>
      </c>
      <c r="K91" s="4" t="n"/>
      <c r="L91" s="4" t="n"/>
      <c r="M91" s="4" t="n"/>
      <c r="N91" s="16" t="n"/>
      <c r="O91" s="4" t="n"/>
      <c r="P91" s="16" t="n"/>
      <c r="Q91" s="4" t="n"/>
      <c r="R91" s="16" t="n"/>
      <c r="S91" s="20">
        <f>IF(OR(N91="",P91="",R91=""),"",(--TRIM(LEFT(N91,2)))*(--TRIM(LEFT(P91,2)))*(--TRIM(LEFT(R91,2))))</f>
        <v/>
      </c>
      <c r="T91" s="20">
        <f>IF(OR(N91="",P91="",R91=""),"",INDEX(APGrid,COUNTIF(APS,"&gt;"&amp;(--TRIM(LEFT(N91,2))))*5+COUNTIF(APO,"&gt;"&amp;(--TRIM(LEFT(P91,2))))+1,COUNTIF(APD,"&gt;"&amp;(--TRIM(LEFT(R91,2))))+1))</f>
        <v/>
      </c>
      <c r="U91" s="20">
        <f>IF(S91="","",IF(OR((--TRIM(LEFT(N91,2)))&gt;=SThr,S91&gt;=RPNThr,T91="H"),"Yes","No"))</f>
        <v/>
      </c>
      <c r="V91" s="4" t="n"/>
      <c r="W91" s="4" t="n"/>
      <c r="X91" s="4" t="n"/>
      <c r="Y91" s="29" t="n"/>
      <c r="Z91" s="16" t="n"/>
      <c r="AA91" s="16" t="n"/>
      <c r="AB91" s="16" t="n"/>
      <c r="AC91" s="20">
        <f>IF(OR(Z91="",AA91="",AB91=""),"",(--TRIM(LEFT(Z91,2)))*(--TRIM(LEFT(AA91,2)))*(--TRIM(LEFT(AB91,2))))</f>
        <v/>
      </c>
      <c r="AD91" s="20">
        <f>IF(OR(Z91="",AA91="",AB91=""),"",INDEX(APGrid,COUNTIF(APS,"&gt;"&amp;(--TRIM(LEFT(Z91,2))))*5+COUNTIF(APO,"&gt;"&amp;(--TRIM(LEFT(AA91,2))))+1,COUNTIF(APD,"&gt;"&amp;(--TRIM(LEFT(AB91,2))))+1))</f>
        <v/>
      </c>
      <c r="AE91" s="4" t="n"/>
      <c r="AF91" s="4" t="n"/>
      <c r="AH91">
        <f>IFERROR(INDEX(EqTag,_xlfn.AGGREGATE(15,6,(ROW(EqTag)-4)/((EqSys=$D$3)*(EqTag&lt;&gt;"")),ROWS($AH$14:AH91))),"")</f>
        <v/>
      </c>
    </row>
    <row r="92">
      <c r="A92" s="20">
        <f>IF(F92="","",LEFT($D$3,3)&amp;"-"&amp;TEXT(COUNTIF(F$14:F92,"?*"),"00"))</f>
        <v/>
      </c>
      <c r="B92" s="4" t="n"/>
      <c r="C92" s="5">
        <f>IF(B92="","",IFERROR(INDEX(EqTypeCol,MATCH(B92,EqTag,0)),"Tag not in register"))</f>
        <v/>
      </c>
      <c r="D92" s="4" t="n"/>
      <c r="E92" s="4" t="n"/>
      <c r="F92" s="4" t="n"/>
      <c r="G92" s="4" t="n"/>
      <c r="H92" s="4" t="n"/>
      <c r="I92" s="4" t="n"/>
      <c r="J92" s="5">
        <f>_xlfn.TEXTJOIN(CHAR(10),TRUE,IF(G92="","","• "&amp;G92),IF(H92="","","• "&amp;H92),IF(I92="","","• "&amp;I92))</f>
        <v/>
      </c>
      <c r="K92" s="4" t="n"/>
      <c r="L92" s="4" t="n"/>
      <c r="M92" s="4" t="n"/>
      <c r="N92" s="16" t="n"/>
      <c r="O92" s="4" t="n"/>
      <c r="P92" s="16" t="n"/>
      <c r="Q92" s="4" t="n"/>
      <c r="R92" s="16" t="n"/>
      <c r="S92" s="20">
        <f>IF(OR(N92="",P92="",R92=""),"",(--TRIM(LEFT(N92,2)))*(--TRIM(LEFT(P92,2)))*(--TRIM(LEFT(R92,2))))</f>
        <v/>
      </c>
      <c r="T92" s="20">
        <f>IF(OR(N92="",P92="",R92=""),"",INDEX(APGrid,COUNTIF(APS,"&gt;"&amp;(--TRIM(LEFT(N92,2))))*5+COUNTIF(APO,"&gt;"&amp;(--TRIM(LEFT(P92,2))))+1,COUNTIF(APD,"&gt;"&amp;(--TRIM(LEFT(R92,2))))+1))</f>
        <v/>
      </c>
      <c r="U92" s="20">
        <f>IF(S92="","",IF(OR((--TRIM(LEFT(N92,2)))&gt;=SThr,S92&gt;=RPNThr,T92="H"),"Yes","No"))</f>
        <v/>
      </c>
      <c r="V92" s="4" t="n"/>
      <c r="W92" s="4" t="n"/>
      <c r="X92" s="4" t="n"/>
      <c r="Y92" s="29" t="n"/>
      <c r="Z92" s="16" t="n"/>
      <c r="AA92" s="16" t="n"/>
      <c r="AB92" s="16" t="n"/>
      <c r="AC92" s="20">
        <f>IF(OR(Z92="",AA92="",AB92=""),"",(--TRIM(LEFT(Z92,2)))*(--TRIM(LEFT(AA92,2)))*(--TRIM(LEFT(AB92,2))))</f>
        <v/>
      </c>
      <c r="AD92" s="20">
        <f>IF(OR(Z92="",AA92="",AB92=""),"",INDEX(APGrid,COUNTIF(APS,"&gt;"&amp;(--TRIM(LEFT(Z92,2))))*5+COUNTIF(APO,"&gt;"&amp;(--TRIM(LEFT(AA92,2))))+1,COUNTIF(APD,"&gt;"&amp;(--TRIM(LEFT(AB92,2))))+1))</f>
        <v/>
      </c>
      <c r="AE92" s="4" t="n"/>
      <c r="AF92" s="4" t="n"/>
      <c r="AH92">
        <f>IFERROR(INDEX(EqTag,_xlfn.AGGREGATE(15,6,(ROW(EqTag)-4)/((EqSys=$D$3)*(EqTag&lt;&gt;"")),ROWS($AH$14:AH92))),"")</f>
        <v/>
      </c>
    </row>
    <row r="93">
      <c r="A93" s="20">
        <f>IF(F93="","",LEFT($D$3,3)&amp;"-"&amp;TEXT(COUNTIF(F$14:F93,"?*"),"00"))</f>
        <v/>
      </c>
      <c r="B93" s="4" t="n"/>
      <c r="C93" s="5">
        <f>IF(B93="","",IFERROR(INDEX(EqTypeCol,MATCH(B93,EqTag,0)),"Tag not in register"))</f>
        <v/>
      </c>
      <c r="D93" s="4" t="n"/>
      <c r="E93" s="4" t="n"/>
      <c r="F93" s="4" t="n"/>
      <c r="G93" s="4" t="n"/>
      <c r="H93" s="4" t="n"/>
      <c r="I93" s="4" t="n"/>
      <c r="J93" s="5">
        <f>_xlfn.TEXTJOIN(CHAR(10),TRUE,IF(G93="","","• "&amp;G93),IF(H93="","","• "&amp;H93),IF(I93="","","• "&amp;I93))</f>
        <v/>
      </c>
      <c r="K93" s="4" t="n"/>
      <c r="L93" s="4" t="n"/>
      <c r="M93" s="4" t="n"/>
      <c r="N93" s="16" t="n"/>
      <c r="O93" s="4" t="n"/>
      <c r="P93" s="16" t="n"/>
      <c r="Q93" s="4" t="n"/>
      <c r="R93" s="16" t="n"/>
      <c r="S93" s="20">
        <f>IF(OR(N93="",P93="",R93=""),"",(--TRIM(LEFT(N93,2)))*(--TRIM(LEFT(P93,2)))*(--TRIM(LEFT(R93,2))))</f>
        <v/>
      </c>
      <c r="T93" s="20">
        <f>IF(OR(N93="",P93="",R93=""),"",INDEX(APGrid,COUNTIF(APS,"&gt;"&amp;(--TRIM(LEFT(N93,2))))*5+COUNTIF(APO,"&gt;"&amp;(--TRIM(LEFT(P93,2))))+1,COUNTIF(APD,"&gt;"&amp;(--TRIM(LEFT(R93,2))))+1))</f>
        <v/>
      </c>
      <c r="U93" s="20">
        <f>IF(S93="","",IF(OR((--TRIM(LEFT(N93,2)))&gt;=SThr,S93&gt;=RPNThr,T93="H"),"Yes","No"))</f>
        <v/>
      </c>
      <c r="V93" s="4" t="n"/>
      <c r="W93" s="4" t="n"/>
      <c r="X93" s="4" t="n"/>
      <c r="Y93" s="29" t="n"/>
      <c r="Z93" s="16" t="n"/>
      <c r="AA93" s="16" t="n"/>
      <c r="AB93" s="16" t="n"/>
      <c r="AC93" s="20">
        <f>IF(OR(Z93="",AA93="",AB93=""),"",(--TRIM(LEFT(Z93,2)))*(--TRIM(LEFT(AA93,2)))*(--TRIM(LEFT(AB93,2))))</f>
        <v/>
      </c>
      <c r="AD93" s="20">
        <f>IF(OR(Z93="",AA93="",AB93=""),"",INDEX(APGrid,COUNTIF(APS,"&gt;"&amp;(--TRIM(LEFT(Z93,2))))*5+COUNTIF(APO,"&gt;"&amp;(--TRIM(LEFT(AA93,2))))+1,COUNTIF(APD,"&gt;"&amp;(--TRIM(LEFT(AB93,2))))+1))</f>
        <v/>
      </c>
      <c r="AE93" s="4" t="n"/>
      <c r="AF93" s="4" t="n"/>
      <c r="AH93">
        <f>IFERROR(INDEX(EqTag,_xlfn.AGGREGATE(15,6,(ROW(EqTag)-4)/((EqSys=$D$3)*(EqTag&lt;&gt;"")),ROWS($AH$14:AH93))),"")</f>
        <v/>
      </c>
    </row>
    <row r="94">
      <c r="A94" s="20">
        <f>IF(F94="","",LEFT($D$3,3)&amp;"-"&amp;TEXT(COUNTIF(F$14:F94,"?*"),"00"))</f>
        <v/>
      </c>
      <c r="B94" s="4" t="n"/>
      <c r="C94" s="5">
        <f>IF(B94="","",IFERROR(INDEX(EqTypeCol,MATCH(B94,EqTag,0)),"Tag not in register"))</f>
        <v/>
      </c>
      <c r="D94" s="4" t="n"/>
      <c r="E94" s="4" t="n"/>
      <c r="F94" s="4" t="n"/>
      <c r="G94" s="4" t="n"/>
      <c r="H94" s="4" t="n"/>
      <c r="I94" s="4" t="n"/>
      <c r="J94" s="5">
        <f>_xlfn.TEXTJOIN(CHAR(10),TRUE,IF(G94="","","• "&amp;G94),IF(H94="","","• "&amp;H94),IF(I94="","","• "&amp;I94))</f>
        <v/>
      </c>
      <c r="K94" s="4" t="n"/>
      <c r="L94" s="4" t="n"/>
      <c r="M94" s="4" t="n"/>
      <c r="N94" s="16" t="n"/>
      <c r="O94" s="4" t="n"/>
      <c r="P94" s="16" t="n"/>
      <c r="Q94" s="4" t="n"/>
      <c r="R94" s="16" t="n"/>
      <c r="S94" s="20">
        <f>IF(OR(N94="",P94="",R94=""),"",(--TRIM(LEFT(N94,2)))*(--TRIM(LEFT(P94,2)))*(--TRIM(LEFT(R94,2))))</f>
        <v/>
      </c>
      <c r="T94" s="20">
        <f>IF(OR(N94="",P94="",R94=""),"",INDEX(APGrid,COUNTIF(APS,"&gt;"&amp;(--TRIM(LEFT(N94,2))))*5+COUNTIF(APO,"&gt;"&amp;(--TRIM(LEFT(P94,2))))+1,COUNTIF(APD,"&gt;"&amp;(--TRIM(LEFT(R94,2))))+1))</f>
        <v/>
      </c>
      <c r="U94" s="20">
        <f>IF(S94="","",IF(OR((--TRIM(LEFT(N94,2)))&gt;=SThr,S94&gt;=RPNThr,T94="H"),"Yes","No"))</f>
        <v/>
      </c>
      <c r="V94" s="4" t="n"/>
      <c r="W94" s="4" t="n"/>
      <c r="X94" s="4" t="n"/>
      <c r="Y94" s="29" t="n"/>
      <c r="Z94" s="16" t="n"/>
      <c r="AA94" s="16" t="n"/>
      <c r="AB94" s="16" t="n"/>
      <c r="AC94" s="20">
        <f>IF(OR(Z94="",AA94="",AB94=""),"",(--TRIM(LEFT(Z94,2)))*(--TRIM(LEFT(AA94,2)))*(--TRIM(LEFT(AB94,2))))</f>
        <v/>
      </c>
      <c r="AD94" s="20">
        <f>IF(OR(Z94="",AA94="",AB94=""),"",INDEX(APGrid,COUNTIF(APS,"&gt;"&amp;(--TRIM(LEFT(Z94,2))))*5+COUNTIF(APO,"&gt;"&amp;(--TRIM(LEFT(AA94,2))))+1,COUNTIF(APD,"&gt;"&amp;(--TRIM(LEFT(AB94,2))))+1))</f>
        <v/>
      </c>
      <c r="AE94" s="4" t="n"/>
      <c r="AF94" s="4" t="n"/>
      <c r="AH94">
        <f>IFERROR(INDEX(EqTag,_xlfn.AGGREGATE(15,6,(ROW(EqTag)-4)/((EqSys=$D$3)*(EqTag&lt;&gt;"")),ROWS($AH$14:AH94))),"")</f>
        <v/>
      </c>
    </row>
    <row r="95">
      <c r="A95" s="20">
        <f>IF(F95="","",LEFT($D$3,3)&amp;"-"&amp;TEXT(COUNTIF(F$14:F95,"?*"),"00"))</f>
        <v/>
      </c>
      <c r="B95" s="4" t="n"/>
      <c r="C95" s="5">
        <f>IF(B95="","",IFERROR(INDEX(EqTypeCol,MATCH(B95,EqTag,0)),"Tag not in register"))</f>
        <v/>
      </c>
      <c r="D95" s="4" t="n"/>
      <c r="E95" s="4" t="n"/>
      <c r="F95" s="4" t="n"/>
      <c r="G95" s="4" t="n"/>
      <c r="H95" s="4" t="n"/>
      <c r="I95" s="4" t="n"/>
      <c r="J95" s="5">
        <f>_xlfn.TEXTJOIN(CHAR(10),TRUE,IF(G95="","","• "&amp;G95),IF(H95="","","• "&amp;H95),IF(I95="","","• "&amp;I95))</f>
        <v/>
      </c>
      <c r="K95" s="4" t="n"/>
      <c r="L95" s="4" t="n"/>
      <c r="M95" s="4" t="n"/>
      <c r="N95" s="16" t="n"/>
      <c r="O95" s="4" t="n"/>
      <c r="P95" s="16" t="n"/>
      <c r="Q95" s="4" t="n"/>
      <c r="R95" s="16" t="n"/>
      <c r="S95" s="20">
        <f>IF(OR(N95="",P95="",R95=""),"",(--TRIM(LEFT(N95,2)))*(--TRIM(LEFT(P95,2)))*(--TRIM(LEFT(R95,2))))</f>
        <v/>
      </c>
      <c r="T95" s="20">
        <f>IF(OR(N95="",P95="",R95=""),"",INDEX(APGrid,COUNTIF(APS,"&gt;"&amp;(--TRIM(LEFT(N95,2))))*5+COUNTIF(APO,"&gt;"&amp;(--TRIM(LEFT(P95,2))))+1,COUNTIF(APD,"&gt;"&amp;(--TRIM(LEFT(R95,2))))+1))</f>
        <v/>
      </c>
      <c r="U95" s="20">
        <f>IF(S95="","",IF(OR((--TRIM(LEFT(N95,2)))&gt;=SThr,S95&gt;=RPNThr,T95="H"),"Yes","No"))</f>
        <v/>
      </c>
      <c r="V95" s="4" t="n"/>
      <c r="W95" s="4" t="n"/>
      <c r="X95" s="4" t="n"/>
      <c r="Y95" s="29" t="n"/>
      <c r="Z95" s="16" t="n"/>
      <c r="AA95" s="16" t="n"/>
      <c r="AB95" s="16" t="n"/>
      <c r="AC95" s="20">
        <f>IF(OR(Z95="",AA95="",AB95=""),"",(--TRIM(LEFT(Z95,2)))*(--TRIM(LEFT(AA95,2)))*(--TRIM(LEFT(AB95,2))))</f>
        <v/>
      </c>
      <c r="AD95" s="20">
        <f>IF(OR(Z95="",AA95="",AB95=""),"",INDEX(APGrid,COUNTIF(APS,"&gt;"&amp;(--TRIM(LEFT(Z95,2))))*5+COUNTIF(APO,"&gt;"&amp;(--TRIM(LEFT(AA95,2))))+1,COUNTIF(APD,"&gt;"&amp;(--TRIM(LEFT(AB95,2))))+1))</f>
        <v/>
      </c>
      <c r="AE95" s="4" t="n"/>
      <c r="AF95" s="4" t="n"/>
      <c r="AH95">
        <f>IFERROR(INDEX(EqTag,_xlfn.AGGREGATE(15,6,(ROW(EqTag)-4)/((EqSys=$D$3)*(EqTag&lt;&gt;"")),ROWS($AH$14:AH95))),"")</f>
        <v/>
      </c>
    </row>
    <row r="96">
      <c r="A96" s="20">
        <f>IF(F96="","",LEFT($D$3,3)&amp;"-"&amp;TEXT(COUNTIF(F$14:F96,"?*"),"00"))</f>
        <v/>
      </c>
      <c r="B96" s="4" t="n"/>
      <c r="C96" s="5">
        <f>IF(B96="","",IFERROR(INDEX(EqTypeCol,MATCH(B96,EqTag,0)),"Tag not in register"))</f>
        <v/>
      </c>
      <c r="D96" s="4" t="n"/>
      <c r="E96" s="4" t="n"/>
      <c r="F96" s="4" t="n"/>
      <c r="G96" s="4" t="n"/>
      <c r="H96" s="4" t="n"/>
      <c r="I96" s="4" t="n"/>
      <c r="J96" s="5">
        <f>_xlfn.TEXTJOIN(CHAR(10),TRUE,IF(G96="","","• "&amp;G96),IF(H96="","","• "&amp;H96),IF(I96="","","• "&amp;I96))</f>
        <v/>
      </c>
      <c r="K96" s="4" t="n"/>
      <c r="L96" s="4" t="n"/>
      <c r="M96" s="4" t="n"/>
      <c r="N96" s="16" t="n"/>
      <c r="O96" s="4" t="n"/>
      <c r="P96" s="16" t="n"/>
      <c r="Q96" s="4" t="n"/>
      <c r="R96" s="16" t="n"/>
      <c r="S96" s="20">
        <f>IF(OR(N96="",P96="",R96=""),"",(--TRIM(LEFT(N96,2)))*(--TRIM(LEFT(P96,2)))*(--TRIM(LEFT(R96,2))))</f>
        <v/>
      </c>
      <c r="T96" s="20">
        <f>IF(OR(N96="",P96="",R96=""),"",INDEX(APGrid,COUNTIF(APS,"&gt;"&amp;(--TRIM(LEFT(N96,2))))*5+COUNTIF(APO,"&gt;"&amp;(--TRIM(LEFT(P96,2))))+1,COUNTIF(APD,"&gt;"&amp;(--TRIM(LEFT(R96,2))))+1))</f>
        <v/>
      </c>
      <c r="U96" s="20">
        <f>IF(S96="","",IF(OR((--TRIM(LEFT(N96,2)))&gt;=SThr,S96&gt;=RPNThr,T96="H"),"Yes","No"))</f>
        <v/>
      </c>
      <c r="V96" s="4" t="n"/>
      <c r="W96" s="4" t="n"/>
      <c r="X96" s="4" t="n"/>
      <c r="Y96" s="29" t="n"/>
      <c r="Z96" s="16" t="n"/>
      <c r="AA96" s="16" t="n"/>
      <c r="AB96" s="16" t="n"/>
      <c r="AC96" s="20">
        <f>IF(OR(Z96="",AA96="",AB96=""),"",(--TRIM(LEFT(Z96,2)))*(--TRIM(LEFT(AA96,2)))*(--TRIM(LEFT(AB96,2))))</f>
        <v/>
      </c>
      <c r="AD96" s="20">
        <f>IF(OR(Z96="",AA96="",AB96=""),"",INDEX(APGrid,COUNTIF(APS,"&gt;"&amp;(--TRIM(LEFT(Z96,2))))*5+COUNTIF(APO,"&gt;"&amp;(--TRIM(LEFT(AA96,2))))+1,COUNTIF(APD,"&gt;"&amp;(--TRIM(LEFT(AB96,2))))+1))</f>
        <v/>
      </c>
      <c r="AE96" s="4" t="n"/>
      <c r="AF96" s="4" t="n"/>
      <c r="AH96">
        <f>IFERROR(INDEX(EqTag,_xlfn.AGGREGATE(15,6,(ROW(EqTag)-4)/((EqSys=$D$3)*(EqTag&lt;&gt;"")),ROWS($AH$14:AH96))),"")</f>
        <v/>
      </c>
    </row>
    <row r="97">
      <c r="A97" s="20">
        <f>IF(F97="","",LEFT($D$3,3)&amp;"-"&amp;TEXT(COUNTIF(F$14:F97,"?*"),"00"))</f>
        <v/>
      </c>
      <c r="B97" s="4" t="n"/>
      <c r="C97" s="5">
        <f>IF(B97="","",IFERROR(INDEX(EqTypeCol,MATCH(B97,EqTag,0)),"Tag not in register"))</f>
        <v/>
      </c>
      <c r="D97" s="4" t="n"/>
      <c r="E97" s="4" t="n"/>
      <c r="F97" s="4" t="n"/>
      <c r="G97" s="4" t="n"/>
      <c r="H97" s="4" t="n"/>
      <c r="I97" s="4" t="n"/>
      <c r="J97" s="5">
        <f>_xlfn.TEXTJOIN(CHAR(10),TRUE,IF(G97="","","• "&amp;G97),IF(H97="","","• "&amp;H97),IF(I97="","","• "&amp;I97))</f>
        <v/>
      </c>
      <c r="K97" s="4" t="n"/>
      <c r="L97" s="4" t="n"/>
      <c r="M97" s="4" t="n"/>
      <c r="N97" s="16" t="n"/>
      <c r="O97" s="4" t="n"/>
      <c r="P97" s="16" t="n"/>
      <c r="Q97" s="4" t="n"/>
      <c r="R97" s="16" t="n"/>
      <c r="S97" s="20">
        <f>IF(OR(N97="",P97="",R97=""),"",(--TRIM(LEFT(N97,2)))*(--TRIM(LEFT(P97,2)))*(--TRIM(LEFT(R97,2))))</f>
        <v/>
      </c>
      <c r="T97" s="20">
        <f>IF(OR(N97="",P97="",R97=""),"",INDEX(APGrid,COUNTIF(APS,"&gt;"&amp;(--TRIM(LEFT(N97,2))))*5+COUNTIF(APO,"&gt;"&amp;(--TRIM(LEFT(P97,2))))+1,COUNTIF(APD,"&gt;"&amp;(--TRIM(LEFT(R97,2))))+1))</f>
        <v/>
      </c>
      <c r="U97" s="20">
        <f>IF(S97="","",IF(OR((--TRIM(LEFT(N97,2)))&gt;=SThr,S97&gt;=RPNThr,T97="H"),"Yes","No"))</f>
        <v/>
      </c>
      <c r="V97" s="4" t="n"/>
      <c r="W97" s="4" t="n"/>
      <c r="X97" s="4" t="n"/>
      <c r="Y97" s="29" t="n"/>
      <c r="Z97" s="16" t="n"/>
      <c r="AA97" s="16" t="n"/>
      <c r="AB97" s="16" t="n"/>
      <c r="AC97" s="20">
        <f>IF(OR(Z97="",AA97="",AB97=""),"",(--TRIM(LEFT(Z97,2)))*(--TRIM(LEFT(AA97,2)))*(--TRIM(LEFT(AB97,2))))</f>
        <v/>
      </c>
      <c r="AD97" s="20">
        <f>IF(OR(Z97="",AA97="",AB97=""),"",INDEX(APGrid,COUNTIF(APS,"&gt;"&amp;(--TRIM(LEFT(Z97,2))))*5+COUNTIF(APO,"&gt;"&amp;(--TRIM(LEFT(AA97,2))))+1,COUNTIF(APD,"&gt;"&amp;(--TRIM(LEFT(AB97,2))))+1))</f>
        <v/>
      </c>
      <c r="AE97" s="4" t="n"/>
      <c r="AF97" s="4" t="n"/>
      <c r="AH97">
        <f>IFERROR(INDEX(EqTag,_xlfn.AGGREGATE(15,6,(ROW(EqTag)-4)/((EqSys=$D$3)*(EqTag&lt;&gt;"")),ROWS($AH$14:AH97))),"")</f>
        <v/>
      </c>
    </row>
    <row r="98">
      <c r="A98" s="20">
        <f>IF(F98="","",LEFT($D$3,3)&amp;"-"&amp;TEXT(COUNTIF(F$14:F98,"?*"),"00"))</f>
        <v/>
      </c>
      <c r="B98" s="4" t="n"/>
      <c r="C98" s="5">
        <f>IF(B98="","",IFERROR(INDEX(EqTypeCol,MATCH(B98,EqTag,0)),"Tag not in register"))</f>
        <v/>
      </c>
      <c r="D98" s="4" t="n"/>
      <c r="E98" s="4" t="n"/>
      <c r="F98" s="4" t="n"/>
      <c r="G98" s="4" t="n"/>
      <c r="H98" s="4" t="n"/>
      <c r="I98" s="4" t="n"/>
      <c r="J98" s="5">
        <f>_xlfn.TEXTJOIN(CHAR(10),TRUE,IF(G98="","","• "&amp;G98),IF(H98="","","• "&amp;H98),IF(I98="","","• "&amp;I98))</f>
        <v/>
      </c>
      <c r="K98" s="4" t="n"/>
      <c r="L98" s="4" t="n"/>
      <c r="M98" s="4" t="n"/>
      <c r="N98" s="16" t="n"/>
      <c r="O98" s="4" t="n"/>
      <c r="P98" s="16" t="n"/>
      <c r="Q98" s="4" t="n"/>
      <c r="R98" s="16" t="n"/>
      <c r="S98" s="20">
        <f>IF(OR(N98="",P98="",R98=""),"",(--TRIM(LEFT(N98,2)))*(--TRIM(LEFT(P98,2)))*(--TRIM(LEFT(R98,2))))</f>
        <v/>
      </c>
      <c r="T98" s="20">
        <f>IF(OR(N98="",P98="",R98=""),"",INDEX(APGrid,COUNTIF(APS,"&gt;"&amp;(--TRIM(LEFT(N98,2))))*5+COUNTIF(APO,"&gt;"&amp;(--TRIM(LEFT(P98,2))))+1,COUNTIF(APD,"&gt;"&amp;(--TRIM(LEFT(R98,2))))+1))</f>
        <v/>
      </c>
      <c r="U98" s="20">
        <f>IF(S98="","",IF(OR((--TRIM(LEFT(N98,2)))&gt;=SThr,S98&gt;=RPNThr,T98="H"),"Yes","No"))</f>
        <v/>
      </c>
      <c r="V98" s="4" t="n"/>
      <c r="W98" s="4" t="n"/>
      <c r="X98" s="4" t="n"/>
      <c r="Y98" s="29" t="n"/>
      <c r="Z98" s="16" t="n"/>
      <c r="AA98" s="16" t="n"/>
      <c r="AB98" s="16" t="n"/>
      <c r="AC98" s="20">
        <f>IF(OR(Z98="",AA98="",AB98=""),"",(--TRIM(LEFT(Z98,2)))*(--TRIM(LEFT(AA98,2)))*(--TRIM(LEFT(AB98,2))))</f>
        <v/>
      </c>
      <c r="AD98" s="20">
        <f>IF(OR(Z98="",AA98="",AB98=""),"",INDEX(APGrid,COUNTIF(APS,"&gt;"&amp;(--TRIM(LEFT(Z98,2))))*5+COUNTIF(APO,"&gt;"&amp;(--TRIM(LEFT(AA98,2))))+1,COUNTIF(APD,"&gt;"&amp;(--TRIM(LEFT(AB98,2))))+1))</f>
        <v/>
      </c>
      <c r="AE98" s="4" t="n"/>
      <c r="AF98" s="4" t="n"/>
      <c r="AH98">
        <f>IFERROR(INDEX(EqTag,_xlfn.AGGREGATE(15,6,(ROW(EqTag)-4)/((EqSys=$D$3)*(EqTag&lt;&gt;"")),ROWS($AH$14:AH98))),"")</f>
        <v/>
      </c>
    </row>
    <row r="99">
      <c r="A99" s="20">
        <f>IF(F99="","",LEFT($D$3,3)&amp;"-"&amp;TEXT(COUNTIF(F$14:F99,"?*"),"00"))</f>
        <v/>
      </c>
      <c r="B99" s="4" t="n"/>
      <c r="C99" s="5">
        <f>IF(B99="","",IFERROR(INDEX(EqTypeCol,MATCH(B99,EqTag,0)),"Tag not in register"))</f>
        <v/>
      </c>
      <c r="D99" s="4" t="n"/>
      <c r="E99" s="4" t="n"/>
      <c r="F99" s="4" t="n"/>
      <c r="G99" s="4" t="n"/>
      <c r="H99" s="4" t="n"/>
      <c r="I99" s="4" t="n"/>
      <c r="J99" s="5">
        <f>_xlfn.TEXTJOIN(CHAR(10),TRUE,IF(G99="","","• "&amp;G99),IF(H99="","","• "&amp;H99),IF(I99="","","• "&amp;I99))</f>
        <v/>
      </c>
      <c r="K99" s="4" t="n"/>
      <c r="L99" s="4" t="n"/>
      <c r="M99" s="4" t="n"/>
      <c r="N99" s="16" t="n"/>
      <c r="O99" s="4" t="n"/>
      <c r="P99" s="16" t="n"/>
      <c r="Q99" s="4" t="n"/>
      <c r="R99" s="16" t="n"/>
      <c r="S99" s="20">
        <f>IF(OR(N99="",P99="",R99=""),"",(--TRIM(LEFT(N99,2)))*(--TRIM(LEFT(P99,2)))*(--TRIM(LEFT(R99,2))))</f>
        <v/>
      </c>
      <c r="T99" s="20">
        <f>IF(OR(N99="",P99="",R99=""),"",INDEX(APGrid,COUNTIF(APS,"&gt;"&amp;(--TRIM(LEFT(N99,2))))*5+COUNTIF(APO,"&gt;"&amp;(--TRIM(LEFT(P99,2))))+1,COUNTIF(APD,"&gt;"&amp;(--TRIM(LEFT(R99,2))))+1))</f>
        <v/>
      </c>
      <c r="U99" s="20">
        <f>IF(S99="","",IF(OR((--TRIM(LEFT(N99,2)))&gt;=SThr,S99&gt;=RPNThr,T99="H"),"Yes","No"))</f>
        <v/>
      </c>
      <c r="V99" s="4" t="n"/>
      <c r="W99" s="4" t="n"/>
      <c r="X99" s="4" t="n"/>
      <c r="Y99" s="29" t="n"/>
      <c r="Z99" s="16" t="n"/>
      <c r="AA99" s="16" t="n"/>
      <c r="AB99" s="16" t="n"/>
      <c r="AC99" s="20">
        <f>IF(OR(Z99="",AA99="",AB99=""),"",(--TRIM(LEFT(Z99,2)))*(--TRIM(LEFT(AA99,2)))*(--TRIM(LEFT(AB99,2))))</f>
        <v/>
      </c>
      <c r="AD99" s="20">
        <f>IF(OR(Z99="",AA99="",AB99=""),"",INDEX(APGrid,COUNTIF(APS,"&gt;"&amp;(--TRIM(LEFT(Z99,2))))*5+COUNTIF(APO,"&gt;"&amp;(--TRIM(LEFT(AA99,2))))+1,COUNTIF(APD,"&gt;"&amp;(--TRIM(LEFT(AB99,2))))+1))</f>
        <v/>
      </c>
      <c r="AE99" s="4" t="n"/>
      <c r="AF99" s="4" t="n"/>
      <c r="AH99">
        <f>IFERROR(INDEX(EqTag,_xlfn.AGGREGATE(15,6,(ROW(EqTag)-4)/((EqSys=$D$3)*(EqTag&lt;&gt;"")),ROWS($AH$14:AH99))),"")</f>
        <v/>
      </c>
    </row>
    <row r="100">
      <c r="A100" s="20">
        <f>IF(F100="","",LEFT($D$3,3)&amp;"-"&amp;TEXT(COUNTIF(F$14:F100,"?*"),"00"))</f>
        <v/>
      </c>
      <c r="B100" s="4" t="n"/>
      <c r="C100" s="5">
        <f>IF(B100="","",IFERROR(INDEX(EqTypeCol,MATCH(B100,EqTag,0)),"Tag not in register"))</f>
        <v/>
      </c>
      <c r="D100" s="4" t="n"/>
      <c r="E100" s="4" t="n"/>
      <c r="F100" s="4" t="n"/>
      <c r="G100" s="4" t="n"/>
      <c r="H100" s="4" t="n"/>
      <c r="I100" s="4" t="n"/>
      <c r="J100" s="5">
        <f>_xlfn.TEXTJOIN(CHAR(10),TRUE,IF(G100="","","• "&amp;G100),IF(H100="","","• "&amp;H100),IF(I100="","","• "&amp;I100))</f>
        <v/>
      </c>
      <c r="K100" s="4" t="n"/>
      <c r="L100" s="4" t="n"/>
      <c r="M100" s="4" t="n"/>
      <c r="N100" s="16" t="n"/>
      <c r="O100" s="4" t="n"/>
      <c r="P100" s="16" t="n"/>
      <c r="Q100" s="4" t="n"/>
      <c r="R100" s="16" t="n"/>
      <c r="S100" s="20">
        <f>IF(OR(N100="",P100="",R100=""),"",(--TRIM(LEFT(N100,2)))*(--TRIM(LEFT(P100,2)))*(--TRIM(LEFT(R100,2))))</f>
        <v/>
      </c>
      <c r="T100" s="20">
        <f>IF(OR(N100="",P100="",R100=""),"",INDEX(APGrid,COUNTIF(APS,"&gt;"&amp;(--TRIM(LEFT(N100,2))))*5+COUNTIF(APO,"&gt;"&amp;(--TRIM(LEFT(P100,2))))+1,COUNTIF(APD,"&gt;"&amp;(--TRIM(LEFT(R100,2))))+1))</f>
        <v/>
      </c>
      <c r="U100" s="20">
        <f>IF(S100="","",IF(OR((--TRIM(LEFT(N100,2)))&gt;=SThr,S100&gt;=RPNThr,T100="H"),"Yes","No"))</f>
        <v/>
      </c>
      <c r="V100" s="4" t="n"/>
      <c r="W100" s="4" t="n"/>
      <c r="X100" s="4" t="n"/>
      <c r="Y100" s="29" t="n"/>
      <c r="Z100" s="16" t="n"/>
      <c r="AA100" s="16" t="n"/>
      <c r="AB100" s="16" t="n"/>
      <c r="AC100" s="20">
        <f>IF(OR(Z100="",AA100="",AB100=""),"",(--TRIM(LEFT(Z100,2)))*(--TRIM(LEFT(AA100,2)))*(--TRIM(LEFT(AB100,2))))</f>
        <v/>
      </c>
      <c r="AD100" s="20">
        <f>IF(OR(Z100="",AA100="",AB100=""),"",INDEX(APGrid,COUNTIF(APS,"&gt;"&amp;(--TRIM(LEFT(Z100,2))))*5+COUNTIF(APO,"&gt;"&amp;(--TRIM(LEFT(AA100,2))))+1,COUNTIF(APD,"&gt;"&amp;(--TRIM(LEFT(AB100,2))))+1))</f>
        <v/>
      </c>
      <c r="AE100" s="4" t="n"/>
      <c r="AF100" s="4" t="n"/>
      <c r="AH100">
        <f>IFERROR(INDEX(EqTag,_xlfn.AGGREGATE(15,6,(ROW(EqTag)-4)/((EqSys=$D$3)*(EqTag&lt;&gt;"")),ROWS($AH$14:AH100))),"")</f>
        <v/>
      </c>
    </row>
    <row r="101">
      <c r="A101" s="20">
        <f>IF(F101="","",LEFT($D$3,3)&amp;"-"&amp;TEXT(COUNTIF(F$14:F101,"?*"),"00"))</f>
        <v/>
      </c>
      <c r="B101" s="4" t="n"/>
      <c r="C101" s="5">
        <f>IF(B101="","",IFERROR(INDEX(EqTypeCol,MATCH(B101,EqTag,0)),"Tag not in register"))</f>
        <v/>
      </c>
      <c r="D101" s="4" t="n"/>
      <c r="E101" s="4" t="n"/>
      <c r="F101" s="4" t="n"/>
      <c r="G101" s="4" t="n"/>
      <c r="H101" s="4" t="n"/>
      <c r="I101" s="4" t="n"/>
      <c r="J101" s="5">
        <f>_xlfn.TEXTJOIN(CHAR(10),TRUE,IF(G101="","","• "&amp;G101),IF(H101="","","• "&amp;H101),IF(I101="","","• "&amp;I101))</f>
        <v/>
      </c>
      <c r="K101" s="4" t="n"/>
      <c r="L101" s="4" t="n"/>
      <c r="M101" s="4" t="n"/>
      <c r="N101" s="16" t="n"/>
      <c r="O101" s="4" t="n"/>
      <c r="P101" s="16" t="n"/>
      <c r="Q101" s="4" t="n"/>
      <c r="R101" s="16" t="n"/>
      <c r="S101" s="20">
        <f>IF(OR(N101="",P101="",R101=""),"",(--TRIM(LEFT(N101,2)))*(--TRIM(LEFT(P101,2)))*(--TRIM(LEFT(R101,2))))</f>
        <v/>
      </c>
      <c r="T101" s="20">
        <f>IF(OR(N101="",P101="",R101=""),"",INDEX(APGrid,COUNTIF(APS,"&gt;"&amp;(--TRIM(LEFT(N101,2))))*5+COUNTIF(APO,"&gt;"&amp;(--TRIM(LEFT(P101,2))))+1,COUNTIF(APD,"&gt;"&amp;(--TRIM(LEFT(R101,2))))+1))</f>
        <v/>
      </c>
      <c r="U101" s="20">
        <f>IF(S101="","",IF(OR((--TRIM(LEFT(N101,2)))&gt;=SThr,S101&gt;=RPNThr,T101="H"),"Yes","No"))</f>
        <v/>
      </c>
      <c r="V101" s="4" t="n"/>
      <c r="W101" s="4" t="n"/>
      <c r="X101" s="4" t="n"/>
      <c r="Y101" s="29" t="n"/>
      <c r="Z101" s="16" t="n"/>
      <c r="AA101" s="16" t="n"/>
      <c r="AB101" s="16" t="n"/>
      <c r="AC101" s="20">
        <f>IF(OR(Z101="",AA101="",AB101=""),"",(--TRIM(LEFT(Z101,2)))*(--TRIM(LEFT(AA101,2)))*(--TRIM(LEFT(AB101,2))))</f>
        <v/>
      </c>
      <c r="AD101" s="20">
        <f>IF(OR(Z101="",AA101="",AB101=""),"",INDEX(APGrid,COUNTIF(APS,"&gt;"&amp;(--TRIM(LEFT(Z101,2))))*5+COUNTIF(APO,"&gt;"&amp;(--TRIM(LEFT(AA101,2))))+1,COUNTIF(APD,"&gt;"&amp;(--TRIM(LEFT(AB101,2))))+1))</f>
        <v/>
      </c>
      <c r="AE101" s="4" t="n"/>
      <c r="AF101" s="4" t="n"/>
      <c r="AH101">
        <f>IFERROR(INDEX(EqTag,_xlfn.AGGREGATE(15,6,(ROW(EqTag)-4)/((EqSys=$D$3)*(EqTag&lt;&gt;"")),ROWS($AH$14:AH101))),"")</f>
        <v/>
      </c>
    </row>
    <row r="102">
      <c r="A102" s="20">
        <f>IF(F102="","",LEFT($D$3,3)&amp;"-"&amp;TEXT(COUNTIF(F$14:F102,"?*"),"00"))</f>
        <v/>
      </c>
      <c r="B102" s="4" t="n"/>
      <c r="C102" s="5">
        <f>IF(B102="","",IFERROR(INDEX(EqTypeCol,MATCH(B102,EqTag,0)),"Tag not in register"))</f>
        <v/>
      </c>
      <c r="D102" s="4" t="n"/>
      <c r="E102" s="4" t="n"/>
      <c r="F102" s="4" t="n"/>
      <c r="G102" s="4" t="n"/>
      <c r="H102" s="4" t="n"/>
      <c r="I102" s="4" t="n"/>
      <c r="J102" s="5">
        <f>_xlfn.TEXTJOIN(CHAR(10),TRUE,IF(G102="","","• "&amp;G102),IF(H102="","","• "&amp;H102),IF(I102="","","• "&amp;I102))</f>
        <v/>
      </c>
      <c r="K102" s="4" t="n"/>
      <c r="L102" s="4" t="n"/>
      <c r="M102" s="4" t="n"/>
      <c r="N102" s="16" t="n"/>
      <c r="O102" s="4" t="n"/>
      <c r="P102" s="16" t="n"/>
      <c r="Q102" s="4" t="n"/>
      <c r="R102" s="16" t="n"/>
      <c r="S102" s="20">
        <f>IF(OR(N102="",P102="",R102=""),"",(--TRIM(LEFT(N102,2)))*(--TRIM(LEFT(P102,2)))*(--TRIM(LEFT(R102,2))))</f>
        <v/>
      </c>
      <c r="T102" s="20">
        <f>IF(OR(N102="",P102="",R102=""),"",INDEX(APGrid,COUNTIF(APS,"&gt;"&amp;(--TRIM(LEFT(N102,2))))*5+COUNTIF(APO,"&gt;"&amp;(--TRIM(LEFT(P102,2))))+1,COUNTIF(APD,"&gt;"&amp;(--TRIM(LEFT(R102,2))))+1))</f>
        <v/>
      </c>
      <c r="U102" s="20">
        <f>IF(S102="","",IF(OR((--TRIM(LEFT(N102,2)))&gt;=SThr,S102&gt;=RPNThr,T102="H"),"Yes","No"))</f>
        <v/>
      </c>
      <c r="V102" s="4" t="n"/>
      <c r="W102" s="4" t="n"/>
      <c r="X102" s="4" t="n"/>
      <c r="Y102" s="29" t="n"/>
      <c r="Z102" s="16" t="n"/>
      <c r="AA102" s="16" t="n"/>
      <c r="AB102" s="16" t="n"/>
      <c r="AC102" s="20">
        <f>IF(OR(Z102="",AA102="",AB102=""),"",(--TRIM(LEFT(Z102,2)))*(--TRIM(LEFT(AA102,2)))*(--TRIM(LEFT(AB102,2))))</f>
        <v/>
      </c>
      <c r="AD102" s="20">
        <f>IF(OR(Z102="",AA102="",AB102=""),"",INDEX(APGrid,COUNTIF(APS,"&gt;"&amp;(--TRIM(LEFT(Z102,2))))*5+COUNTIF(APO,"&gt;"&amp;(--TRIM(LEFT(AA102,2))))+1,COUNTIF(APD,"&gt;"&amp;(--TRIM(LEFT(AB102,2))))+1))</f>
        <v/>
      </c>
      <c r="AE102" s="4" t="n"/>
      <c r="AF102" s="4" t="n"/>
      <c r="AH102">
        <f>IFERROR(INDEX(EqTag,_xlfn.AGGREGATE(15,6,(ROW(EqTag)-4)/((EqSys=$D$3)*(EqTag&lt;&gt;"")),ROWS($AH$14:AH102))),"")</f>
        <v/>
      </c>
    </row>
    <row r="103">
      <c r="A103" s="20">
        <f>IF(F103="","",LEFT($D$3,3)&amp;"-"&amp;TEXT(COUNTIF(F$14:F103,"?*"),"00"))</f>
        <v/>
      </c>
      <c r="B103" s="4" t="n"/>
      <c r="C103" s="5">
        <f>IF(B103="","",IFERROR(INDEX(EqTypeCol,MATCH(B103,EqTag,0)),"Tag not in register"))</f>
        <v/>
      </c>
      <c r="D103" s="4" t="n"/>
      <c r="E103" s="4" t="n"/>
      <c r="F103" s="4" t="n"/>
      <c r="G103" s="4" t="n"/>
      <c r="H103" s="4" t="n"/>
      <c r="I103" s="4" t="n"/>
      <c r="J103" s="5">
        <f>_xlfn.TEXTJOIN(CHAR(10),TRUE,IF(G103="","","• "&amp;G103),IF(H103="","","• "&amp;H103),IF(I103="","","• "&amp;I103))</f>
        <v/>
      </c>
      <c r="K103" s="4" t="n"/>
      <c r="L103" s="4" t="n"/>
      <c r="M103" s="4" t="n"/>
      <c r="N103" s="16" t="n"/>
      <c r="O103" s="4" t="n"/>
      <c r="P103" s="16" t="n"/>
      <c r="Q103" s="4" t="n"/>
      <c r="R103" s="16" t="n"/>
      <c r="S103" s="20">
        <f>IF(OR(N103="",P103="",R103=""),"",(--TRIM(LEFT(N103,2)))*(--TRIM(LEFT(P103,2)))*(--TRIM(LEFT(R103,2))))</f>
        <v/>
      </c>
      <c r="T103" s="20">
        <f>IF(OR(N103="",P103="",R103=""),"",INDEX(APGrid,COUNTIF(APS,"&gt;"&amp;(--TRIM(LEFT(N103,2))))*5+COUNTIF(APO,"&gt;"&amp;(--TRIM(LEFT(P103,2))))+1,COUNTIF(APD,"&gt;"&amp;(--TRIM(LEFT(R103,2))))+1))</f>
        <v/>
      </c>
      <c r="U103" s="20">
        <f>IF(S103="","",IF(OR((--TRIM(LEFT(N103,2)))&gt;=SThr,S103&gt;=RPNThr,T103="H"),"Yes","No"))</f>
        <v/>
      </c>
      <c r="V103" s="4" t="n"/>
      <c r="W103" s="4" t="n"/>
      <c r="X103" s="4" t="n"/>
      <c r="Y103" s="29" t="n"/>
      <c r="Z103" s="16" t="n"/>
      <c r="AA103" s="16" t="n"/>
      <c r="AB103" s="16" t="n"/>
      <c r="AC103" s="20">
        <f>IF(OR(Z103="",AA103="",AB103=""),"",(--TRIM(LEFT(Z103,2)))*(--TRIM(LEFT(AA103,2)))*(--TRIM(LEFT(AB103,2))))</f>
        <v/>
      </c>
      <c r="AD103" s="20">
        <f>IF(OR(Z103="",AA103="",AB103=""),"",INDEX(APGrid,COUNTIF(APS,"&gt;"&amp;(--TRIM(LEFT(Z103,2))))*5+COUNTIF(APO,"&gt;"&amp;(--TRIM(LEFT(AA103,2))))+1,COUNTIF(APD,"&gt;"&amp;(--TRIM(LEFT(AB103,2))))+1))</f>
        <v/>
      </c>
      <c r="AE103" s="4" t="n"/>
      <c r="AF103" s="4" t="n"/>
      <c r="AH103">
        <f>IFERROR(INDEX(EqTag,_xlfn.AGGREGATE(15,6,(ROW(EqTag)-4)/((EqSys=$D$3)*(EqTag&lt;&gt;"")),ROWS($AH$14:AH103))),"")</f>
        <v/>
      </c>
    </row>
    <row r="104">
      <c r="A104" s="20">
        <f>IF(F104="","",LEFT($D$3,3)&amp;"-"&amp;TEXT(COUNTIF(F$14:F104,"?*"),"00"))</f>
        <v/>
      </c>
      <c r="B104" s="4" t="n"/>
      <c r="C104" s="5">
        <f>IF(B104="","",IFERROR(INDEX(EqTypeCol,MATCH(B104,EqTag,0)),"Tag not in register"))</f>
        <v/>
      </c>
      <c r="D104" s="4" t="n"/>
      <c r="E104" s="4" t="n"/>
      <c r="F104" s="4" t="n"/>
      <c r="G104" s="4" t="n"/>
      <c r="H104" s="4" t="n"/>
      <c r="I104" s="4" t="n"/>
      <c r="J104" s="5">
        <f>_xlfn.TEXTJOIN(CHAR(10),TRUE,IF(G104="","","• "&amp;G104),IF(H104="","","• "&amp;H104),IF(I104="","","• "&amp;I104))</f>
        <v/>
      </c>
      <c r="K104" s="4" t="n"/>
      <c r="L104" s="4" t="n"/>
      <c r="M104" s="4" t="n"/>
      <c r="N104" s="16" t="n"/>
      <c r="O104" s="4" t="n"/>
      <c r="P104" s="16" t="n"/>
      <c r="Q104" s="4" t="n"/>
      <c r="R104" s="16" t="n"/>
      <c r="S104" s="20">
        <f>IF(OR(N104="",P104="",R104=""),"",(--TRIM(LEFT(N104,2)))*(--TRIM(LEFT(P104,2)))*(--TRIM(LEFT(R104,2))))</f>
        <v/>
      </c>
      <c r="T104" s="20">
        <f>IF(OR(N104="",P104="",R104=""),"",INDEX(APGrid,COUNTIF(APS,"&gt;"&amp;(--TRIM(LEFT(N104,2))))*5+COUNTIF(APO,"&gt;"&amp;(--TRIM(LEFT(P104,2))))+1,COUNTIF(APD,"&gt;"&amp;(--TRIM(LEFT(R104,2))))+1))</f>
        <v/>
      </c>
      <c r="U104" s="20">
        <f>IF(S104="","",IF(OR((--TRIM(LEFT(N104,2)))&gt;=SThr,S104&gt;=RPNThr,T104="H"),"Yes","No"))</f>
        <v/>
      </c>
      <c r="V104" s="4" t="n"/>
      <c r="W104" s="4" t="n"/>
      <c r="X104" s="4" t="n"/>
      <c r="Y104" s="29" t="n"/>
      <c r="Z104" s="16" t="n"/>
      <c r="AA104" s="16" t="n"/>
      <c r="AB104" s="16" t="n"/>
      <c r="AC104" s="20">
        <f>IF(OR(Z104="",AA104="",AB104=""),"",(--TRIM(LEFT(Z104,2)))*(--TRIM(LEFT(AA104,2)))*(--TRIM(LEFT(AB104,2))))</f>
        <v/>
      </c>
      <c r="AD104" s="20">
        <f>IF(OR(Z104="",AA104="",AB104=""),"",INDEX(APGrid,COUNTIF(APS,"&gt;"&amp;(--TRIM(LEFT(Z104,2))))*5+COUNTIF(APO,"&gt;"&amp;(--TRIM(LEFT(AA104,2))))+1,COUNTIF(APD,"&gt;"&amp;(--TRIM(LEFT(AB104,2))))+1))</f>
        <v/>
      </c>
      <c r="AE104" s="4" t="n"/>
      <c r="AF104" s="4" t="n"/>
      <c r="AH104">
        <f>IFERROR(INDEX(EqTag,_xlfn.AGGREGATE(15,6,(ROW(EqTag)-4)/((EqSys=$D$3)*(EqTag&lt;&gt;"")),ROWS($AH$14:AH104))),"")</f>
        <v/>
      </c>
    </row>
    <row r="105">
      <c r="A105" s="20">
        <f>IF(F105="","",LEFT($D$3,3)&amp;"-"&amp;TEXT(COUNTIF(F$14:F105,"?*"),"00"))</f>
        <v/>
      </c>
      <c r="B105" s="4" t="n"/>
      <c r="C105" s="5">
        <f>IF(B105="","",IFERROR(INDEX(EqTypeCol,MATCH(B105,EqTag,0)),"Tag not in register"))</f>
        <v/>
      </c>
      <c r="D105" s="4" t="n"/>
      <c r="E105" s="4" t="n"/>
      <c r="F105" s="4" t="n"/>
      <c r="G105" s="4" t="n"/>
      <c r="H105" s="4" t="n"/>
      <c r="I105" s="4" t="n"/>
      <c r="J105" s="5">
        <f>_xlfn.TEXTJOIN(CHAR(10),TRUE,IF(G105="","","• "&amp;G105),IF(H105="","","• "&amp;H105),IF(I105="","","• "&amp;I105))</f>
        <v/>
      </c>
      <c r="K105" s="4" t="n"/>
      <c r="L105" s="4" t="n"/>
      <c r="M105" s="4" t="n"/>
      <c r="N105" s="16" t="n"/>
      <c r="O105" s="4" t="n"/>
      <c r="P105" s="16" t="n"/>
      <c r="Q105" s="4" t="n"/>
      <c r="R105" s="16" t="n"/>
      <c r="S105" s="20">
        <f>IF(OR(N105="",P105="",R105=""),"",(--TRIM(LEFT(N105,2)))*(--TRIM(LEFT(P105,2)))*(--TRIM(LEFT(R105,2))))</f>
        <v/>
      </c>
      <c r="T105" s="20">
        <f>IF(OR(N105="",P105="",R105=""),"",INDEX(APGrid,COUNTIF(APS,"&gt;"&amp;(--TRIM(LEFT(N105,2))))*5+COUNTIF(APO,"&gt;"&amp;(--TRIM(LEFT(P105,2))))+1,COUNTIF(APD,"&gt;"&amp;(--TRIM(LEFT(R105,2))))+1))</f>
        <v/>
      </c>
      <c r="U105" s="20">
        <f>IF(S105="","",IF(OR((--TRIM(LEFT(N105,2)))&gt;=SThr,S105&gt;=RPNThr,T105="H"),"Yes","No"))</f>
        <v/>
      </c>
      <c r="V105" s="4" t="n"/>
      <c r="W105" s="4" t="n"/>
      <c r="X105" s="4" t="n"/>
      <c r="Y105" s="29" t="n"/>
      <c r="Z105" s="16" t="n"/>
      <c r="AA105" s="16" t="n"/>
      <c r="AB105" s="16" t="n"/>
      <c r="AC105" s="20">
        <f>IF(OR(Z105="",AA105="",AB105=""),"",(--TRIM(LEFT(Z105,2)))*(--TRIM(LEFT(AA105,2)))*(--TRIM(LEFT(AB105,2))))</f>
        <v/>
      </c>
      <c r="AD105" s="20">
        <f>IF(OR(Z105="",AA105="",AB105=""),"",INDEX(APGrid,COUNTIF(APS,"&gt;"&amp;(--TRIM(LEFT(Z105,2))))*5+COUNTIF(APO,"&gt;"&amp;(--TRIM(LEFT(AA105,2))))+1,COUNTIF(APD,"&gt;"&amp;(--TRIM(LEFT(AB105,2))))+1))</f>
        <v/>
      </c>
      <c r="AE105" s="4" t="n"/>
      <c r="AF105" s="4" t="n"/>
      <c r="AH105">
        <f>IFERROR(INDEX(EqTag,_xlfn.AGGREGATE(15,6,(ROW(EqTag)-4)/((EqSys=$D$3)*(EqTag&lt;&gt;"")),ROWS($AH$14:AH105))),"")</f>
        <v/>
      </c>
    </row>
    <row r="106">
      <c r="A106" s="20">
        <f>IF(F106="","",LEFT($D$3,3)&amp;"-"&amp;TEXT(COUNTIF(F$14:F106,"?*"),"00"))</f>
        <v/>
      </c>
      <c r="B106" s="4" t="n"/>
      <c r="C106" s="5">
        <f>IF(B106="","",IFERROR(INDEX(EqTypeCol,MATCH(B106,EqTag,0)),"Tag not in register"))</f>
        <v/>
      </c>
      <c r="D106" s="4" t="n"/>
      <c r="E106" s="4" t="n"/>
      <c r="F106" s="4" t="n"/>
      <c r="G106" s="4" t="n"/>
      <c r="H106" s="4" t="n"/>
      <c r="I106" s="4" t="n"/>
      <c r="J106" s="5">
        <f>_xlfn.TEXTJOIN(CHAR(10),TRUE,IF(G106="","","• "&amp;G106),IF(H106="","","• "&amp;H106),IF(I106="","","• "&amp;I106))</f>
        <v/>
      </c>
      <c r="K106" s="4" t="n"/>
      <c r="L106" s="4" t="n"/>
      <c r="M106" s="4" t="n"/>
      <c r="N106" s="16" t="n"/>
      <c r="O106" s="4" t="n"/>
      <c r="P106" s="16" t="n"/>
      <c r="Q106" s="4" t="n"/>
      <c r="R106" s="16" t="n"/>
      <c r="S106" s="20">
        <f>IF(OR(N106="",P106="",R106=""),"",(--TRIM(LEFT(N106,2)))*(--TRIM(LEFT(P106,2)))*(--TRIM(LEFT(R106,2))))</f>
        <v/>
      </c>
      <c r="T106" s="20">
        <f>IF(OR(N106="",P106="",R106=""),"",INDEX(APGrid,COUNTIF(APS,"&gt;"&amp;(--TRIM(LEFT(N106,2))))*5+COUNTIF(APO,"&gt;"&amp;(--TRIM(LEFT(P106,2))))+1,COUNTIF(APD,"&gt;"&amp;(--TRIM(LEFT(R106,2))))+1))</f>
        <v/>
      </c>
      <c r="U106" s="20">
        <f>IF(S106="","",IF(OR((--TRIM(LEFT(N106,2)))&gt;=SThr,S106&gt;=RPNThr,T106="H"),"Yes","No"))</f>
        <v/>
      </c>
      <c r="V106" s="4" t="n"/>
      <c r="W106" s="4" t="n"/>
      <c r="X106" s="4" t="n"/>
      <c r="Y106" s="29" t="n"/>
      <c r="Z106" s="16" t="n"/>
      <c r="AA106" s="16" t="n"/>
      <c r="AB106" s="16" t="n"/>
      <c r="AC106" s="20">
        <f>IF(OR(Z106="",AA106="",AB106=""),"",(--TRIM(LEFT(Z106,2)))*(--TRIM(LEFT(AA106,2)))*(--TRIM(LEFT(AB106,2))))</f>
        <v/>
      </c>
      <c r="AD106" s="20">
        <f>IF(OR(Z106="",AA106="",AB106=""),"",INDEX(APGrid,COUNTIF(APS,"&gt;"&amp;(--TRIM(LEFT(Z106,2))))*5+COUNTIF(APO,"&gt;"&amp;(--TRIM(LEFT(AA106,2))))+1,COUNTIF(APD,"&gt;"&amp;(--TRIM(LEFT(AB106,2))))+1))</f>
        <v/>
      </c>
      <c r="AE106" s="4" t="n"/>
      <c r="AF106" s="4" t="n"/>
      <c r="AH106">
        <f>IFERROR(INDEX(EqTag,_xlfn.AGGREGATE(15,6,(ROW(EqTag)-4)/((EqSys=$D$3)*(EqTag&lt;&gt;"")),ROWS($AH$14:AH106))),"")</f>
        <v/>
      </c>
    </row>
    <row r="107">
      <c r="A107" s="20">
        <f>IF(F107="","",LEFT($D$3,3)&amp;"-"&amp;TEXT(COUNTIF(F$14:F107,"?*"),"00"))</f>
        <v/>
      </c>
      <c r="B107" s="4" t="n"/>
      <c r="C107" s="5">
        <f>IF(B107="","",IFERROR(INDEX(EqTypeCol,MATCH(B107,EqTag,0)),"Tag not in register"))</f>
        <v/>
      </c>
      <c r="D107" s="4" t="n"/>
      <c r="E107" s="4" t="n"/>
      <c r="F107" s="4" t="n"/>
      <c r="G107" s="4" t="n"/>
      <c r="H107" s="4" t="n"/>
      <c r="I107" s="4" t="n"/>
      <c r="J107" s="5">
        <f>_xlfn.TEXTJOIN(CHAR(10),TRUE,IF(G107="","","• "&amp;G107),IF(H107="","","• "&amp;H107),IF(I107="","","• "&amp;I107))</f>
        <v/>
      </c>
      <c r="K107" s="4" t="n"/>
      <c r="L107" s="4" t="n"/>
      <c r="M107" s="4" t="n"/>
      <c r="N107" s="16" t="n"/>
      <c r="O107" s="4" t="n"/>
      <c r="P107" s="16" t="n"/>
      <c r="Q107" s="4" t="n"/>
      <c r="R107" s="16" t="n"/>
      <c r="S107" s="20">
        <f>IF(OR(N107="",P107="",R107=""),"",(--TRIM(LEFT(N107,2)))*(--TRIM(LEFT(P107,2)))*(--TRIM(LEFT(R107,2))))</f>
        <v/>
      </c>
      <c r="T107" s="20">
        <f>IF(OR(N107="",P107="",R107=""),"",INDEX(APGrid,COUNTIF(APS,"&gt;"&amp;(--TRIM(LEFT(N107,2))))*5+COUNTIF(APO,"&gt;"&amp;(--TRIM(LEFT(P107,2))))+1,COUNTIF(APD,"&gt;"&amp;(--TRIM(LEFT(R107,2))))+1))</f>
        <v/>
      </c>
      <c r="U107" s="20">
        <f>IF(S107="","",IF(OR((--TRIM(LEFT(N107,2)))&gt;=SThr,S107&gt;=RPNThr,T107="H"),"Yes","No"))</f>
        <v/>
      </c>
      <c r="V107" s="4" t="n"/>
      <c r="W107" s="4" t="n"/>
      <c r="X107" s="4" t="n"/>
      <c r="Y107" s="29" t="n"/>
      <c r="Z107" s="16" t="n"/>
      <c r="AA107" s="16" t="n"/>
      <c r="AB107" s="16" t="n"/>
      <c r="AC107" s="20">
        <f>IF(OR(Z107="",AA107="",AB107=""),"",(--TRIM(LEFT(Z107,2)))*(--TRIM(LEFT(AA107,2)))*(--TRIM(LEFT(AB107,2))))</f>
        <v/>
      </c>
      <c r="AD107" s="20">
        <f>IF(OR(Z107="",AA107="",AB107=""),"",INDEX(APGrid,COUNTIF(APS,"&gt;"&amp;(--TRIM(LEFT(Z107,2))))*5+COUNTIF(APO,"&gt;"&amp;(--TRIM(LEFT(AA107,2))))+1,COUNTIF(APD,"&gt;"&amp;(--TRIM(LEFT(AB107,2))))+1))</f>
        <v/>
      </c>
      <c r="AE107" s="4" t="n"/>
      <c r="AF107" s="4" t="n"/>
      <c r="AH107">
        <f>IFERROR(INDEX(EqTag,_xlfn.AGGREGATE(15,6,(ROW(EqTag)-4)/((EqSys=$D$3)*(EqTag&lt;&gt;"")),ROWS($AH$14:AH107))),"")</f>
        <v/>
      </c>
    </row>
    <row r="108">
      <c r="A108" s="20">
        <f>IF(F108="","",LEFT($D$3,3)&amp;"-"&amp;TEXT(COUNTIF(F$14:F108,"?*"),"00"))</f>
        <v/>
      </c>
      <c r="B108" s="4" t="n"/>
      <c r="C108" s="5">
        <f>IF(B108="","",IFERROR(INDEX(EqTypeCol,MATCH(B108,EqTag,0)),"Tag not in register"))</f>
        <v/>
      </c>
      <c r="D108" s="4" t="n"/>
      <c r="E108" s="4" t="n"/>
      <c r="F108" s="4" t="n"/>
      <c r="G108" s="4" t="n"/>
      <c r="H108" s="4" t="n"/>
      <c r="I108" s="4" t="n"/>
      <c r="J108" s="5">
        <f>_xlfn.TEXTJOIN(CHAR(10),TRUE,IF(G108="","","• "&amp;G108),IF(H108="","","• "&amp;H108),IF(I108="","","• "&amp;I108))</f>
        <v/>
      </c>
      <c r="K108" s="4" t="n"/>
      <c r="L108" s="4" t="n"/>
      <c r="M108" s="4" t="n"/>
      <c r="N108" s="16" t="n"/>
      <c r="O108" s="4" t="n"/>
      <c r="P108" s="16" t="n"/>
      <c r="Q108" s="4" t="n"/>
      <c r="R108" s="16" t="n"/>
      <c r="S108" s="20">
        <f>IF(OR(N108="",P108="",R108=""),"",(--TRIM(LEFT(N108,2)))*(--TRIM(LEFT(P108,2)))*(--TRIM(LEFT(R108,2))))</f>
        <v/>
      </c>
      <c r="T108" s="20">
        <f>IF(OR(N108="",P108="",R108=""),"",INDEX(APGrid,COUNTIF(APS,"&gt;"&amp;(--TRIM(LEFT(N108,2))))*5+COUNTIF(APO,"&gt;"&amp;(--TRIM(LEFT(P108,2))))+1,COUNTIF(APD,"&gt;"&amp;(--TRIM(LEFT(R108,2))))+1))</f>
        <v/>
      </c>
      <c r="U108" s="20">
        <f>IF(S108="","",IF(OR((--TRIM(LEFT(N108,2)))&gt;=SThr,S108&gt;=RPNThr,T108="H"),"Yes","No"))</f>
        <v/>
      </c>
      <c r="V108" s="4" t="n"/>
      <c r="W108" s="4" t="n"/>
      <c r="X108" s="4" t="n"/>
      <c r="Y108" s="29" t="n"/>
      <c r="Z108" s="16" t="n"/>
      <c r="AA108" s="16" t="n"/>
      <c r="AB108" s="16" t="n"/>
      <c r="AC108" s="20">
        <f>IF(OR(Z108="",AA108="",AB108=""),"",(--TRIM(LEFT(Z108,2)))*(--TRIM(LEFT(AA108,2)))*(--TRIM(LEFT(AB108,2))))</f>
        <v/>
      </c>
      <c r="AD108" s="20">
        <f>IF(OR(Z108="",AA108="",AB108=""),"",INDEX(APGrid,COUNTIF(APS,"&gt;"&amp;(--TRIM(LEFT(Z108,2))))*5+COUNTIF(APO,"&gt;"&amp;(--TRIM(LEFT(AA108,2))))+1,COUNTIF(APD,"&gt;"&amp;(--TRIM(LEFT(AB108,2))))+1))</f>
        <v/>
      </c>
      <c r="AE108" s="4" t="n"/>
      <c r="AF108" s="4" t="n"/>
      <c r="AH108">
        <f>IFERROR(INDEX(EqTag,_xlfn.AGGREGATE(15,6,(ROW(EqTag)-4)/((EqSys=$D$3)*(EqTag&lt;&gt;"")),ROWS($AH$14:AH108))),"")</f>
        <v/>
      </c>
    </row>
    <row r="109">
      <c r="A109" s="20">
        <f>IF(F109="","",LEFT($D$3,3)&amp;"-"&amp;TEXT(COUNTIF(F$14:F109,"?*"),"00"))</f>
        <v/>
      </c>
      <c r="B109" s="4" t="n"/>
      <c r="C109" s="5">
        <f>IF(B109="","",IFERROR(INDEX(EqTypeCol,MATCH(B109,EqTag,0)),"Tag not in register"))</f>
        <v/>
      </c>
      <c r="D109" s="4" t="n"/>
      <c r="E109" s="4" t="n"/>
      <c r="F109" s="4" t="n"/>
      <c r="G109" s="4" t="n"/>
      <c r="H109" s="4" t="n"/>
      <c r="I109" s="4" t="n"/>
      <c r="J109" s="5">
        <f>_xlfn.TEXTJOIN(CHAR(10),TRUE,IF(G109="","","• "&amp;G109),IF(H109="","","• "&amp;H109),IF(I109="","","• "&amp;I109))</f>
        <v/>
      </c>
      <c r="K109" s="4" t="n"/>
      <c r="L109" s="4" t="n"/>
      <c r="M109" s="4" t="n"/>
      <c r="N109" s="16" t="n"/>
      <c r="O109" s="4" t="n"/>
      <c r="P109" s="16" t="n"/>
      <c r="Q109" s="4" t="n"/>
      <c r="R109" s="16" t="n"/>
      <c r="S109" s="20">
        <f>IF(OR(N109="",P109="",R109=""),"",(--TRIM(LEFT(N109,2)))*(--TRIM(LEFT(P109,2)))*(--TRIM(LEFT(R109,2))))</f>
        <v/>
      </c>
      <c r="T109" s="20">
        <f>IF(OR(N109="",P109="",R109=""),"",INDEX(APGrid,COUNTIF(APS,"&gt;"&amp;(--TRIM(LEFT(N109,2))))*5+COUNTIF(APO,"&gt;"&amp;(--TRIM(LEFT(P109,2))))+1,COUNTIF(APD,"&gt;"&amp;(--TRIM(LEFT(R109,2))))+1))</f>
        <v/>
      </c>
      <c r="U109" s="20">
        <f>IF(S109="","",IF(OR((--TRIM(LEFT(N109,2)))&gt;=SThr,S109&gt;=RPNThr,T109="H"),"Yes","No"))</f>
        <v/>
      </c>
      <c r="V109" s="4" t="n"/>
      <c r="W109" s="4" t="n"/>
      <c r="X109" s="4" t="n"/>
      <c r="Y109" s="29" t="n"/>
      <c r="Z109" s="16" t="n"/>
      <c r="AA109" s="16" t="n"/>
      <c r="AB109" s="16" t="n"/>
      <c r="AC109" s="20">
        <f>IF(OR(Z109="",AA109="",AB109=""),"",(--TRIM(LEFT(Z109,2)))*(--TRIM(LEFT(AA109,2)))*(--TRIM(LEFT(AB109,2))))</f>
        <v/>
      </c>
      <c r="AD109" s="20">
        <f>IF(OR(Z109="",AA109="",AB109=""),"",INDEX(APGrid,COUNTIF(APS,"&gt;"&amp;(--TRIM(LEFT(Z109,2))))*5+COUNTIF(APO,"&gt;"&amp;(--TRIM(LEFT(AA109,2))))+1,COUNTIF(APD,"&gt;"&amp;(--TRIM(LEFT(AB109,2))))+1))</f>
        <v/>
      </c>
      <c r="AE109" s="4" t="n"/>
      <c r="AF109" s="4" t="n"/>
      <c r="AH109">
        <f>IFERROR(INDEX(EqTag,_xlfn.AGGREGATE(15,6,(ROW(EqTag)-4)/((EqSys=$D$3)*(EqTag&lt;&gt;"")),ROWS($AH$14:AH109))),"")</f>
        <v/>
      </c>
    </row>
    <row r="110">
      <c r="A110" s="20">
        <f>IF(F110="","",LEFT($D$3,3)&amp;"-"&amp;TEXT(COUNTIF(F$14:F110,"?*"),"00"))</f>
        <v/>
      </c>
      <c r="B110" s="4" t="n"/>
      <c r="C110" s="5">
        <f>IF(B110="","",IFERROR(INDEX(EqTypeCol,MATCH(B110,EqTag,0)),"Tag not in register"))</f>
        <v/>
      </c>
      <c r="D110" s="4" t="n"/>
      <c r="E110" s="4" t="n"/>
      <c r="F110" s="4" t="n"/>
      <c r="G110" s="4" t="n"/>
      <c r="H110" s="4" t="n"/>
      <c r="I110" s="4" t="n"/>
      <c r="J110" s="5">
        <f>_xlfn.TEXTJOIN(CHAR(10),TRUE,IF(G110="","","• "&amp;G110),IF(H110="","","• "&amp;H110),IF(I110="","","• "&amp;I110))</f>
        <v/>
      </c>
      <c r="K110" s="4" t="n"/>
      <c r="L110" s="4" t="n"/>
      <c r="M110" s="4" t="n"/>
      <c r="N110" s="16" t="n"/>
      <c r="O110" s="4" t="n"/>
      <c r="P110" s="16" t="n"/>
      <c r="Q110" s="4" t="n"/>
      <c r="R110" s="16" t="n"/>
      <c r="S110" s="20">
        <f>IF(OR(N110="",P110="",R110=""),"",(--TRIM(LEFT(N110,2)))*(--TRIM(LEFT(P110,2)))*(--TRIM(LEFT(R110,2))))</f>
        <v/>
      </c>
      <c r="T110" s="20">
        <f>IF(OR(N110="",P110="",R110=""),"",INDEX(APGrid,COUNTIF(APS,"&gt;"&amp;(--TRIM(LEFT(N110,2))))*5+COUNTIF(APO,"&gt;"&amp;(--TRIM(LEFT(P110,2))))+1,COUNTIF(APD,"&gt;"&amp;(--TRIM(LEFT(R110,2))))+1))</f>
        <v/>
      </c>
      <c r="U110" s="20">
        <f>IF(S110="","",IF(OR((--TRIM(LEFT(N110,2)))&gt;=SThr,S110&gt;=RPNThr,T110="H"),"Yes","No"))</f>
        <v/>
      </c>
      <c r="V110" s="4" t="n"/>
      <c r="W110" s="4" t="n"/>
      <c r="X110" s="4" t="n"/>
      <c r="Y110" s="29" t="n"/>
      <c r="Z110" s="16" t="n"/>
      <c r="AA110" s="16" t="n"/>
      <c r="AB110" s="16" t="n"/>
      <c r="AC110" s="20">
        <f>IF(OR(Z110="",AA110="",AB110=""),"",(--TRIM(LEFT(Z110,2)))*(--TRIM(LEFT(AA110,2)))*(--TRIM(LEFT(AB110,2))))</f>
        <v/>
      </c>
      <c r="AD110" s="20">
        <f>IF(OR(Z110="",AA110="",AB110=""),"",INDEX(APGrid,COUNTIF(APS,"&gt;"&amp;(--TRIM(LEFT(Z110,2))))*5+COUNTIF(APO,"&gt;"&amp;(--TRIM(LEFT(AA110,2))))+1,COUNTIF(APD,"&gt;"&amp;(--TRIM(LEFT(AB110,2))))+1))</f>
        <v/>
      </c>
      <c r="AE110" s="4" t="n"/>
      <c r="AF110" s="4" t="n"/>
      <c r="AH110">
        <f>IFERROR(INDEX(EqTag,_xlfn.AGGREGATE(15,6,(ROW(EqTag)-4)/((EqSys=$D$3)*(EqTag&lt;&gt;"")),ROWS($AH$14:AH110))),"")</f>
        <v/>
      </c>
    </row>
    <row r="111">
      <c r="A111" s="20">
        <f>IF(F111="","",LEFT($D$3,3)&amp;"-"&amp;TEXT(COUNTIF(F$14:F111,"?*"),"00"))</f>
        <v/>
      </c>
      <c r="B111" s="4" t="n"/>
      <c r="C111" s="5">
        <f>IF(B111="","",IFERROR(INDEX(EqTypeCol,MATCH(B111,EqTag,0)),"Tag not in register"))</f>
        <v/>
      </c>
      <c r="D111" s="4" t="n"/>
      <c r="E111" s="4" t="n"/>
      <c r="F111" s="4" t="n"/>
      <c r="G111" s="4" t="n"/>
      <c r="H111" s="4" t="n"/>
      <c r="I111" s="4" t="n"/>
      <c r="J111" s="5">
        <f>_xlfn.TEXTJOIN(CHAR(10),TRUE,IF(G111="","","• "&amp;G111),IF(H111="","","• "&amp;H111),IF(I111="","","• "&amp;I111))</f>
        <v/>
      </c>
      <c r="K111" s="4" t="n"/>
      <c r="L111" s="4" t="n"/>
      <c r="M111" s="4" t="n"/>
      <c r="N111" s="16" t="n"/>
      <c r="O111" s="4" t="n"/>
      <c r="P111" s="16" t="n"/>
      <c r="Q111" s="4" t="n"/>
      <c r="R111" s="16" t="n"/>
      <c r="S111" s="20">
        <f>IF(OR(N111="",P111="",R111=""),"",(--TRIM(LEFT(N111,2)))*(--TRIM(LEFT(P111,2)))*(--TRIM(LEFT(R111,2))))</f>
        <v/>
      </c>
      <c r="T111" s="20">
        <f>IF(OR(N111="",P111="",R111=""),"",INDEX(APGrid,COUNTIF(APS,"&gt;"&amp;(--TRIM(LEFT(N111,2))))*5+COUNTIF(APO,"&gt;"&amp;(--TRIM(LEFT(P111,2))))+1,COUNTIF(APD,"&gt;"&amp;(--TRIM(LEFT(R111,2))))+1))</f>
        <v/>
      </c>
      <c r="U111" s="20">
        <f>IF(S111="","",IF(OR((--TRIM(LEFT(N111,2)))&gt;=SThr,S111&gt;=RPNThr,T111="H"),"Yes","No"))</f>
        <v/>
      </c>
      <c r="V111" s="4" t="n"/>
      <c r="W111" s="4" t="n"/>
      <c r="X111" s="4" t="n"/>
      <c r="Y111" s="29" t="n"/>
      <c r="Z111" s="16" t="n"/>
      <c r="AA111" s="16" t="n"/>
      <c r="AB111" s="16" t="n"/>
      <c r="AC111" s="20">
        <f>IF(OR(Z111="",AA111="",AB111=""),"",(--TRIM(LEFT(Z111,2)))*(--TRIM(LEFT(AA111,2)))*(--TRIM(LEFT(AB111,2))))</f>
        <v/>
      </c>
      <c r="AD111" s="20">
        <f>IF(OR(Z111="",AA111="",AB111=""),"",INDEX(APGrid,COUNTIF(APS,"&gt;"&amp;(--TRIM(LEFT(Z111,2))))*5+COUNTIF(APO,"&gt;"&amp;(--TRIM(LEFT(AA111,2))))+1,COUNTIF(APD,"&gt;"&amp;(--TRIM(LEFT(AB111,2))))+1))</f>
        <v/>
      </c>
      <c r="AE111" s="4" t="n"/>
      <c r="AF111" s="4" t="n"/>
      <c r="AH111">
        <f>IFERROR(INDEX(EqTag,_xlfn.AGGREGATE(15,6,(ROW(EqTag)-4)/((EqSys=$D$3)*(EqTag&lt;&gt;"")),ROWS($AH$14:AH111))),"")</f>
        <v/>
      </c>
    </row>
    <row r="112">
      <c r="A112" s="20">
        <f>IF(F112="","",LEFT($D$3,3)&amp;"-"&amp;TEXT(COUNTIF(F$14:F112,"?*"),"00"))</f>
        <v/>
      </c>
      <c r="B112" s="4" t="n"/>
      <c r="C112" s="5">
        <f>IF(B112="","",IFERROR(INDEX(EqTypeCol,MATCH(B112,EqTag,0)),"Tag not in register"))</f>
        <v/>
      </c>
      <c r="D112" s="4" t="n"/>
      <c r="E112" s="4" t="n"/>
      <c r="F112" s="4" t="n"/>
      <c r="G112" s="4" t="n"/>
      <c r="H112" s="4" t="n"/>
      <c r="I112" s="4" t="n"/>
      <c r="J112" s="5">
        <f>_xlfn.TEXTJOIN(CHAR(10),TRUE,IF(G112="","","• "&amp;G112),IF(H112="","","• "&amp;H112),IF(I112="","","• "&amp;I112))</f>
        <v/>
      </c>
      <c r="K112" s="4" t="n"/>
      <c r="L112" s="4" t="n"/>
      <c r="M112" s="4" t="n"/>
      <c r="N112" s="16" t="n"/>
      <c r="O112" s="4" t="n"/>
      <c r="P112" s="16" t="n"/>
      <c r="Q112" s="4" t="n"/>
      <c r="R112" s="16" t="n"/>
      <c r="S112" s="20">
        <f>IF(OR(N112="",P112="",R112=""),"",(--TRIM(LEFT(N112,2)))*(--TRIM(LEFT(P112,2)))*(--TRIM(LEFT(R112,2))))</f>
        <v/>
      </c>
      <c r="T112" s="20">
        <f>IF(OR(N112="",P112="",R112=""),"",INDEX(APGrid,COUNTIF(APS,"&gt;"&amp;(--TRIM(LEFT(N112,2))))*5+COUNTIF(APO,"&gt;"&amp;(--TRIM(LEFT(P112,2))))+1,COUNTIF(APD,"&gt;"&amp;(--TRIM(LEFT(R112,2))))+1))</f>
        <v/>
      </c>
      <c r="U112" s="20">
        <f>IF(S112="","",IF(OR((--TRIM(LEFT(N112,2)))&gt;=SThr,S112&gt;=RPNThr,T112="H"),"Yes","No"))</f>
        <v/>
      </c>
      <c r="V112" s="4" t="n"/>
      <c r="W112" s="4" t="n"/>
      <c r="X112" s="4" t="n"/>
      <c r="Y112" s="29" t="n"/>
      <c r="Z112" s="16" t="n"/>
      <c r="AA112" s="16" t="n"/>
      <c r="AB112" s="16" t="n"/>
      <c r="AC112" s="20">
        <f>IF(OR(Z112="",AA112="",AB112=""),"",(--TRIM(LEFT(Z112,2)))*(--TRIM(LEFT(AA112,2)))*(--TRIM(LEFT(AB112,2))))</f>
        <v/>
      </c>
      <c r="AD112" s="20">
        <f>IF(OR(Z112="",AA112="",AB112=""),"",INDEX(APGrid,COUNTIF(APS,"&gt;"&amp;(--TRIM(LEFT(Z112,2))))*5+COUNTIF(APO,"&gt;"&amp;(--TRIM(LEFT(AA112,2))))+1,COUNTIF(APD,"&gt;"&amp;(--TRIM(LEFT(AB112,2))))+1))</f>
        <v/>
      </c>
      <c r="AE112" s="4" t="n"/>
      <c r="AF112" s="4" t="n"/>
      <c r="AH112">
        <f>IFERROR(INDEX(EqTag,_xlfn.AGGREGATE(15,6,(ROW(EqTag)-4)/((EqSys=$D$3)*(EqTag&lt;&gt;"")),ROWS($AH$14:AH112))),"")</f>
        <v/>
      </c>
    </row>
    <row r="113">
      <c r="A113" s="20">
        <f>IF(F113="","",LEFT($D$3,3)&amp;"-"&amp;TEXT(COUNTIF(F$14:F113,"?*"),"00"))</f>
        <v/>
      </c>
      <c r="B113" s="4" t="n"/>
      <c r="C113" s="5">
        <f>IF(B113="","",IFERROR(INDEX(EqTypeCol,MATCH(B113,EqTag,0)),"Tag not in register"))</f>
        <v/>
      </c>
      <c r="D113" s="4" t="n"/>
      <c r="E113" s="4" t="n"/>
      <c r="F113" s="4" t="n"/>
      <c r="G113" s="4" t="n"/>
      <c r="H113" s="4" t="n"/>
      <c r="I113" s="4" t="n"/>
      <c r="J113" s="5">
        <f>_xlfn.TEXTJOIN(CHAR(10),TRUE,IF(G113="","","• "&amp;G113),IF(H113="","","• "&amp;H113),IF(I113="","","• "&amp;I113))</f>
        <v/>
      </c>
      <c r="K113" s="4" t="n"/>
      <c r="L113" s="4" t="n"/>
      <c r="M113" s="4" t="n"/>
      <c r="N113" s="16" t="n"/>
      <c r="O113" s="4" t="n"/>
      <c r="P113" s="16" t="n"/>
      <c r="Q113" s="4" t="n"/>
      <c r="R113" s="16" t="n"/>
      <c r="S113" s="20">
        <f>IF(OR(N113="",P113="",R113=""),"",(--TRIM(LEFT(N113,2)))*(--TRIM(LEFT(P113,2)))*(--TRIM(LEFT(R113,2))))</f>
        <v/>
      </c>
      <c r="T113" s="20">
        <f>IF(OR(N113="",P113="",R113=""),"",INDEX(APGrid,COUNTIF(APS,"&gt;"&amp;(--TRIM(LEFT(N113,2))))*5+COUNTIF(APO,"&gt;"&amp;(--TRIM(LEFT(P113,2))))+1,COUNTIF(APD,"&gt;"&amp;(--TRIM(LEFT(R113,2))))+1))</f>
        <v/>
      </c>
      <c r="U113" s="20">
        <f>IF(S113="","",IF(OR((--TRIM(LEFT(N113,2)))&gt;=SThr,S113&gt;=RPNThr,T113="H"),"Yes","No"))</f>
        <v/>
      </c>
      <c r="V113" s="4" t="n"/>
      <c r="W113" s="4" t="n"/>
      <c r="X113" s="4" t="n"/>
      <c r="Y113" s="29" t="n"/>
      <c r="Z113" s="16" t="n"/>
      <c r="AA113" s="16" t="n"/>
      <c r="AB113" s="16" t="n"/>
      <c r="AC113" s="20">
        <f>IF(OR(Z113="",AA113="",AB113=""),"",(--TRIM(LEFT(Z113,2)))*(--TRIM(LEFT(AA113,2)))*(--TRIM(LEFT(AB113,2))))</f>
        <v/>
      </c>
      <c r="AD113" s="20">
        <f>IF(OR(Z113="",AA113="",AB113=""),"",INDEX(APGrid,COUNTIF(APS,"&gt;"&amp;(--TRIM(LEFT(Z113,2))))*5+COUNTIF(APO,"&gt;"&amp;(--TRIM(LEFT(AA113,2))))+1,COUNTIF(APD,"&gt;"&amp;(--TRIM(LEFT(AB113,2))))+1))</f>
        <v/>
      </c>
      <c r="AE113" s="4" t="n"/>
      <c r="AF113" s="4" t="n"/>
      <c r="AH113">
        <f>IFERROR(INDEX(EqTag,_xlfn.AGGREGATE(15,6,(ROW(EqTag)-4)/((EqSys=$D$3)*(EqTag&lt;&gt;"")),ROWS($AH$14:AH113))),"")</f>
        <v/>
      </c>
    </row>
  </sheetData>
  <mergeCells count="23">
    <mergeCell ref="D3:J3"/>
    <mergeCell ref="J12:M12"/>
    <mergeCell ref="A3:C3"/>
    <mergeCell ref="A11:N11"/>
    <mergeCell ref="A12:F12"/>
    <mergeCell ref="L3:M3"/>
    <mergeCell ref="AE12:AF12"/>
    <mergeCell ref="D6:N6"/>
    <mergeCell ref="A5:C5"/>
    <mergeCell ref="N12:U12"/>
    <mergeCell ref="A8:C8"/>
    <mergeCell ref="V12:Y12"/>
    <mergeCell ref="A4:C4"/>
    <mergeCell ref="Z12:AD12"/>
    <mergeCell ref="D7:N7"/>
    <mergeCell ref="A9:C9"/>
    <mergeCell ref="G12:I12"/>
    <mergeCell ref="D4:N4"/>
    <mergeCell ref="D9:N9"/>
    <mergeCell ref="D8:N8"/>
    <mergeCell ref="A6:C6"/>
    <mergeCell ref="D5:N5"/>
    <mergeCell ref="A7:C7"/>
  </mergeCells>
  <conditionalFormatting sqref="T14:T113">
    <cfRule type="expression" priority="1" dxfId="0">
      <formula>T14="H"</formula>
    </cfRule>
    <cfRule type="expression" priority="3" dxfId="1">
      <formula>T14="M"</formula>
    </cfRule>
    <cfRule type="expression" priority="5" dxfId="2">
      <formula>T14="L"</formula>
    </cfRule>
  </conditionalFormatting>
  <conditionalFormatting sqref="AD14:AD113">
    <cfRule type="expression" priority="2" dxfId="0">
      <formula>AD14="H"</formula>
    </cfRule>
    <cfRule type="expression" priority="4" dxfId="1">
      <formula>AD14="M"</formula>
    </cfRule>
    <cfRule type="expression" priority="6" dxfId="2">
      <formula>AD14="L"</formula>
    </cfRule>
  </conditionalFormatting>
  <conditionalFormatting sqref="U14:U113">
    <cfRule type="expression" priority="7" dxfId="3">
      <formula>U14="Yes"</formula>
    </cfRule>
  </conditionalFormatting>
  <conditionalFormatting sqref="S14:S113">
    <cfRule type="expression" priority="8" dxfId="4">
      <formula>AND(ISNUMBER(S14),S14&gt;=RPNThr)</formula>
    </cfRule>
  </conditionalFormatting>
  <conditionalFormatting sqref="AC14:AC113">
    <cfRule type="expression" priority="9" dxfId="4">
      <formula>AND(ISNUMBER(AC14),AC14&gt;=RPNThr)</formula>
    </cfRule>
  </conditionalFormatting>
  <dataValidations count="13">
    <dataValidation sqref="D3" showDropDown="0" showInputMessage="1" showErrorMessage="1" allowBlank="1" promptTitle="Select" prompt="Choose the system analysed on this sheet" type="list">
      <formula1>=SystemList</formula1>
    </dataValidation>
    <dataValidation sqref="B14:B113" showDropDown="0" showInputMessage="1" showErrorMessage="1" allowBlank="1" errorTitle="Not in list" error="Entry is not in the list – it will be accepted as free text." promptTitle="Select" prompt="Equipment tags of the selected system (from the Equipment Register)" type="list" errorStyle="information">
      <formula1>=OFFSET($AH$14,0,0,MAX(1,COUNTIFS(EqSys,$D$3,EqTag,"?*")),1)</formula1>
    </dataValidation>
    <dataValidation sqref="D14:D113" showDropDown="0" showInputMessage="1" showErrorMessage="1" allowBlank="1" errorTitle="Not in list" error="Entry is not in the list – it will be accepted as free text." promptTitle="Select" prompt="Components for this equipment type – or type your own" type="list" errorStyle="information">
      <formula1>=OFFSET(CompStart,MATCH($C14,CompType,0)-1,0,MAX(1,COUNTIF(CompType,$C14)),1)</formula1>
    </dataValidation>
    <dataValidation sqref="F14:F113" showDropDown="0" showInputMessage="1" showErrorMessage="1" allowBlank="1" errorTitle="Not in list" error="Entry is not in the list – it will be accepted as free text." promptTitle="Select" prompt="Failure modes for this equipment type – or type your own" type="list" errorStyle="information">
      <formula1>=OFFSET(FMStart,MATCH($C14,FMType,0)-1,0,MAX(1,COUNTIF(FMType,$C14)),1)</formula1>
    </dataValidation>
    <dataValidation sqref="G14:I113" showDropDown="0" showInputMessage="1" showErrorMessage="1" allowBlank="1" errorTitle="Not in list" error="Entry is not in the list – it will be accepted as free text." promptTitle="Select" prompt="Failure cause / mechanism – or type your own" type="list" errorStyle="information">
      <formula1>=MechList</formula1>
    </dataValidation>
    <dataValidation sqref="Q14:Q113" showDropDown="0" showInputMessage="1" showErrorMessage="1" allowBlank="1" errorTitle="Not in list" error="Entry is not in the list – it will be accepted as free text." promptTitle="Select" prompt="Detection method – or type your own" type="list" errorStyle="information">
      <formula1>=DetList</formula1>
    </dataValidation>
    <dataValidation sqref="W14:W113" showDropDown="0" showInputMessage="0" showErrorMessage="1" allowBlank="1" errorTitle="Not in list" error="Entry is not in the list – it will be accepted as free text." type="list" errorStyle="information">
      <formula1>=TaskList</formula1>
    </dataValidation>
    <dataValidation sqref="N14:N113" showDropDown="0" showInputMessage="0" showErrorMessage="1" allowBlank="1" type="list">
      <formula1>=SevList</formula1>
    </dataValidation>
    <dataValidation sqref="P14:P113" showDropDown="0" showInputMessage="0" showErrorMessage="1" allowBlank="1" type="list">
      <formula1>=OccList</formula1>
    </dataValidation>
    <dataValidation sqref="R14:R113" showDropDown="0" showInputMessage="0" showErrorMessage="1" allowBlank="1" type="list">
      <formula1>=DetScaleList</formula1>
    </dataValidation>
    <dataValidation sqref="Z14:Z113" showDropDown="0" showInputMessage="0" showErrorMessage="1" allowBlank="1" type="list">
      <formula1>=SevList</formula1>
    </dataValidation>
    <dataValidation sqref="AA14:AA113" showDropDown="0" showInputMessage="0" showErrorMessage="1" allowBlank="1" type="list">
      <formula1>=OccList</formula1>
    </dataValidation>
    <dataValidation sqref="AB14:AB113" showDropDown="0" showInputMessage="0" showErrorMessage="1" allowBlank="1" type="list">
      <formula1>=DetScaleList</formula1>
    </dataValidation>
  </dataValidations>
  <pageMargins left="0.75" right="0.75" top="1" bottom="1" header="0.5" footer="0.5"/>
  <pageSetup orientation="landscape" paperSize="8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AH113"/>
  <sheetViews>
    <sheetView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22" customWidth="1" min="4" max="4"/>
    <col width="26" customWidth="1" min="5" max="5"/>
    <col width="26" customWidth="1" min="6" max="6"/>
    <col outlineLevel="1" width="26" customWidth="1" min="7" max="9"/>
    <col width="38" customWidth="1" min="10" max="10"/>
    <col width="28" customWidth="1" min="11" max="11"/>
    <col width="28" customWidth="1" min="12" max="12"/>
    <col width="32" customWidth="1" min="13" max="13"/>
    <col width="18" customWidth="1" min="14" max="14"/>
    <col width="30" customWidth="1" min="15" max="15"/>
    <col width="18" customWidth="1" min="16" max="16"/>
    <col width="28" customWidth="1" min="17" max="17"/>
    <col width="18" customWidth="1" min="18" max="18"/>
    <col width="7" customWidth="1" min="19" max="19"/>
    <col width="6" customWidth="1" min="20" max="20"/>
    <col width="9" customWidth="1" min="21" max="21"/>
    <col width="34" customWidth="1" min="22" max="22"/>
    <col width="22" customWidth="1" min="23" max="23"/>
    <col width="14" customWidth="1" min="24" max="24"/>
    <col width="12" customWidth="1" min="25" max="25"/>
    <col width="18" customWidth="1" min="26" max="26"/>
    <col width="18" customWidth="1" min="27" max="27"/>
    <col width="18" customWidth="1" min="28" max="28"/>
    <col width="7" customWidth="1" min="29" max="29"/>
    <col width="6" customWidth="1" min="30" max="30"/>
    <col width="12" customWidth="1" min="31" max="31"/>
    <col width="24" customWidth="1" min="32" max="32"/>
    <col hidden="1" width="13" customWidth="1" min="34" max="34"/>
  </cols>
  <sheetData>
    <row r="1">
      <c r="A1" s="22" t="inlineStr">
        <is>
          <t>FMECA WORKSHEET</t>
        </is>
      </c>
      <c r="F1" s="23">
        <f>Cover!B7</f>
        <v/>
      </c>
    </row>
    <row r="3">
      <c r="A3" s="24" t="inlineStr">
        <is>
          <t>Select system ▸</t>
        </is>
      </c>
      <c r="B3" s="8" t="n"/>
      <c r="C3" s="9" t="n"/>
      <c r="D3" s="25" t="n"/>
      <c r="K3" s="24" t="inlineStr">
        <is>
          <t>Session date</t>
        </is>
      </c>
      <c r="L3" s="13" t="n"/>
      <c r="N3" s="24" t="inlineStr">
        <is>
          <t>Equipment items</t>
        </is>
      </c>
      <c r="O3" s="20">
        <f>IF($D$3="","",COUNTIFS(EqSys,$D$3,EqTag,"?*"))</f>
        <v/>
      </c>
    </row>
    <row r="4" ht="16" customHeight="1">
      <c r="A4" s="10" t="inlineStr">
        <is>
          <t>System title</t>
        </is>
      </c>
      <c r="D4" s="6">
        <f>IF($D$3="","",IFERROR(INDEX(Systems!$B$5:$B$34,MATCH($D$3,Systems!$C$5:$C$34,0))&amp;"",""))</f>
        <v/>
      </c>
    </row>
    <row r="5" ht="30" customHeight="1">
      <c r="A5" s="10" t="inlineStr">
        <is>
          <t>Function / performance standard</t>
        </is>
      </c>
      <c r="D5" s="6">
        <f>IF($D$3="","",IFERROR(INDEX(Systems!$D$5:$D$34,MATCH($D$3,Systems!$C$5:$C$34,0))&amp;"",""))</f>
        <v/>
      </c>
    </row>
    <row r="6" ht="30" customHeight="1">
      <c r="A6" s="10" t="inlineStr">
        <is>
          <t>Operating context</t>
        </is>
      </c>
      <c r="D6" s="6">
        <f>IF($D$3="","",IFERROR(INDEX(Systems!$E$5:$E$34,MATCH($D$3,Systems!$C$5:$C$34,0))&amp;"",""))</f>
        <v/>
      </c>
    </row>
    <row r="7" ht="30" customHeight="1">
      <c r="A7" s="10" t="inlineStr">
        <is>
          <t>System boundaries</t>
        </is>
      </c>
      <c r="D7" s="6">
        <f>IF($D$3="","",IFERROR(INDEX(Systems!$F$5:$F$34,MATCH($D$3,Systems!$C$5:$C$34,0))&amp;"",""))</f>
        <v/>
      </c>
    </row>
    <row r="8" ht="16" customHeight="1">
      <c r="A8" s="10" t="inlineStr">
        <is>
          <t>P&amp;IDs / drawings</t>
        </is>
      </c>
      <c r="D8" s="6">
        <f>IF($D$3="","",IFERROR(INDEX(Systems!$G$5:$G$34,MATCH($D$3,Systems!$C$5:$C$34,0))&amp;"",""))</f>
        <v/>
      </c>
    </row>
    <row r="9" ht="16" customHeight="1">
      <c r="A9" s="10" t="inlineStr">
        <is>
          <t>Related HAZOP node(s)</t>
        </is>
      </c>
      <c r="D9" s="6">
        <f>IF($D$3="","",IFERROR(INDEX(Systems!$H$5:$H$34,MATCH($D$3,Systems!$C$5:$C$34,0))&amp;"",""))</f>
        <v/>
      </c>
    </row>
    <row r="11" ht="26" customHeight="1">
      <c r="A11" s="26" t="inlineStr">
        <is>
          <t>ONE ROW PER FAILURE MODE. Pick the equipment tag (tags of the selected system), component and failure mode; pick up to 3 causes (listed line by line in 'Failure causes / mechanisms'). Rate S, O, D – RPN, Action Priority and 'Action required?' are calculated. Rate again after the recommended action. Use the [–] button above the Cause columns to collapse them.</t>
        </is>
      </c>
    </row>
    <row r="12">
      <c r="A12" s="7" t="inlineStr">
        <is>
          <t>ITEM / FAILURE MODE</t>
        </is>
      </c>
      <c r="B12" s="27" t="n"/>
      <c r="C12" s="27" t="n"/>
      <c r="D12" s="27" t="n"/>
      <c r="E12" s="27" t="n"/>
      <c r="F12" s="27" t="n"/>
      <c r="G12" s="7" t="inlineStr">
        <is>
          <t>CAUSE PICK-LIST</t>
        </is>
      </c>
      <c r="H12" s="27" t="n"/>
      <c r="I12" s="27" t="n"/>
      <c r="J12" s="7" t="inlineStr">
        <is>
          <t>CAUSES &amp; EFFECTS</t>
        </is>
      </c>
      <c r="K12" s="27" t="n"/>
      <c r="L12" s="27" t="n"/>
      <c r="M12" s="27" t="n"/>
      <c r="N12" s="7" t="inlineStr">
        <is>
          <t>CRITICALITY – CURRENT</t>
        </is>
      </c>
      <c r="O12" s="27" t="n"/>
      <c r="P12" s="27" t="n"/>
      <c r="Q12" s="27" t="n"/>
      <c r="R12" s="27" t="n"/>
      <c r="S12" s="27" t="n"/>
      <c r="T12" s="27" t="n"/>
      <c r="U12" s="27" t="n"/>
      <c r="V12" s="7" t="inlineStr">
        <is>
          <t>RECOMMENDED ACTIONS</t>
        </is>
      </c>
      <c r="W12" s="27" t="n"/>
      <c r="X12" s="27" t="n"/>
      <c r="Y12" s="27" t="n"/>
      <c r="Z12" s="7" t="inlineStr">
        <is>
          <t>CRITICALITY – AFTER ACTION</t>
        </is>
      </c>
      <c r="AA12" s="27" t="n"/>
      <c r="AB12" s="27" t="n"/>
      <c r="AC12" s="27" t="n"/>
      <c r="AD12" s="27" t="n"/>
      <c r="AE12" s="7" t="inlineStr">
        <is>
          <t>LINKS</t>
        </is>
      </c>
      <c r="AF12" s="27" t="n"/>
    </row>
    <row r="13" ht="42" customHeight="1">
      <c r="A13" s="7" t="inlineStr">
        <is>
          <t>Ref</t>
        </is>
      </c>
      <c r="B13" s="7" t="inlineStr">
        <is>
          <t>Equipment tag</t>
        </is>
      </c>
      <c r="C13" s="7" t="inlineStr">
        <is>
          <t>Equipment type (auto)</t>
        </is>
      </c>
      <c r="D13" s="7" t="inlineStr">
        <is>
          <t>Component / maintainable item</t>
        </is>
      </c>
      <c r="E13" s="7" t="inlineStr">
        <is>
          <t>Function of item</t>
        </is>
      </c>
      <c r="F13" s="7" t="inlineStr">
        <is>
          <t>Failure mode</t>
        </is>
      </c>
      <c r="G13" s="28" t="inlineStr">
        <is>
          <t>Cause 1</t>
        </is>
      </c>
      <c r="H13" s="28" t="inlineStr">
        <is>
          <t>Cause 2</t>
        </is>
      </c>
      <c r="I13" s="28" t="inlineStr">
        <is>
          <t>Cause 3</t>
        </is>
      </c>
      <c r="J13" s="7" t="inlineStr">
        <is>
          <t>Failure causes / mechanisms</t>
        </is>
      </c>
      <c r="K13" s="7" t="inlineStr">
        <is>
          <t>Local effect</t>
        </is>
      </c>
      <c r="L13" s="7" t="inlineStr">
        <is>
          <t>System effect</t>
        </is>
      </c>
      <c r="M13" s="7" t="inlineStr">
        <is>
          <t>End effect (safety / environment / production)</t>
        </is>
      </c>
      <c r="N13" s="7" t="inlineStr">
        <is>
          <t>Severity (S)</t>
        </is>
      </c>
      <c r="O13" s="7" t="inlineStr">
        <is>
          <t>Current prevention controls</t>
        </is>
      </c>
      <c r="P13" s="7" t="inlineStr">
        <is>
          <t>Occurrence (O)</t>
        </is>
      </c>
      <c r="Q13" s="7" t="inlineStr">
        <is>
          <t>Current detection method</t>
        </is>
      </c>
      <c r="R13" s="7" t="inlineStr">
        <is>
          <t>Detection (D)</t>
        </is>
      </c>
      <c r="S13" s="7" t="inlineStr">
        <is>
          <t>RPN</t>
        </is>
      </c>
      <c r="T13" s="7" t="inlineStr">
        <is>
          <t>AP</t>
        </is>
      </c>
      <c r="U13" s="7" t="inlineStr">
        <is>
          <t>Action required?</t>
        </is>
      </c>
      <c r="V13" s="7" t="inlineStr">
        <is>
          <t>Recommended action</t>
        </is>
      </c>
      <c r="W13" s="7" t="inlineStr">
        <is>
          <t>Action / task type</t>
        </is>
      </c>
      <c r="X13" s="7" t="inlineStr">
        <is>
          <t>Action by</t>
        </is>
      </c>
      <c r="Y13" s="7" t="inlineStr">
        <is>
          <t>Due date</t>
        </is>
      </c>
      <c r="Z13" s="7" t="inlineStr">
        <is>
          <t>Severity (S)</t>
        </is>
      </c>
      <c r="AA13" s="7" t="inlineStr">
        <is>
          <t>Occurrence (O)</t>
        </is>
      </c>
      <c r="AB13" s="7" t="inlineStr">
        <is>
          <t>Detection (D)</t>
        </is>
      </c>
      <c r="AC13" s="7" t="inlineStr">
        <is>
          <t>RPN after</t>
        </is>
      </c>
      <c r="AD13" s="7" t="inlineStr">
        <is>
          <t>AP after</t>
        </is>
      </c>
      <c r="AE13" s="7" t="inlineStr">
        <is>
          <t>HAZOP ref.</t>
        </is>
      </c>
      <c r="AF13" s="7" t="inlineStr">
        <is>
          <t>Comments</t>
        </is>
      </c>
    </row>
    <row r="14">
      <c r="A14" s="20">
        <f>IF(F14="","",LEFT($D$3,3)&amp;"-"&amp;TEXT(COUNTIF(F$14:F14,"?*"),"00"))</f>
        <v/>
      </c>
      <c r="B14" s="4" t="n"/>
      <c r="C14" s="5">
        <f>IF(B14="","",IFERROR(INDEX(EqTypeCol,MATCH(B14,EqTag,0)),"Tag not in register"))</f>
        <v/>
      </c>
      <c r="D14" s="4" t="n"/>
      <c r="E14" s="4" t="n"/>
      <c r="F14" s="4" t="n"/>
      <c r="G14" s="4" t="n"/>
      <c r="H14" s="4" t="n"/>
      <c r="I14" s="4" t="n"/>
      <c r="J14" s="5">
        <f>_xlfn.TEXTJOIN(CHAR(10),TRUE,IF(G14="","","• "&amp;G14),IF(H14="","","• "&amp;H14),IF(I14="","","• "&amp;I14))</f>
        <v/>
      </c>
      <c r="K14" s="4" t="n"/>
      <c r="L14" s="4" t="n"/>
      <c r="M14" s="4" t="n"/>
      <c r="N14" s="16" t="n"/>
      <c r="O14" s="4" t="n"/>
      <c r="P14" s="16" t="n"/>
      <c r="Q14" s="4" t="n"/>
      <c r="R14" s="16" t="n"/>
      <c r="S14" s="20">
        <f>IF(OR(N14="",P14="",R14=""),"",(--TRIM(LEFT(N14,2)))*(--TRIM(LEFT(P14,2)))*(--TRIM(LEFT(R14,2))))</f>
        <v/>
      </c>
      <c r="T14" s="20">
        <f>IF(OR(N14="",P14="",R14=""),"",INDEX(APGrid,COUNTIF(APS,"&gt;"&amp;(--TRIM(LEFT(N14,2))))*5+COUNTIF(APO,"&gt;"&amp;(--TRIM(LEFT(P14,2))))+1,COUNTIF(APD,"&gt;"&amp;(--TRIM(LEFT(R14,2))))+1))</f>
        <v/>
      </c>
      <c r="U14" s="20">
        <f>IF(S14="","",IF(OR((--TRIM(LEFT(N14,2)))&gt;=SThr,S14&gt;=RPNThr,T14="H"),"Yes","No"))</f>
        <v/>
      </c>
      <c r="V14" s="4" t="n"/>
      <c r="W14" s="4" t="n"/>
      <c r="X14" s="4" t="n"/>
      <c r="Y14" s="29" t="n"/>
      <c r="Z14" s="16" t="n"/>
      <c r="AA14" s="16" t="n"/>
      <c r="AB14" s="16" t="n"/>
      <c r="AC14" s="20">
        <f>IF(OR(Z14="",AA14="",AB14=""),"",(--TRIM(LEFT(Z14,2)))*(--TRIM(LEFT(AA14,2)))*(--TRIM(LEFT(AB14,2))))</f>
        <v/>
      </c>
      <c r="AD14" s="20">
        <f>IF(OR(Z14="",AA14="",AB14=""),"",INDEX(APGrid,COUNTIF(APS,"&gt;"&amp;(--TRIM(LEFT(Z14,2))))*5+COUNTIF(APO,"&gt;"&amp;(--TRIM(LEFT(AA14,2))))+1,COUNTIF(APD,"&gt;"&amp;(--TRIM(LEFT(AB14,2))))+1))</f>
        <v/>
      </c>
      <c r="AE14" s="4" t="n"/>
      <c r="AF14" s="4" t="n"/>
      <c r="AH14">
        <f>IFERROR(INDEX(EqTag,_xlfn.AGGREGATE(15,6,(ROW(EqTag)-4)/((EqSys=$D$3)*(EqTag&lt;&gt;"")),ROWS($AH$14:AH14))),"")</f>
        <v/>
      </c>
    </row>
    <row r="15">
      <c r="A15" s="20">
        <f>IF(F15="","",LEFT($D$3,3)&amp;"-"&amp;TEXT(COUNTIF(F$14:F15,"?*"),"00"))</f>
        <v/>
      </c>
      <c r="B15" s="4" t="n"/>
      <c r="C15" s="5">
        <f>IF(B15="","",IFERROR(INDEX(EqTypeCol,MATCH(B15,EqTag,0)),"Tag not in register"))</f>
        <v/>
      </c>
      <c r="D15" s="4" t="n"/>
      <c r="E15" s="4" t="n"/>
      <c r="F15" s="4" t="n"/>
      <c r="G15" s="4" t="n"/>
      <c r="H15" s="4" t="n"/>
      <c r="I15" s="4" t="n"/>
      <c r="J15" s="5">
        <f>_xlfn.TEXTJOIN(CHAR(10),TRUE,IF(G15="","","• "&amp;G15),IF(H15="","","• "&amp;H15),IF(I15="","","• "&amp;I15))</f>
        <v/>
      </c>
      <c r="K15" s="4" t="n"/>
      <c r="L15" s="4" t="n"/>
      <c r="M15" s="4" t="n"/>
      <c r="N15" s="16" t="n"/>
      <c r="O15" s="4" t="n"/>
      <c r="P15" s="16" t="n"/>
      <c r="Q15" s="4" t="n"/>
      <c r="R15" s="16" t="n"/>
      <c r="S15" s="20">
        <f>IF(OR(N15="",P15="",R15=""),"",(--TRIM(LEFT(N15,2)))*(--TRIM(LEFT(P15,2)))*(--TRIM(LEFT(R15,2))))</f>
        <v/>
      </c>
      <c r="T15" s="20">
        <f>IF(OR(N15="",P15="",R15=""),"",INDEX(APGrid,COUNTIF(APS,"&gt;"&amp;(--TRIM(LEFT(N15,2))))*5+COUNTIF(APO,"&gt;"&amp;(--TRIM(LEFT(P15,2))))+1,COUNTIF(APD,"&gt;"&amp;(--TRIM(LEFT(R15,2))))+1))</f>
        <v/>
      </c>
      <c r="U15" s="20">
        <f>IF(S15="","",IF(OR((--TRIM(LEFT(N15,2)))&gt;=SThr,S15&gt;=RPNThr,T15="H"),"Yes","No"))</f>
        <v/>
      </c>
      <c r="V15" s="4" t="n"/>
      <c r="W15" s="4" t="n"/>
      <c r="X15" s="4" t="n"/>
      <c r="Y15" s="29" t="n"/>
      <c r="Z15" s="16" t="n"/>
      <c r="AA15" s="16" t="n"/>
      <c r="AB15" s="16" t="n"/>
      <c r="AC15" s="20">
        <f>IF(OR(Z15="",AA15="",AB15=""),"",(--TRIM(LEFT(Z15,2)))*(--TRIM(LEFT(AA15,2)))*(--TRIM(LEFT(AB15,2))))</f>
        <v/>
      </c>
      <c r="AD15" s="20">
        <f>IF(OR(Z15="",AA15="",AB15=""),"",INDEX(APGrid,COUNTIF(APS,"&gt;"&amp;(--TRIM(LEFT(Z15,2))))*5+COUNTIF(APO,"&gt;"&amp;(--TRIM(LEFT(AA15,2))))+1,COUNTIF(APD,"&gt;"&amp;(--TRIM(LEFT(AB15,2))))+1))</f>
        <v/>
      </c>
      <c r="AE15" s="4" t="n"/>
      <c r="AF15" s="4" t="n"/>
      <c r="AH15">
        <f>IFERROR(INDEX(EqTag,_xlfn.AGGREGATE(15,6,(ROW(EqTag)-4)/((EqSys=$D$3)*(EqTag&lt;&gt;"")),ROWS($AH$14:AH15))),"")</f>
        <v/>
      </c>
    </row>
    <row r="16">
      <c r="A16" s="20">
        <f>IF(F16="","",LEFT($D$3,3)&amp;"-"&amp;TEXT(COUNTIF(F$14:F16,"?*"),"00"))</f>
        <v/>
      </c>
      <c r="B16" s="4" t="n"/>
      <c r="C16" s="5">
        <f>IF(B16="","",IFERROR(INDEX(EqTypeCol,MATCH(B16,EqTag,0)),"Tag not in register"))</f>
        <v/>
      </c>
      <c r="D16" s="4" t="n"/>
      <c r="E16" s="4" t="n"/>
      <c r="F16" s="4" t="n"/>
      <c r="G16" s="4" t="n"/>
      <c r="H16" s="4" t="n"/>
      <c r="I16" s="4" t="n"/>
      <c r="J16" s="5">
        <f>_xlfn.TEXTJOIN(CHAR(10),TRUE,IF(G16="","","• "&amp;G16),IF(H16="","","• "&amp;H16),IF(I16="","","• "&amp;I16))</f>
        <v/>
      </c>
      <c r="K16" s="4" t="n"/>
      <c r="L16" s="4" t="n"/>
      <c r="M16" s="4" t="n"/>
      <c r="N16" s="16" t="n"/>
      <c r="O16" s="4" t="n"/>
      <c r="P16" s="16" t="n"/>
      <c r="Q16" s="4" t="n"/>
      <c r="R16" s="16" t="n"/>
      <c r="S16" s="20">
        <f>IF(OR(N16="",P16="",R16=""),"",(--TRIM(LEFT(N16,2)))*(--TRIM(LEFT(P16,2)))*(--TRIM(LEFT(R16,2))))</f>
        <v/>
      </c>
      <c r="T16" s="20">
        <f>IF(OR(N16="",P16="",R16=""),"",INDEX(APGrid,COUNTIF(APS,"&gt;"&amp;(--TRIM(LEFT(N16,2))))*5+COUNTIF(APO,"&gt;"&amp;(--TRIM(LEFT(P16,2))))+1,COUNTIF(APD,"&gt;"&amp;(--TRIM(LEFT(R16,2))))+1))</f>
        <v/>
      </c>
      <c r="U16" s="20">
        <f>IF(S16="","",IF(OR((--TRIM(LEFT(N16,2)))&gt;=SThr,S16&gt;=RPNThr,T16="H"),"Yes","No"))</f>
        <v/>
      </c>
      <c r="V16" s="4" t="n"/>
      <c r="W16" s="4" t="n"/>
      <c r="X16" s="4" t="n"/>
      <c r="Y16" s="29" t="n"/>
      <c r="Z16" s="16" t="n"/>
      <c r="AA16" s="16" t="n"/>
      <c r="AB16" s="16" t="n"/>
      <c r="AC16" s="20">
        <f>IF(OR(Z16="",AA16="",AB16=""),"",(--TRIM(LEFT(Z16,2)))*(--TRIM(LEFT(AA16,2)))*(--TRIM(LEFT(AB16,2))))</f>
        <v/>
      </c>
      <c r="AD16" s="20">
        <f>IF(OR(Z16="",AA16="",AB16=""),"",INDEX(APGrid,COUNTIF(APS,"&gt;"&amp;(--TRIM(LEFT(Z16,2))))*5+COUNTIF(APO,"&gt;"&amp;(--TRIM(LEFT(AA16,2))))+1,COUNTIF(APD,"&gt;"&amp;(--TRIM(LEFT(AB16,2))))+1))</f>
        <v/>
      </c>
      <c r="AE16" s="4" t="n"/>
      <c r="AF16" s="4" t="n"/>
      <c r="AH16">
        <f>IFERROR(INDEX(EqTag,_xlfn.AGGREGATE(15,6,(ROW(EqTag)-4)/((EqSys=$D$3)*(EqTag&lt;&gt;"")),ROWS($AH$14:AH16))),"")</f>
        <v/>
      </c>
    </row>
    <row r="17">
      <c r="A17" s="20">
        <f>IF(F17="","",LEFT($D$3,3)&amp;"-"&amp;TEXT(COUNTIF(F$14:F17,"?*"),"00"))</f>
        <v/>
      </c>
      <c r="B17" s="4" t="n"/>
      <c r="C17" s="5">
        <f>IF(B17="","",IFERROR(INDEX(EqTypeCol,MATCH(B17,EqTag,0)),"Tag not in register"))</f>
        <v/>
      </c>
      <c r="D17" s="4" t="n"/>
      <c r="E17" s="4" t="n"/>
      <c r="F17" s="4" t="n"/>
      <c r="G17" s="4" t="n"/>
      <c r="H17" s="4" t="n"/>
      <c r="I17" s="4" t="n"/>
      <c r="J17" s="5">
        <f>_xlfn.TEXTJOIN(CHAR(10),TRUE,IF(G17="","","• "&amp;G17),IF(H17="","","• "&amp;H17),IF(I17="","","• "&amp;I17))</f>
        <v/>
      </c>
      <c r="K17" s="4" t="n"/>
      <c r="L17" s="4" t="n"/>
      <c r="M17" s="4" t="n"/>
      <c r="N17" s="16" t="n"/>
      <c r="O17" s="4" t="n"/>
      <c r="P17" s="16" t="n"/>
      <c r="Q17" s="4" t="n"/>
      <c r="R17" s="16" t="n"/>
      <c r="S17" s="20">
        <f>IF(OR(N17="",P17="",R17=""),"",(--TRIM(LEFT(N17,2)))*(--TRIM(LEFT(P17,2)))*(--TRIM(LEFT(R17,2))))</f>
        <v/>
      </c>
      <c r="T17" s="20">
        <f>IF(OR(N17="",P17="",R17=""),"",INDEX(APGrid,COUNTIF(APS,"&gt;"&amp;(--TRIM(LEFT(N17,2))))*5+COUNTIF(APO,"&gt;"&amp;(--TRIM(LEFT(P17,2))))+1,COUNTIF(APD,"&gt;"&amp;(--TRIM(LEFT(R17,2))))+1))</f>
        <v/>
      </c>
      <c r="U17" s="20">
        <f>IF(S17="","",IF(OR((--TRIM(LEFT(N17,2)))&gt;=SThr,S17&gt;=RPNThr,T17="H"),"Yes","No"))</f>
        <v/>
      </c>
      <c r="V17" s="4" t="n"/>
      <c r="W17" s="4" t="n"/>
      <c r="X17" s="4" t="n"/>
      <c r="Y17" s="29" t="n"/>
      <c r="Z17" s="16" t="n"/>
      <c r="AA17" s="16" t="n"/>
      <c r="AB17" s="16" t="n"/>
      <c r="AC17" s="20">
        <f>IF(OR(Z17="",AA17="",AB17=""),"",(--TRIM(LEFT(Z17,2)))*(--TRIM(LEFT(AA17,2)))*(--TRIM(LEFT(AB17,2))))</f>
        <v/>
      </c>
      <c r="AD17" s="20">
        <f>IF(OR(Z17="",AA17="",AB17=""),"",INDEX(APGrid,COUNTIF(APS,"&gt;"&amp;(--TRIM(LEFT(Z17,2))))*5+COUNTIF(APO,"&gt;"&amp;(--TRIM(LEFT(AA17,2))))+1,COUNTIF(APD,"&gt;"&amp;(--TRIM(LEFT(AB17,2))))+1))</f>
        <v/>
      </c>
      <c r="AE17" s="4" t="n"/>
      <c r="AF17" s="4" t="n"/>
      <c r="AH17">
        <f>IFERROR(INDEX(EqTag,_xlfn.AGGREGATE(15,6,(ROW(EqTag)-4)/((EqSys=$D$3)*(EqTag&lt;&gt;"")),ROWS($AH$14:AH17))),"")</f>
        <v/>
      </c>
    </row>
    <row r="18">
      <c r="A18" s="20">
        <f>IF(F18="","",LEFT($D$3,3)&amp;"-"&amp;TEXT(COUNTIF(F$14:F18,"?*"),"00"))</f>
        <v/>
      </c>
      <c r="B18" s="4" t="n"/>
      <c r="C18" s="5">
        <f>IF(B18="","",IFERROR(INDEX(EqTypeCol,MATCH(B18,EqTag,0)),"Tag not in register"))</f>
        <v/>
      </c>
      <c r="D18" s="4" t="n"/>
      <c r="E18" s="4" t="n"/>
      <c r="F18" s="4" t="n"/>
      <c r="G18" s="4" t="n"/>
      <c r="H18" s="4" t="n"/>
      <c r="I18" s="4" t="n"/>
      <c r="J18" s="5">
        <f>_xlfn.TEXTJOIN(CHAR(10),TRUE,IF(G18="","","• "&amp;G18),IF(H18="","","• "&amp;H18),IF(I18="","","• "&amp;I18))</f>
        <v/>
      </c>
      <c r="K18" s="4" t="n"/>
      <c r="L18" s="4" t="n"/>
      <c r="M18" s="4" t="n"/>
      <c r="N18" s="16" t="n"/>
      <c r="O18" s="4" t="n"/>
      <c r="P18" s="16" t="n"/>
      <c r="Q18" s="4" t="n"/>
      <c r="R18" s="16" t="n"/>
      <c r="S18" s="20">
        <f>IF(OR(N18="",P18="",R18=""),"",(--TRIM(LEFT(N18,2)))*(--TRIM(LEFT(P18,2)))*(--TRIM(LEFT(R18,2))))</f>
        <v/>
      </c>
      <c r="T18" s="20">
        <f>IF(OR(N18="",P18="",R18=""),"",INDEX(APGrid,COUNTIF(APS,"&gt;"&amp;(--TRIM(LEFT(N18,2))))*5+COUNTIF(APO,"&gt;"&amp;(--TRIM(LEFT(P18,2))))+1,COUNTIF(APD,"&gt;"&amp;(--TRIM(LEFT(R18,2))))+1))</f>
        <v/>
      </c>
      <c r="U18" s="20">
        <f>IF(S18="","",IF(OR((--TRIM(LEFT(N18,2)))&gt;=SThr,S18&gt;=RPNThr,T18="H"),"Yes","No"))</f>
        <v/>
      </c>
      <c r="V18" s="4" t="n"/>
      <c r="W18" s="4" t="n"/>
      <c r="X18" s="4" t="n"/>
      <c r="Y18" s="29" t="n"/>
      <c r="Z18" s="16" t="n"/>
      <c r="AA18" s="16" t="n"/>
      <c r="AB18" s="16" t="n"/>
      <c r="AC18" s="20">
        <f>IF(OR(Z18="",AA18="",AB18=""),"",(--TRIM(LEFT(Z18,2)))*(--TRIM(LEFT(AA18,2)))*(--TRIM(LEFT(AB18,2))))</f>
        <v/>
      </c>
      <c r="AD18" s="20">
        <f>IF(OR(Z18="",AA18="",AB18=""),"",INDEX(APGrid,COUNTIF(APS,"&gt;"&amp;(--TRIM(LEFT(Z18,2))))*5+COUNTIF(APO,"&gt;"&amp;(--TRIM(LEFT(AA18,2))))+1,COUNTIF(APD,"&gt;"&amp;(--TRIM(LEFT(AB18,2))))+1))</f>
        <v/>
      </c>
      <c r="AE18" s="4" t="n"/>
      <c r="AF18" s="4" t="n"/>
      <c r="AH18">
        <f>IFERROR(INDEX(EqTag,_xlfn.AGGREGATE(15,6,(ROW(EqTag)-4)/((EqSys=$D$3)*(EqTag&lt;&gt;"")),ROWS($AH$14:AH18))),"")</f>
        <v/>
      </c>
    </row>
    <row r="19">
      <c r="A19" s="20">
        <f>IF(F19="","",LEFT($D$3,3)&amp;"-"&amp;TEXT(COUNTIF(F$14:F19,"?*"),"00"))</f>
        <v/>
      </c>
      <c r="B19" s="4" t="n"/>
      <c r="C19" s="5">
        <f>IF(B19="","",IFERROR(INDEX(EqTypeCol,MATCH(B19,EqTag,0)),"Tag not in register"))</f>
        <v/>
      </c>
      <c r="D19" s="4" t="n"/>
      <c r="E19" s="4" t="n"/>
      <c r="F19" s="4" t="n"/>
      <c r="G19" s="4" t="n"/>
      <c r="H19" s="4" t="n"/>
      <c r="I19" s="4" t="n"/>
      <c r="J19" s="5">
        <f>_xlfn.TEXTJOIN(CHAR(10),TRUE,IF(G19="","","• "&amp;G19),IF(H19="","","• "&amp;H19),IF(I19="","","• "&amp;I19))</f>
        <v/>
      </c>
      <c r="K19" s="4" t="n"/>
      <c r="L19" s="4" t="n"/>
      <c r="M19" s="4" t="n"/>
      <c r="N19" s="16" t="n"/>
      <c r="O19" s="4" t="n"/>
      <c r="P19" s="16" t="n"/>
      <c r="Q19" s="4" t="n"/>
      <c r="R19" s="16" t="n"/>
      <c r="S19" s="20">
        <f>IF(OR(N19="",P19="",R19=""),"",(--TRIM(LEFT(N19,2)))*(--TRIM(LEFT(P19,2)))*(--TRIM(LEFT(R19,2))))</f>
        <v/>
      </c>
      <c r="T19" s="20">
        <f>IF(OR(N19="",P19="",R19=""),"",INDEX(APGrid,COUNTIF(APS,"&gt;"&amp;(--TRIM(LEFT(N19,2))))*5+COUNTIF(APO,"&gt;"&amp;(--TRIM(LEFT(P19,2))))+1,COUNTIF(APD,"&gt;"&amp;(--TRIM(LEFT(R19,2))))+1))</f>
        <v/>
      </c>
      <c r="U19" s="20">
        <f>IF(S19="","",IF(OR((--TRIM(LEFT(N19,2)))&gt;=SThr,S19&gt;=RPNThr,T19="H"),"Yes","No"))</f>
        <v/>
      </c>
      <c r="V19" s="4" t="n"/>
      <c r="W19" s="4" t="n"/>
      <c r="X19" s="4" t="n"/>
      <c r="Y19" s="29" t="n"/>
      <c r="Z19" s="16" t="n"/>
      <c r="AA19" s="16" t="n"/>
      <c r="AB19" s="16" t="n"/>
      <c r="AC19" s="20">
        <f>IF(OR(Z19="",AA19="",AB19=""),"",(--TRIM(LEFT(Z19,2)))*(--TRIM(LEFT(AA19,2)))*(--TRIM(LEFT(AB19,2))))</f>
        <v/>
      </c>
      <c r="AD19" s="20">
        <f>IF(OR(Z19="",AA19="",AB19=""),"",INDEX(APGrid,COUNTIF(APS,"&gt;"&amp;(--TRIM(LEFT(Z19,2))))*5+COUNTIF(APO,"&gt;"&amp;(--TRIM(LEFT(AA19,2))))+1,COUNTIF(APD,"&gt;"&amp;(--TRIM(LEFT(AB19,2))))+1))</f>
        <v/>
      </c>
      <c r="AE19" s="4" t="n"/>
      <c r="AF19" s="4" t="n"/>
      <c r="AH19">
        <f>IFERROR(INDEX(EqTag,_xlfn.AGGREGATE(15,6,(ROW(EqTag)-4)/((EqSys=$D$3)*(EqTag&lt;&gt;"")),ROWS($AH$14:AH19))),"")</f>
        <v/>
      </c>
    </row>
    <row r="20">
      <c r="A20" s="20">
        <f>IF(F20="","",LEFT($D$3,3)&amp;"-"&amp;TEXT(COUNTIF(F$14:F20,"?*"),"00"))</f>
        <v/>
      </c>
      <c r="B20" s="4" t="n"/>
      <c r="C20" s="5">
        <f>IF(B20="","",IFERROR(INDEX(EqTypeCol,MATCH(B20,EqTag,0)),"Tag not in register"))</f>
        <v/>
      </c>
      <c r="D20" s="4" t="n"/>
      <c r="E20" s="4" t="n"/>
      <c r="F20" s="4" t="n"/>
      <c r="G20" s="4" t="n"/>
      <c r="H20" s="4" t="n"/>
      <c r="I20" s="4" t="n"/>
      <c r="J20" s="5">
        <f>_xlfn.TEXTJOIN(CHAR(10),TRUE,IF(G20="","","• "&amp;G20),IF(H20="","","• "&amp;H20),IF(I20="","","• "&amp;I20))</f>
        <v/>
      </c>
      <c r="K20" s="4" t="n"/>
      <c r="L20" s="4" t="n"/>
      <c r="M20" s="4" t="n"/>
      <c r="N20" s="16" t="n"/>
      <c r="O20" s="4" t="n"/>
      <c r="P20" s="16" t="n"/>
      <c r="Q20" s="4" t="n"/>
      <c r="R20" s="16" t="n"/>
      <c r="S20" s="20">
        <f>IF(OR(N20="",P20="",R20=""),"",(--TRIM(LEFT(N20,2)))*(--TRIM(LEFT(P20,2)))*(--TRIM(LEFT(R20,2))))</f>
        <v/>
      </c>
      <c r="T20" s="20">
        <f>IF(OR(N20="",P20="",R20=""),"",INDEX(APGrid,COUNTIF(APS,"&gt;"&amp;(--TRIM(LEFT(N20,2))))*5+COUNTIF(APO,"&gt;"&amp;(--TRIM(LEFT(P20,2))))+1,COUNTIF(APD,"&gt;"&amp;(--TRIM(LEFT(R20,2))))+1))</f>
        <v/>
      </c>
      <c r="U20" s="20">
        <f>IF(S20="","",IF(OR((--TRIM(LEFT(N20,2)))&gt;=SThr,S20&gt;=RPNThr,T20="H"),"Yes","No"))</f>
        <v/>
      </c>
      <c r="V20" s="4" t="n"/>
      <c r="W20" s="4" t="n"/>
      <c r="X20" s="4" t="n"/>
      <c r="Y20" s="29" t="n"/>
      <c r="Z20" s="16" t="n"/>
      <c r="AA20" s="16" t="n"/>
      <c r="AB20" s="16" t="n"/>
      <c r="AC20" s="20">
        <f>IF(OR(Z20="",AA20="",AB20=""),"",(--TRIM(LEFT(Z20,2)))*(--TRIM(LEFT(AA20,2)))*(--TRIM(LEFT(AB20,2))))</f>
        <v/>
      </c>
      <c r="AD20" s="20">
        <f>IF(OR(Z20="",AA20="",AB20=""),"",INDEX(APGrid,COUNTIF(APS,"&gt;"&amp;(--TRIM(LEFT(Z20,2))))*5+COUNTIF(APO,"&gt;"&amp;(--TRIM(LEFT(AA20,2))))+1,COUNTIF(APD,"&gt;"&amp;(--TRIM(LEFT(AB20,2))))+1))</f>
        <v/>
      </c>
      <c r="AE20" s="4" t="n"/>
      <c r="AF20" s="4" t="n"/>
      <c r="AH20">
        <f>IFERROR(INDEX(EqTag,_xlfn.AGGREGATE(15,6,(ROW(EqTag)-4)/((EqSys=$D$3)*(EqTag&lt;&gt;"")),ROWS($AH$14:AH20))),"")</f>
        <v/>
      </c>
    </row>
    <row r="21">
      <c r="A21" s="20">
        <f>IF(F21="","",LEFT($D$3,3)&amp;"-"&amp;TEXT(COUNTIF(F$14:F21,"?*"),"00"))</f>
        <v/>
      </c>
      <c r="B21" s="4" t="n"/>
      <c r="C21" s="5">
        <f>IF(B21="","",IFERROR(INDEX(EqTypeCol,MATCH(B21,EqTag,0)),"Tag not in register"))</f>
        <v/>
      </c>
      <c r="D21" s="4" t="n"/>
      <c r="E21" s="4" t="n"/>
      <c r="F21" s="4" t="n"/>
      <c r="G21" s="4" t="n"/>
      <c r="H21" s="4" t="n"/>
      <c r="I21" s="4" t="n"/>
      <c r="J21" s="5">
        <f>_xlfn.TEXTJOIN(CHAR(10),TRUE,IF(G21="","","• "&amp;G21),IF(H21="","","• "&amp;H21),IF(I21="","","• "&amp;I21))</f>
        <v/>
      </c>
      <c r="K21" s="4" t="n"/>
      <c r="L21" s="4" t="n"/>
      <c r="M21" s="4" t="n"/>
      <c r="N21" s="16" t="n"/>
      <c r="O21" s="4" t="n"/>
      <c r="P21" s="16" t="n"/>
      <c r="Q21" s="4" t="n"/>
      <c r="R21" s="16" t="n"/>
      <c r="S21" s="20">
        <f>IF(OR(N21="",P21="",R21=""),"",(--TRIM(LEFT(N21,2)))*(--TRIM(LEFT(P21,2)))*(--TRIM(LEFT(R21,2))))</f>
        <v/>
      </c>
      <c r="T21" s="20">
        <f>IF(OR(N21="",P21="",R21=""),"",INDEX(APGrid,COUNTIF(APS,"&gt;"&amp;(--TRIM(LEFT(N21,2))))*5+COUNTIF(APO,"&gt;"&amp;(--TRIM(LEFT(P21,2))))+1,COUNTIF(APD,"&gt;"&amp;(--TRIM(LEFT(R21,2))))+1))</f>
        <v/>
      </c>
      <c r="U21" s="20">
        <f>IF(S21="","",IF(OR((--TRIM(LEFT(N21,2)))&gt;=SThr,S21&gt;=RPNThr,T21="H"),"Yes","No"))</f>
        <v/>
      </c>
      <c r="V21" s="4" t="n"/>
      <c r="W21" s="4" t="n"/>
      <c r="X21" s="4" t="n"/>
      <c r="Y21" s="29" t="n"/>
      <c r="Z21" s="16" t="n"/>
      <c r="AA21" s="16" t="n"/>
      <c r="AB21" s="16" t="n"/>
      <c r="AC21" s="20">
        <f>IF(OR(Z21="",AA21="",AB21=""),"",(--TRIM(LEFT(Z21,2)))*(--TRIM(LEFT(AA21,2)))*(--TRIM(LEFT(AB21,2))))</f>
        <v/>
      </c>
      <c r="AD21" s="20">
        <f>IF(OR(Z21="",AA21="",AB21=""),"",INDEX(APGrid,COUNTIF(APS,"&gt;"&amp;(--TRIM(LEFT(Z21,2))))*5+COUNTIF(APO,"&gt;"&amp;(--TRIM(LEFT(AA21,2))))+1,COUNTIF(APD,"&gt;"&amp;(--TRIM(LEFT(AB21,2))))+1))</f>
        <v/>
      </c>
      <c r="AE21" s="4" t="n"/>
      <c r="AF21" s="4" t="n"/>
      <c r="AH21">
        <f>IFERROR(INDEX(EqTag,_xlfn.AGGREGATE(15,6,(ROW(EqTag)-4)/((EqSys=$D$3)*(EqTag&lt;&gt;"")),ROWS($AH$14:AH21))),"")</f>
        <v/>
      </c>
    </row>
    <row r="22">
      <c r="A22" s="20">
        <f>IF(F22="","",LEFT($D$3,3)&amp;"-"&amp;TEXT(COUNTIF(F$14:F22,"?*"),"00"))</f>
        <v/>
      </c>
      <c r="B22" s="4" t="n"/>
      <c r="C22" s="5">
        <f>IF(B22="","",IFERROR(INDEX(EqTypeCol,MATCH(B22,EqTag,0)),"Tag not in register"))</f>
        <v/>
      </c>
      <c r="D22" s="4" t="n"/>
      <c r="E22" s="4" t="n"/>
      <c r="F22" s="4" t="n"/>
      <c r="G22" s="4" t="n"/>
      <c r="H22" s="4" t="n"/>
      <c r="I22" s="4" t="n"/>
      <c r="J22" s="5">
        <f>_xlfn.TEXTJOIN(CHAR(10),TRUE,IF(G22="","","• "&amp;G22),IF(H22="","","• "&amp;H22),IF(I22="","","• "&amp;I22))</f>
        <v/>
      </c>
      <c r="K22" s="4" t="n"/>
      <c r="L22" s="4" t="n"/>
      <c r="M22" s="4" t="n"/>
      <c r="N22" s="16" t="n"/>
      <c r="O22" s="4" t="n"/>
      <c r="P22" s="16" t="n"/>
      <c r="Q22" s="4" t="n"/>
      <c r="R22" s="16" t="n"/>
      <c r="S22" s="20">
        <f>IF(OR(N22="",P22="",R22=""),"",(--TRIM(LEFT(N22,2)))*(--TRIM(LEFT(P22,2)))*(--TRIM(LEFT(R22,2))))</f>
        <v/>
      </c>
      <c r="T22" s="20">
        <f>IF(OR(N22="",P22="",R22=""),"",INDEX(APGrid,COUNTIF(APS,"&gt;"&amp;(--TRIM(LEFT(N22,2))))*5+COUNTIF(APO,"&gt;"&amp;(--TRIM(LEFT(P22,2))))+1,COUNTIF(APD,"&gt;"&amp;(--TRIM(LEFT(R22,2))))+1))</f>
        <v/>
      </c>
      <c r="U22" s="20">
        <f>IF(S22="","",IF(OR((--TRIM(LEFT(N22,2)))&gt;=SThr,S22&gt;=RPNThr,T22="H"),"Yes","No"))</f>
        <v/>
      </c>
      <c r="V22" s="4" t="n"/>
      <c r="W22" s="4" t="n"/>
      <c r="X22" s="4" t="n"/>
      <c r="Y22" s="29" t="n"/>
      <c r="Z22" s="16" t="n"/>
      <c r="AA22" s="16" t="n"/>
      <c r="AB22" s="16" t="n"/>
      <c r="AC22" s="20">
        <f>IF(OR(Z22="",AA22="",AB22=""),"",(--TRIM(LEFT(Z22,2)))*(--TRIM(LEFT(AA22,2)))*(--TRIM(LEFT(AB22,2))))</f>
        <v/>
      </c>
      <c r="AD22" s="20">
        <f>IF(OR(Z22="",AA22="",AB22=""),"",INDEX(APGrid,COUNTIF(APS,"&gt;"&amp;(--TRIM(LEFT(Z22,2))))*5+COUNTIF(APO,"&gt;"&amp;(--TRIM(LEFT(AA22,2))))+1,COUNTIF(APD,"&gt;"&amp;(--TRIM(LEFT(AB22,2))))+1))</f>
        <v/>
      </c>
      <c r="AE22" s="4" t="n"/>
      <c r="AF22" s="4" t="n"/>
      <c r="AH22">
        <f>IFERROR(INDEX(EqTag,_xlfn.AGGREGATE(15,6,(ROW(EqTag)-4)/((EqSys=$D$3)*(EqTag&lt;&gt;"")),ROWS($AH$14:AH22))),"")</f>
        <v/>
      </c>
    </row>
    <row r="23">
      <c r="A23" s="20">
        <f>IF(F23="","",LEFT($D$3,3)&amp;"-"&amp;TEXT(COUNTIF(F$14:F23,"?*"),"00"))</f>
        <v/>
      </c>
      <c r="B23" s="4" t="n"/>
      <c r="C23" s="5">
        <f>IF(B23="","",IFERROR(INDEX(EqTypeCol,MATCH(B23,EqTag,0)),"Tag not in register"))</f>
        <v/>
      </c>
      <c r="D23" s="4" t="n"/>
      <c r="E23" s="4" t="n"/>
      <c r="F23" s="4" t="n"/>
      <c r="G23" s="4" t="n"/>
      <c r="H23" s="4" t="n"/>
      <c r="I23" s="4" t="n"/>
      <c r="J23" s="5">
        <f>_xlfn.TEXTJOIN(CHAR(10),TRUE,IF(G23="","","• "&amp;G23),IF(H23="","","• "&amp;H23),IF(I23="","","• "&amp;I23))</f>
        <v/>
      </c>
      <c r="K23" s="4" t="n"/>
      <c r="L23" s="4" t="n"/>
      <c r="M23" s="4" t="n"/>
      <c r="N23" s="16" t="n"/>
      <c r="O23" s="4" t="n"/>
      <c r="P23" s="16" t="n"/>
      <c r="Q23" s="4" t="n"/>
      <c r="R23" s="16" t="n"/>
      <c r="S23" s="20">
        <f>IF(OR(N23="",P23="",R23=""),"",(--TRIM(LEFT(N23,2)))*(--TRIM(LEFT(P23,2)))*(--TRIM(LEFT(R23,2))))</f>
        <v/>
      </c>
      <c r="T23" s="20">
        <f>IF(OR(N23="",P23="",R23=""),"",INDEX(APGrid,COUNTIF(APS,"&gt;"&amp;(--TRIM(LEFT(N23,2))))*5+COUNTIF(APO,"&gt;"&amp;(--TRIM(LEFT(P23,2))))+1,COUNTIF(APD,"&gt;"&amp;(--TRIM(LEFT(R23,2))))+1))</f>
        <v/>
      </c>
      <c r="U23" s="20">
        <f>IF(S23="","",IF(OR((--TRIM(LEFT(N23,2)))&gt;=SThr,S23&gt;=RPNThr,T23="H"),"Yes","No"))</f>
        <v/>
      </c>
      <c r="V23" s="4" t="n"/>
      <c r="W23" s="4" t="n"/>
      <c r="X23" s="4" t="n"/>
      <c r="Y23" s="29" t="n"/>
      <c r="Z23" s="16" t="n"/>
      <c r="AA23" s="16" t="n"/>
      <c r="AB23" s="16" t="n"/>
      <c r="AC23" s="20">
        <f>IF(OR(Z23="",AA23="",AB23=""),"",(--TRIM(LEFT(Z23,2)))*(--TRIM(LEFT(AA23,2)))*(--TRIM(LEFT(AB23,2))))</f>
        <v/>
      </c>
      <c r="AD23" s="20">
        <f>IF(OR(Z23="",AA23="",AB23=""),"",INDEX(APGrid,COUNTIF(APS,"&gt;"&amp;(--TRIM(LEFT(Z23,2))))*5+COUNTIF(APO,"&gt;"&amp;(--TRIM(LEFT(AA23,2))))+1,COUNTIF(APD,"&gt;"&amp;(--TRIM(LEFT(AB23,2))))+1))</f>
        <v/>
      </c>
      <c r="AE23" s="4" t="n"/>
      <c r="AF23" s="4" t="n"/>
      <c r="AH23">
        <f>IFERROR(INDEX(EqTag,_xlfn.AGGREGATE(15,6,(ROW(EqTag)-4)/((EqSys=$D$3)*(EqTag&lt;&gt;"")),ROWS($AH$14:AH23))),"")</f>
        <v/>
      </c>
    </row>
    <row r="24">
      <c r="A24" s="20">
        <f>IF(F24="","",LEFT($D$3,3)&amp;"-"&amp;TEXT(COUNTIF(F$14:F24,"?*"),"00"))</f>
        <v/>
      </c>
      <c r="B24" s="4" t="n"/>
      <c r="C24" s="5">
        <f>IF(B24="","",IFERROR(INDEX(EqTypeCol,MATCH(B24,EqTag,0)),"Tag not in register"))</f>
        <v/>
      </c>
      <c r="D24" s="4" t="n"/>
      <c r="E24" s="4" t="n"/>
      <c r="F24" s="4" t="n"/>
      <c r="G24" s="4" t="n"/>
      <c r="H24" s="4" t="n"/>
      <c r="I24" s="4" t="n"/>
      <c r="J24" s="5">
        <f>_xlfn.TEXTJOIN(CHAR(10),TRUE,IF(G24="","","• "&amp;G24),IF(H24="","","• "&amp;H24),IF(I24="","","• "&amp;I24))</f>
        <v/>
      </c>
      <c r="K24" s="4" t="n"/>
      <c r="L24" s="4" t="n"/>
      <c r="M24" s="4" t="n"/>
      <c r="N24" s="16" t="n"/>
      <c r="O24" s="4" t="n"/>
      <c r="P24" s="16" t="n"/>
      <c r="Q24" s="4" t="n"/>
      <c r="R24" s="16" t="n"/>
      <c r="S24" s="20">
        <f>IF(OR(N24="",P24="",R24=""),"",(--TRIM(LEFT(N24,2)))*(--TRIM(LEFT(P24,2)))*(--TRIM(LEFT(R24,2))))</f>
        <v/>
      </c>
      <c r="T24" s="20">
        <f>IF(OR(N24="",P24="",R24=""),"",INDEX(APGrid,COUNTIF(APS,"&gt;"&amp;(--TRIM(LEFT(N24,2))))*5+COUNTIF(APO,"&gt;"&amp;(--TRIM(LEFT(P24,2))))+1,COUNTIF(APD,"&gt;"&amp;(--TRIM(LEFT(R24,2))))+1))</f>
        <v/>
      </c>
      <c r="U24" s="20">
        <f>IF(S24="","",IF(OR((--TRIM(LEFT(N24,2)))&gt;=SThr,S24&gt;=RPNThr,T24="H"),"Yes","No"))</f>
        <v/>
      </c>
      <c r="V24" s="4" t="n"/>
      <c r="W24" s="4" t="n"/>
      <c r="X24" s="4" t="n"/>
      <c r="Y24" s="29" t="n"/>
      <c r="Z24" s="16" t="n"/>
      <c r="AA24" s="16" t="n"/>
      <c r="AB24" s="16" t="n"/>
      <c r="AC24" s="20">
        <f>IF(OR(Z24="",AA24="",AB24=""),"",(--TRIM(LEFT(Z24,2)))*(--TRIM(LEFT(AA24,2)))*(--TRIM(LEFT(AB24,2))))</f>
        <v/>
      </c>
      <c r="AD24" s="20">
        <f>IF(OR(Z24="",AA24="",AB24=""),"",INDEX(APGrid,COUNTIF(APS,"&gt;"&amp;(--TRIM(LEFT(Z24,2))))*5+COUNTIF(APO,"&gt;"&amp;(--TRIM(LEFT(AA24,2))))+1,COUNTIF(APD,"&gt;"&amp;(--TRIM(LEFT(AB24,2))))+1))</f>
        <v/>
      </c>
      <c r="AE24" s="4" t="n"/>
      <c r="AF24" s="4" t="n"/>
      <c r="AH24">
        <f>IFERROR(INDEX(EqTag,_xlfn.AGGREGATE(15,6,(ROW(EqTag)-4)/((EqSys=$D$3)*(EqTag&lt;&gt;"")),ROWS($AH$14:AH24))),"")</f>
        <v/>
      </c>
    </row>
    <row r="25">
      <c r="A25" s="20">
        <f>IF(F25="","",LEFT($D$3,3)&amp;"-"&amp;TEXT(COUNTIF(F$14:F25,"?*"),"00"))</f>
        <v/>
      </c>
      <c r="B25" s="4" t="n"/>
      <c r="C25" s="5">
        <f>IF(B25="","",IFERROR(INDEX(EqTypeCol,MATCH(B25,EqTag,0)),"Tag not in register"))</f>
        <v/>
      </c>
      <c r="D25" s="4" t="n"/>
      <c r="E25" s="4" t="n"/>
      <c r="F25" s="4" t="n"/>
      <c r="G25" s="4" t="n"/>
      <c r="H25" s="4" t="n"/>
      <c r="I25" s="4" t="n"/>
      <c r="J25" s="5">
        <f>_xlfn.TEXTJOIN(CHAR(10),TRUE,IF(G25="","","• "&amp;G25),IF(H25="","","• "&amp;H25),IF(I25="","","• "&amp;I25))</f>
        <v/>
      </c>
      <c r="K25" s="4" t="n"/>
      <c r="L25" s="4" t="n"/>
      <c r="M25" s="4" t="n"/>
      <c r="N25" s="16" t="n"/>
      <c r="O25" s="4" t="n"/>
      <c r="P25" s="16" t="n"/>
      <c r="Q25" s="4" t="n"/>
      <c r="R25" s="16" t="n"/>
      <c r="S25" s="20">
        <f>IF(OR(N25="",P25="",R25=""),"",(--TRIM(LEFT(N25,2)))*(--TRIM(LEFT(P25,2)))*(--TRIM(LEFT(R25,2))))</f>
        <v/>
      </c>
      <c r="T25" s="20">
        <f>IF(OR(N25="",P25="",R25=""),"",INDEX(APGrid,COUNTIF(APS,"&gt;"&amp;(--TRIM(LEFT(N25,2))))*5+COUNTIF(APO,"&gt;"&amp;(--TRIM(LEFT(P25,2))))+1,COUNTIF(APD,"&gt;"&amp;(--TRIM(LEFT(R25,2))))+1))</f>
        <v/>
      </c>
      <c r="U25" s="20">
        <f>IF(S25="","",IF(OR((--TRIM(LEFT(N25,2)))&gt;=SThr,S25&gt;=RPNThr,T25="H"),"Yes","No"))</f>
        <v/>
      </c>
      <c r="V25" s="4" t="n"/>
      <c r="W25" s="4" t="n"/>
      <c r="X25" s="4" t="n"/>
      <c r="Y25" s="29" t="n"/>
      <c r="Z25" s="16" t="n"/>
      <c r="AA25" s="16" t="n"/>
      <c r="AB25" s="16" t="n"/>
      <c r="AC25" s="20">
        <f>IF(OR(Z25="",AA25="",AB25=""),"",(--TRIM(LEFT(Z25,2)))*(--TRIM(LEFT(AA25,2)))*(--TRIM(LEFT(AB25,2))))</f>
        <v/>
      </c>
      <c r="AD25" s="20">
        <f>IF(OR(Z25="",AA25="",AB25=""),"",INDEX(APGrid,COUNTIF(APS,"&gt;"&amp;(--TRIM(LEFT(Z25,2))))*5+COUNTIF(APO,"&gt;"&amp;(--TRIM(LEFT(AA25,2))))+1,COUNTIF(APD,"&gt;"&amp;(--TRIM(LEFT(AB25,2))))+1))</f>
        <v/>
      </c>
      <c r="AE25" s="4" t="n"/>
      <c r="AF25" s="4" t="n"/>
      <c r="AH25">
        <f>IFERROR(INDEX(EqTag,_xlfn.AGGREGATE(15,6,(ROW(EqTag)-4)/((EqSys=$D$3)*(EqTag&lt;&gt;"")),ROWS($AH$14:AH25))),"")</f>
        <v/>
      </c>
    </row>
    <row r="26">
      <c r="A26" s="20">
        <f>IF(F26="","",LEFT($D$3,3)&amp;"-"&amp;TEXT(COUNTIF(F$14:F26,"?*"),"00"))</f>
        <v/>
      </c>
      <c r="B26" s="4" t="n"/>
      <c r="C26" s="5">
        <f>IF(B26="","",IFERROR(INDEX(EqTypeCol,MATCH(B26,EqTag,0)),"Tag not in register"))</f>
        <v/>
      </c>
      <c r="D26" s="4" t="n"/>
      <c r="E26" s="4" t="n"/>
      <c r="F26" s="4" t="n"/>
      <c r="G26" s="4" t="n"/>
      <c r="H26" s="4" t="n"/>
      <c r="I26" s="4" t="n"/>
      <c r="J26" s="5">
        <f>_xlfn.TEXTJOIN(CHAR(10),TRUE,IF(G26="","","• "&amp;G26),IF(H26="","","• "&amp;H26),IF(I26="","","• "&amp;I26))</f>
        <v/>
      </c>
      <c r="K26" s="4" t="n"/>
      <c r="L26" s="4" t="n"/>
      <c r="M26" s="4" t="n"/>
      <c r="N26" s="16" t="n"/>
      <c r="O26" s="4" t="n"/>
      <c r="P26" s="16" t="n"/>
      <c r="Q26" s="4" t="n"/>
      <c r="R26" s="16" t="n"/>
      <c r="S26" s="20">
        <f>IF(OR(N26="",P26="",R26=""),"",(--TRIM(LEFT(N26,2)))*(--TRIM(LEFT(P26,2)))*(--TRIM(LEFT(R26,2))))</f>
        <v/>
      </c>
      <c r="T26" s="20">
        <f>IF(OR(N26="",P26="",R26=""),"",INDEX(APGrid,COUNTIF(APS,"&gt;"&amp;(--TRIM(LEFT(N26,2))))*5+COUNTIF(APO,"&gt;"&amp;(--TRIM(LEFT(P26,2))))+1,COUNTIF(APD,"&gt;"&amp;(--TRIM(LEFT(R26,2))))+1))</f>
        <v/>
      </c>
      <c r="U26" s="20">
        <f>IF(S26="","",IF(OR((--TRIM(LEFT(N26,2)))&gt;=SThr,S26&gt;=RPNThr,T26="H"),"Yes","No"))</f>
        <v/>
      </c>
      <c r="V26" s="4" t="n"/>
      <c r="W26" s="4" t="n"/>
      <c r="X26" s="4" t="n"/>
      <c r="Y26" s="29" t="n"/>
      <c r="Z26" s="16" t="n"/>
      <c r="AA26" s="16" t="n"/>
      <c r="AB26" s="16" t="n"/>
      <c r="AC26" s="20">
        <f>IF(OR(Z26="",AA26="",AB26=""),"",(--TRIM(LEFT(Z26,2)))*(--TRIM(LEFT(AA26,2)))*(--TRIM(LEFT(AB26,2))))</f>
        <v/>
      </c>
      <c r="AD26" s="20">
        <f>IF(OR(Z26="",AA26="",AB26=""),"",INDEX(APGrid,COUNTIF(APS,"&gt;"&amp;(--TRIM(LEFT(Z26,2))))*5+COUNTIF(APO,"&gt;"&amp;(--TRIM(LEFT(AA26,2))))+1,COUNTIF(APD,"&gt;"&amp;(--TRIM(LEFT(AB26,2))))+1))</f>
        <v/>
      </c>
      <c r="AE26" s="4" t="n"/>
      <c r="AF26" s="4" t="n"/>
      <c r="AH26">
        <f>IFERROR(INDEX(EqTag,_xlfn.AGGREGATE(15,6,(ROW(EqTag)-4)/((EqSys=$D$3)*(EqTag&lt;&gt;"")),ROWS($AH$14:AH26))),"")</f>
        <v/>
      </c>
    </row>
    <row r="27">
      <c r="A27" s="20">
        <f>IF(F27="","",LEFT($D$3,3)&amp;"-"&amp;TEXT(COUNTIF(F$14:F27,"?*"),"00"))</f>
        <v/>
      </c>
      <c r="B27" s="4" t="n"/>
      <c r="C27" s="5">
        <f>IF(B27="","",IFERROR(INDEX(EqTypeCol,MATCH(B27,EqTag,0)),"Tag not in register"))</f>
        <v/>
      </c>
      <c r="D27" s="4" t="n"/>
      <c r="E27" s="4" t="n"/>
      <c r="F27" s="4" t="n"/>
      <c r="G27" s="4" t="n"/>
      <c r="H27" s="4" t="n"/>
      <c r="I27" s="4" t="n"/>
      <c r="J27" s="5">
        <f>_xlfn.TEXTJOIN(CHAR(10),TRUE,IF(G27="","","• "&amp;G27),IF(H27="","","• "&amp;H27),IF(I27="","","• "&amp;I27))</f>
        <v/>
      </c>
      <c r="K27" s="4" t="n"/>
      <c r="L27" s="4" t="n"/>
      <c r="M27" s="4" t="n"/>
      <c r="N27" s="16" t="n"/>
      <c r="O27" s="4" t="n"/>
      <c r="P27" s="16" t="n"/>
      <c r="Q27" s="4" t="n"/>
      <c r="R27" s="16" t="n"/>
      <c r="S27" s="20">
        <f>IF(OR(N27="",P27="",R27=""),"",(--TRIM(LEFT(N27,2)))*(--TRIM(LEFT(P27,2)))*(--TRIM(LEFT(R27,2))))</f>
        <v/>
      </c>
      <c r="T27" s="20">
        <f>IF(OR(N27="",P27="",R27=""),"",INDEX(APGrid,COUNTIF(APS,"&gt;"&amp;(--TRIM(LEFT(N27,2))))*5+COUNTIF(APO,"&gt;"&amp;(--TRIM(LEFT(P27,2))))+1,COUNTIF(APD,"&gt;"&amp;(--TRIM(LEFT(R27,2))))+1))</f>
        <v/>
      </c>
      <c r="U27" s="20">
        <f>IF(S27="","",IF(OR((--TRIM(LEFT(N27,2)))&gt;=SThr,S27&gt;=RPNThr,T27="H"),"Yes","No"))</f>
        <v/>
      </c>
      <c r="V27" s="4" t="n"/>
      <c r="W27" s="4" t="n"/>
      <c r="X27" s="4" t="n"/>
      <c r="Y27" s="29" t="n"/>
      <c r="Z27" s="16" t="n"/>
      <c r="AA27" s="16" t="n"/>
      <c r="AB27" s="16" t="n"/>
      <c r="AC27" s="20">
        <f>IF(OR(Z27="",AA27="",AB27=""),"",(--TRIM(LEFT(Z27,2)))*(--TRIM(LEFT(AA27,2)))*(--TRIM(LEFT(AB27,2))))</f>
        <v/>
      </c>
      <c r="AD27" s="20">
        <f>IF(OR(Z27="",AA27="",AB27=""),"",INDEX(APGrid,COUNTIF(APS,"&gt;"&amp;(--TRIM(LEFT(Z27,2))))*5+COUNTIF(APO,"&gt;"&amp;(--TRIM(LEFT(AA27,2))))+1,COUNTIF(APD,"&gt;"&amp;(--TRIM(LEFT(AB27,2))))+1))</f>
        <v/>
      </c>
      <c r="AE27" s="4" t="n"/>
      <c r="AF27" s="4" t="n"/>
      <c r="AH27">
        <f>IFERROR(INDEX(EqTag,_xlfn.AGGREGATE(15,6,(ROW(EqTag)-4)/((EqSys=$D$3)*(EqTag&lt;&gt;"")),ROWS($AH$14:AH27))),"")</f>
        <v/>
      </c>
    </row>
    <row r="28">
      <c r="A28" s="20">
        <f>IF(F28="","",LEFT($D$3,3)&amp;"-"&amp;TEXT(COUNTIF(F$14:F28,"?*"),"00"))</f>
        <v/>
      </c>
      <c r="B28" s="4" t="n"/>
      <c r="C28" s="5">
        <f>IF(B28="","",IFERROR(INDEX(EqTypeCol,MATCH(B28,EqTag,0)),"Tag not in register"))</f>
        <v/>
      </c>
      <c r="D28" s="4" t="n"/>
      <c r="E28" s="4" t="n"/>
      <c r="F28" s="4" t="n"/>
      <c r="G28" s="4" t="n"/>
      <c r="H28" s="4" t="n"/>
      <c r="I28" s="4" t="n"/>
      <c r="J28" s="5">
        <f>_xlfn.TEXTJOIN(CHAR(10),TRUE,IF(G28="","","• "&amp;G28),IF(H28="","","• "&amp;H28),IF(I28="","","• "&amp;I28))</f>
        <v/>
      </c>
      <c r="K28" s="4" t="n"/>
      <c r="L28" s="4" t="n"/>
      <c r="M28" s="4" t="n"/>
      <c r="N28" s="16" t="n"/>
      <c r="O28" s="4" t="n"/>
      <c r="P28" s="16" t="n"/>
      <c r="Q28" s="4" t="n"/>
      <c r="R28" s="16" t="n"/>
      <c r="S28" s="20">
        <f>IF(OR(N28="",P28="",R28=""),"",(--TRIM(LEFT(N28,2)))*(--TRIM(LEFT(P28,2)))*(--TRIM(LEFT(R28,2))))</f>
        <v/>
      </c>
      <c r="T28" s="20">
        <f>IF(OR(N28="",P28="",R28=""),"",INDEX(APGrid,COUNTIF(APS,"&gt;"&amp;(--TRIM(LEFT(N28,2))))*5+COUNTIF(APO,"&gt;"&amp;(--TRIM(LEFT(P28,2))))+1,COUNTIF(APD,"&gt;"&amp;(--TRIM(LEFT(R28,2))))+1))</f>
        <v/>
      </c>
      <c r="U28" s="20">
        <f>IF(S28="","",IF(OR((--TRIM(LEFT(N28,2)))&gt;=SThr,S28&gt;=RPNThr,T28="H"),"Yes","No"))</f>
        <v/>
      </c>
      <c r="V28" s="4" t="n"/>
      <c r="W28" s="4" t="n"/>
      <c r="X28" s="4" t="n"/>
      <c r="Y28" s="29" t="n"/>
      <c r="Z28" s="16" t="n"/>
      <c r="AA28" s="16" t="n"/>
      <c r="AB28" s="16" t="n"/>
      <c r="AC28" s="20">
        <f>IF(OR(Z28="",AA28="",AB28=""),"",(--TRIM(LEFT(Z28,2)))*(--TRIM(LEFT(AA28,2)))*(--TRIM(LEFT(AB28,2))))</f>
        <v/>
      </c>
      <c r="AD28" s="20">
        <f>IF(OR(Z28="",AA28="",AB28=""),"",INDEX(APGrid,COUNTIF(APS,"&gt;"&amp;(--TRIM(LEFT(Z28,2))))*5+COUNTIF(APO,"&gt;"&amp;(--TRIM(LEFT(AA28,2))))+1,COUNTIF(APD,"&gt;"&amp;(--TRIM(LEFT(AB28,2))))+1))</f>
        <v/>
      </c>
      <c r="AE28" s="4" t="n"/>
      <c r="AF28" s="4" t="n"/>
      <c r="AH28">
        <f>IFERROR(INDEX(EqTag,_xlfn.AGGREGATE(15,6,(ROW(EqTag)-4)/((EqSys=$D$3)*(EqTag&lt;&gt;"")),ROWS($AH$14:AH28))),"")</f>
        <v/>
      </c>
    </row>
    <row r="29">
      <c r="A29" s="20">
        <f>IF(F29="","",LEFT($D$3,3)&amp;"-"&amp;TEXT(COUNTIF(F$14:F29,"?*"),"00"))</f>
        <v/>
      </c>
      <c r="B29" s="4" t="n"/>
      <c r="C29" s="5">
        <f>IF(B29="","",IFERROR(INDEX(EqTypeCol,MATCH(B29,EqTag,0)),"Tag not in register"))</f>
        <v/>
      </c>
      <c r="D29" s="4" t="n"/>
      <c r="E29" s="4" t="n"/>
      <c r="F29" s="4" t="n"/>
      <c r="G29" s="4" t="n"/>
      <c r="H29" s="4" t="n"/>
      <c r="I29" s="4" t="n"/>
      <c r="J29" s="5">
        <f>_xlfn.TEXTJOIN(CHAR(10),TRUE,IF(G29="","","• "&amp;G29),IF(H29="","","• "&amp;H29),IF(I29="","","• "&amp;I29))</f>
        <v/>
      </c>
      <c r="K29" s="4" t="n"/>
      <c r="L29" s="4" t="n"/>
      <c r="M29" s="4" t="n"/>
      <c r="N29" s="16" t="n"/>
      <c r="O29" s="4" t="n"/>
      <c r="P29" s="16" t="n"/>
      <c r="Q29" s="4" t="n"/>
      <c r="R29" s="16" t="n"/>
      <c r="S29" s="20">
        <f>IF(OR(N29="",P29="",R29=""),"",(--TRIM(LEFT(N29,2)))*(--TRIM(LEFT(P29,2)))*(--TRIM(LEFT(R29,2))))</f>
        <v/>
      </c>
      <c r="T29" s="20">
        <f>IF(OR(N29="",P29="",R29=""),"",INDEX(APGrid,COUNTIF(APS,"&gt;"&amp;(--TRIM(LEFT(N29,2))))*5+COUNTIF(APO,"&gt;"&amp;(--TRIM(LEFT(P29,2))))+1,COUNTIF(APD,"&gt;"&amp;(--TRIM(LEFT(R29,2))))+1))</f>
        <v/>
      </c>
      <c r="U29" s="20">
        <f>IF(S29="","",IF(OR((--TRIM(LEFT(N29,2)))&gt;=SThr,S29&gt;=RPNThr,T29="H"),"Yes","No"))</f>
        <v/>
      </c>
      <c r="V29" s="4" t="n"/>
      <c r="W29" s="4" t="n"/>
      <c r="X29" s="4" t="n"/>
      <c r="Y29" s="29" t="n"/>
      <c r="Z29" s="16" t="n"/>
      <c r="AA29" s="16" t="n"/>
      <c r="AB29" s="16" t="n"/>
      <c r="AC29" s="20">
        <f>IF(OR(Z29="",AA29="",AB29=""),"",(--TRIM(LEFT(Z29,2)))*(--TRIM(LEFT(AA29,2)))*(--TRIM(LEFT(AB29,2))))</f>
        <v/>
      </c>
      <c r="AD29" s="20">
        <f>IF(OR(Z29="",AA29="",AB29=""),"",INDEX(APGrid,COUNTIF(APS,"&gt;"&amp;(--TRIM(LEFT(Z29,2))))*5+COUNTIF(APO,"&gt;"&amp;(--TRIM(LEFT(AA29,2))))+1,COUNTIF(APD,"&gt;"&amp;(--TRIM(LEFT(AB29,2))))+1))</f>
        <v/>
      </c>
      <c r="AE29" s="4" t="n"/>
      <c r="AF29" s="4" t="n"/>
      <c r="AH29">
        <f>IFERROR(INDEX(EqTag,_xlfn.AGGREGATE(15,6,(ROW(EqTag)-4)/((EqSys=$D$3)*(EqTag&lt;&gt;"")),ROWS($AH$14:AH29))),"")</f>
        <v/>
      </c>
    </row>
    <row r="30">
      <c r="A30" s="20">
        <f>IF(F30="","",LEFT($D$3,3)&amp;"-"&amp;TEXT(COUNTIF(F$14:F30,"?*"),"00"))</f>
        <v/>
      </c>
      <c r="B30" s="4" t="n"/>
      <c r="C30" s="5">
        <f>IF(B30="","",IFERROR(INDEX(EqTypeCol,MATCH(B30,EqTag,0)),"Tag not in register"))</f>
        <v/>
      </c>
      <c r="D30" s="4" t="n"/>
      <c r="E30" s="4" t="n"/>
      <c r="F30" s="4" t="n"/>
      <c r="G30" s="4" t="n"/>
      <c r="H30" s="4" t="n"/>
      <c r="I30" s="4" t="n"/>
      <c r="J30" s="5">
        <f>_xlfn.TEXTJOIN(CHAR(10),TRUE,IF(G30="","","• "&amp;G30),IF(H30="","","• "&amp;H30),IF(I30="","","• "&amp;I30))</f>
        <v/>
      </c>
      <c r="K30" s="4" t="n"/>
      <c r="L30" s="4" t="n"/>
      <c r="M30" s="4" t="n"/>
      <c r="N30" s="16" t="n"/>
      <c r="O30" s="4" t="n"/>
      <c r="P30" s="16" t="n"/>
      <c r="Q30" s="4" t="n"/>
      <c r="R30" s="16" t="n"/>
      <c r="S30" s="20">
        <f>IF(OR(N30="",P30="",R30=""),"",(--TRIM(LEFT(N30,2)))*(--TRIM(LEFT(P30,2)))*(--TRIM(LEFT(R30,2))))</f>
        <v/>
      </c>
      <c r="T30" s="20">
        <f>IF(OR(N30="",P30="",R30=""),"",INDEX(APGrid,COUNTIF(APS,"&gt;"&amp;(--TRIM(LEFT(N30,2))))*5+COUNTIF(APO,"&gt;"&amp;(--TRIM(LEFT(P30,2))))+1,COUNTIF(APD,"&gt;"&amp;(--TRIM(LEFT(R30,2))))+1))</f>
        <v/>
      </c>
      <c r="U30" s="20">
        <f>IF(S30="","",IF(OR((--TRIM(LEFT(N30,2)))&gt;=SThr,S30&gt;=RPNThr,T30="H"),"Yes","No"))</f>
        <v/>
      </c>
      <c r="V30" s="4" t="n"/>
      <c r="W30" s="4" t="n"/>
      <c r="X30" s="4" t="n"/>
      <c r="Y30" s="29" t="n"/>
      <c r="Z30" s="16" t="n"/>
      <c r="AA30" s="16" t="n"/>
      <c r="AB30" s="16" t="n"/>
      <c r="AC30" s="20">
        <f>IF(OR(Z30="",AA30="",AB30=""),"",(--TRIM(LEFT(Z30,2)))*(--TRIM(LEFT(AA30,2)))*(--TRIM(LEFT(AB30,2))))</f>
        <v/>
      </c>
      <c r="AD30" s="20">
        <f>IF(OR(Z30="",AA30="",AB30=""),"",INDEX(APGrid,COUNTIF(APS,"&gt;"&amp;(--TRIM(LEFT(Z30,2))))*5+COUNTIF(APO,"&gt;"&amp;(--TRIM(LEFT(AA30,2))))+1,COUNTIF(APD,"&gt;"&amp;(--TRIM(LEFT(AB30,2))))+1))</f>
        <v/>
      </c>
      <c r="AE30" s="4" t="n"/>
      <c r="AF30" s="4" t="n"/>
      <c r="AH30">
        <f>IFERROR(INDEX(EqTag,_xlfn.AGGREGATE(15,6,(ROW(EqTag)-4)/((EqSys=$D$3)*(EqTag&lt;&gt;"")),ROWS($AH$14:AH30))),"")</f>
        <v/>
      </c>
    </row>
    <row r="31">
      <c r="A31" s="20">
        <f>IF(F31="","",LEFT($D$3,3)&amp;"-"&amp;TEXT(COUNTIF(F$14:F31,"?*"),"00"))</f>
        <v/>
      </c>
      <c r="B31" s="4" t="n"/>
      <c r="C31" s="5">
        <f>IF(B31="","",IFERROR(INDEX(EqTypeCol,MATCH(B31,EqTag,0)),"Tag not in register"))</f>
        <v/>
      </c>
      <c r="D31" s="4" t="n"/>
      <c r="E31" s="4" t="n"/>
      <c r="F31" s="4" t="n"/>
      <c r="G31" s="4" t="n"/>
      <c r="H31" s="4" t="n"/>
      <c r="I31" s="4" t="n"/>
      <c r="J31" s="5">
        <f>_xlfn.TEXTJOIN(CHAR(10),TRUE,IF(G31="","","• "&amp;G31),IF(H31="","","• "&amp;H31),IF(I31="","","• "&amp;I31))</f>
        <v/>
      </c>
      <c r="K31" s="4" t="n"/>
      <c r="L31" s="4" t="n"/>
      <c r="M31" s="4" t="n"/>
      <c r="N31" s="16" t="n"/>
      <c r="O31" s="4" t="n"/>
      <c r="P31" s="16" t="n"/>
      <c r="Q31" s="4" t="n"/>
      <c r="R31" s="16" t="n"/>
      <c r="S31" s="20">
        <f>IF(OR(N31="",P31="",R31=""),"",(--TRIM(LEFT(N31,2)))*(--TRIM(LEFT(P31,2)))*(--TRIM(LEFT(R31,2))))</f>
        <v/>
      </c>
      <c r="T31" s="20">
        <f>IF(OR(N31="",P31="",R31=""),"",INDEX(APGrid,COUNTIF(APS,"&gt;"&amp;(--TRIM(LEFT(N31,2))))*5+COUNTIF(APO,"&gt;"&amp;(--TRIM(LEFT(P31,2))))+1,COUNTIF(APD,"&gt;"&amp;(--TRIM(LEFT(R31,2))))+1))</f>
        <v/>
      </c>
      <c r="U31" s="20">
        <f>IF(S31="","",IF(OR((--TRIM(LEFT(N31,2)))&gt;=SThr,S31&gt;=RPNThr,T31="H"),"Yes","No"))</f>
        <v/>
      </c>
      <c r="V31" s="4" t="n"/>
      <c r="W31" s="4" t="n"/>
      <c r="X31" s="4" t="n"/>
      <c r="Y31" s="29" t="n"/>
      <c r="Z31" s="16" t="n"/>
      <c r="AA31" s="16" t="n"/>
      <c r="AB31" s="16" t="n"/>
      <c r="AC31" s="20">
        <f>IF(OR(Z31="",AA31="",AB31=""),"",(--TRIM(LEFT(Z31,2)))*(--TRIM(LEFT(AA31,2)))*(--TRIM(LEFT(AB31,2))))</f>
        <v/>
      </c>
      <c r="AD31" s="20">
        <f>IF(OR(Z31="",AA31="",AB31=""),"",INDEX(APGrid,COUNTIF(APS,"&gt;"&amp;(--TRIM(LEFT(Z31,2))))*5+COUNTIF(APO,"&gt;"&amp;(--TRIM(LEFT(AA31,2))))+1,COUNTIF(APD,"&gt;"&amp;(--TRIM(LEFT(AB31,2))))+1))</f>
        <v/>
      </c>
      <c r="AE31" s="4" t="n"/>
      <c r="AF31" s="4" t="n"/>
      <c r="AH31">
        <f>IFERROR(INDEX(EqTag,_xlfn.AGGREGATE(15,6,(ROW(EqTag)-4)/((EqSys=$D$3)*(EqTag&lt;&gt;"")),ROWS($AH$14:AH31))),"")</f>
        <v/>
      </c>
    </row>
    <row r="32">
      <c r="A32" s="20">
        <f>IF(F32="","",LEFT($D$3,3)&amp;"-"&amp;TEXT(COUNTIF(F$14:F32,"?*"),"00"))</f>
        <v/>
      </c>
      <c r="B32" s="4" t="n"/>
      <c r="C32" s="5">
        <f>IF(B32="","",IFERROR(INDEX(EqTypeCol,MATCH(B32,EqTag,0)),"Tag not in register"))</f>
        <v/>
      </c>
      <c r="D32" s="4" t="n"/>
      <c r="E32" s="4" t="n"/>
      <c r="F32" s="4" t="n"/>
      <c r="G32" s="4" t="n"/>
      <c r="H32" s="4" t="n"/>
      <c r="I32" s="4" t="n"/>
      <c r="J32" s="5">
        <f>_xlfn.TEXTJOIN(CHAR(10),TRUE,IF(G32="","","• "&amp;G32),IF(H32="","","• "&amp;H32),IF(I32="","","• "&amp;I32))</f>
        <v/>
      </c>
      <c r="K32" s="4" t="n"/>
      <c r="L32" s="4" t="n"/>
      <c r="M32" s="4" t="n"/>
      <c r="N32" s="16" t="n"/>
      <c r="O32" s="4" t="n"/>
      <c r="P32" s="16" t="n"/>
      <c r="Q32" s="4" t="n"/>
      <c r="R32" s="16" t="n"/>
      <c r="S32" s="20">
        <f>IF(OR(N32="",P32="",R32=""),"",(--TRIM(LEFT(N32,2)))*(--TRIM(LEFT(P32,2)))*(--TRIM(LEFT(R32,2))))</f>
        <v/>
      </c>
      <c r="T32" s="20">
        <f>IF(OR(N32="",P32="",R32=""),"",INDEX(APGrid,COUNTIF(APS,"&gt;"&amp;(--TRIM(LEFT(N32,2))))*5+COUNTIF(APO,"&gt;"&amp;(--TRIM(LEFT(P32,2))))+1,COUNTIF(APD,"&gt;"&amp;(--TRIM(LEFT(R32,2))))+1))</f>
        <v/>
      </c>
      <c r="U32" s="20">
        <f>IF(S32="","",IF(OR((--TRIM(LEFT(N32,2)))&gt;=SThr,S32&gt;=RPNThr,T32="H"),"Yes","No"))</f>
        <v/>
      </c>
      <c r="V32" s="4" t="n"/>
      <c r="W32" s="4" t="n"/>
      <c r="X32" s="4" t="n"/>
      <c r="Y32" s="29" t="n"/>
      <c r="Z32" s="16" t="n"/>
      <c r="AA32" s="16" t="n"/>
      <c r="AB32" s="16" t="n"/>
      <c r="AC32" s="20">
        <f>IF(OR(Z32="",AA32="",AB32=""),"",(--TRIM(LEFT(Z32,2)))*(--TRIM(LEFT(AA32,2)))*(--TRIM(LEFT(AB32,2))))</f>
        <v/>
      </c>
      <c r="AD32" s="20">
        <f>IF(OR(Z32="",AA32="",AB32=""),"",INDEX(APGrid,COUNTIF(APS,"&gt;"&amp;(--TRIM(LEFT(Z32,2))))*5+COUNTIF(APO,"&gt;"&amp;(--TRIM(LEFT(AA32,2))))+1,COUNTIF(APD,"&gt;"&amp;(--TRIM(LEFT(AB32,2))))+1))</f>
        <v/>
      </c>
      <c r="AE32" s="4" t="n"/>
      <c r="AF32" s="4" t="n"/>
      <c r="AH32">
        <f>IFERROR(INDEX(EqTag,_xlfn.AGGREGATE(15,6,(ROW(EqTag)-4)/((EqSys=$D$3)*(EqTag&lt;&gt;"")),ROWS($AH$14:AH32))),"")</f>
        <v/>
      </c>
    </row>
    <row r="33">
      <c r="A33" s="20">
        <f>IF(F33="","",LEFT($D$3,3)&amp;"-"&amp;TEXT(COUNTIF(F$14:F33,"?*"),"00"))</f>
        <v/>
      </c>
      <c r="B33" s="4" t="n"/>
      <c r="C33" s="5">
        <f>IF(B33="","",IFERROR(INDEX(EqTypeCol,MATCH(B33,EqTag,0)),"Tag not in register"))</f>
        <v/>
      </c>
      <c r="D33" s="4" t="n"/>
      <c r="E33" s="4" t="n"/>
      <c r="F33" s="4" t="n"/>
      <c r="G33" s="4" t="n"/>
      <c r="H33" s="4" t="n"/>
      <c r="I33" s="4" t="n"/>
      <c r="J33" s="5">
        <f>_xlfn.TEXTJOIN(CHAR(10),TRUE,IF(G33="","","• "&amp;G33),IF(H33="","","• "&amp;H33),IF(I33="","","• "&amp;I33))</f>
        <v/>
      </c>
      <c r="K33" s="4" t="n"/>
      <c r="L33" s="4" t="n"/>
      <c r="M33" s="4" t="n"/>
      <c r="N33" s="16" t="n"/>
      <c r="O33" s="4" t="n"/>
      <c r="P33" s="16" t="n"/>
      <c r="Q33" s="4" t="n"/>
      <c r="R33" s="16" t="n"/>
      <c r="S33" s="20">
        <f>IF(OR(N33="",P33="",R33=""),"",(--TRIM(LEFT(N33,2)))*(--TRIM(LEFT(P33,2)))*(--TRIM(LEFT(R33,2))))</f>
        <v/>
      </c>
      <c r="T33" s="20">
        <f>IF(OR(N33="",P33="",R33=""),"",INDEX(APGrid,COUNTIF(APS,"&gt;"&amp;(--TRIM(LEFT(N33,2))))*5+COUNTIF(APO,"&gt;"&amp;(--TRIM(LEFT(P33,2))))+1,COUNTIF(APD,"&gt;"&amp;(--TRIM(LEFT(R33,2))))+1))</f>
        <v/>
      </c>
      <c r="U33" s="20">
        <f>IF(S33="","",IF(OR((--TRIM(LEFT(N33,2)))&gt;=SThr,S33&gt;=RPNThr,T33="H"),"Yes","No"))</f>
        <v/>
      </c>
      <c r="V33" s="4" t="n"/>
      <c r="W33" s="4" t="n"/>
      <c r="X33" s="4" t="n"/>
      <c r="Y33" s="29" t="n"/>
      <c r="Z33" s="16" t="n"/>
      <c r="AA33" s="16" t="n"/>
      <c r="AB33" s="16" t="n"/>
      <c r="AC33" s="20">
        <f>IF(OR(Z33="",AA33="",AB33=""),"",(--TRIM(LEFT(Z33,2)))*(--TRIM(LEFT(AA33,2)))*(--TRIM(LEFT(AB33,2))))</f>
        <v/>
      </c>
      <c r="AD33" s="20">
        <f>IF(OR(Z33="",AA33="",AB33=""),"",INDEX(APGrid,COUNTIF(APS,"&gt;"&amp;(--TRIM(LEFT(Z33,2))))*5+COUNTIF(APO,"&gt;"&amp;(--TRIM(LEFT(AA33,2))))+1,COUNTIF(APD,"&gt;"&amp;(--TRIM(LEFT(AB33,2))))+1))</f>
        <v/>
      </c>
      <c r="AE33" s="4" t="n"/>
      <c r="AF33" s="4" t="n"/>
      <c r="AH33">
        <f>IFERROR(INDEX(EqTag,_xlfn.AGGREGATE(15,6,(ROW(EqTag)-4)/((EqSys=$D$3)*(EqTag&lt;&gt;"")),ROWS($AH$14:AH33))),"")</f>
        <v/>
      </c>
    </row>
    <row r="34">
      <c r="A34" s="20">
        <f>IF(F34="","",LEFT($D$3,3)&amp;"-"&amp;TEXT(COUNTIF(F$14:F34,"?*"),"00"))</f>
        <v/>
      </c>
      <c r="B34" s="4" t="n"/>
      <c r="C34" s="5">
        <f>IF(B34="","",IFERROR(INDEX(EqTypeCol,MATCH(B34,EqTag,0)),"Tag not in register"))</f>
        <v/>
      </c>
      <c r="D34" s="4" t="n"/>
      <c r="E34" s="4" t="n"/>
      <c r="F34" s="4" t="n"/>
      <c r="G34" s="4" t="n"/>
      <c r="H34" s="4" t="n"/>
      <c r="I34" s="4" t="n"/>
      <c r="J34" s="5">
        <f>_xlfn.TEXTJOIN(CHAR(10),TRUE,IF(G34="","","• "&amp;G34),IF(H34="","","• "&amp;H34),IF(I34="","","• "&amp;I34))</f>
        <v/>
      </c>
      <c r="K34" s="4" t="n"/>
      <c r="L34" s="4" t="n"/>
      <c r="M34" s="4" t="n"/>
      <c r="N34" s="16" t="n"/>
      <c r="O34" s="4" t="n"/>
      <c r="P34" s="16" t="n"/>
      <c r="Q34" s="4" t="n"/>
      <c r="R34" s="16" t="n"/>
      <c r="S34" s="20">
        <f>IF(OR(N34="",P34="",R34=""),"",(--TRIM(LEFT(N34,2)))*(--TRIM(LEFT(P34,2)))*(--TRIM(LEFT(R34,2))))</f>
        <v/>
      </c>
      <c r="T34" s="20">
        <f>IF(OR(N34="",P34="",R34=""),"",INDEX(APGrid,COUNTIF(APS,"&gt;"&amp;(--TRIM(LEFT(N34,2))))*5+COUNTIF(APO,"&gt;"&amp;(--TRIM(LEFT(P34,2))))+1,COUNTIF(APD,"&gt;"&amp;(--TRIM(LEFT(R34,2))))+1))</f>
        <v/>
      </c>
      <c r="U34" s="20">
        <f>IF(S34="","",IF(OR((--TRIM(LEFT(N34,2)))&gt;=SThr,S34&gt;=RPNThr,T34="H"),"Yes","No"))</f>
        <v/>
      </c>
      <c r="V34" s="4" t="n"/>
      <c r="W34" s="4" t="n"/>
      <c r="X34" s="4" t="n"/>
      <c r="Y34" s="29" t="n"/>
      <c r="Z34" s="16" t="n"/>
      <c r="AA34" s="16" t="n"/>
      <c r="AB34" s="16" t="n"/>
      <c r="AC34" s="20">
        <f>IF(OR(Z34="",AA34="",AB34=""),"",(--TRIM(LEFT(Z34,2)))*(--TRIM(LEFT(AA34,2)))*(--TRIM(LEFT(AB34,2))))</f>
        <v/>
      </c>
      <c r="AD34" s="20">
        <f>IF(OR(Z34="",AA34="",AB34=""),"",INDEX(APGrid,COUNTIF(APS,"&gt;"&amp;(--TRIM(LEFT(Z34,2))))*5+COUNTIF(APO,"&gt;"&amp;(--TRIM(LEFT(AA34,2))))+1,COUNTIF(APD,"&gt;"&amp;(--TRIM(LEFT(AB34,2))))+1))</f>
        <v/>
      </c>
      <c r="AE34" s="4" t="n"/>
      <c r="AF34" s="4" t="n"/>
      <c r="AH34">
        <f>IFERROR(INDEX(EqTag,_xlfn.AGGREGATE(15,6,(ROW(EqTag)-4)/((EqSys=$D$3)*(EqTag&lt;&gt;"")),ROWS($AH$14:AH34))),"")</f>
        <v/>
      </c>
    </row>
    <row r="35">
      <c r="A35" s="20">
        <f>IF(F35="","",LEFT($D$3,3)&amp;"-"&amp;TEXT(COUNTIF(F$14:F35,"?*"),"00"))</f>
        <v/>
      </c>
      <c r="B35" s="4" t="n"/>
      <c r="C35" s="5">
        <f>IF(B35="","",IFERROR(INDEX(EqTypeCol,MATCH(B35,EqTag,0)),"Tag not in register"))</f>
        <v/>
      </c>
      <c r="D35" s="4" t="n"/>
      <c r="E35" s="4" t="n"/>
      <c r="F35" s="4" t="n"/>
      <c r="G35" s="4" t="n"/>
      <c r="H35" s="4" t="n"/>
      <c r="I35" s="4" t="n"/>
      <c r="J35" s="5">
        <f>_xlfn.TEXTJOIN(CHAR(10),TRUE,IF(G35="","","• "&amp;G35),IF(H35="","","• "&amp;H35),IF(I35="","","• "&amp;I35))</f>
        <v/>
      </c>
      <c r="K35" s="4" t="n"/>
      <c r="L35" s="4" t="n"/>
      <c r="M35" s="4" t="n"/>
      <c r="N35" s="16" t="n"/>
      <c r="O35" s="4" t="n"/>
      <c r="P35" s="16" t="n"/>
      <c r="Q35" s="4" t="n"/>
      <c r="R35" s="16" t="n"/>
      <c r="S35" s="20">
        <f>IF(OR(N35="",P35="",R35=""),"",(--TRIM(LEFT(N35,2)))*(--TRIM(LEFT(P35,2)))*(--TRIM(LEFT(R35,2))))</f>
        <v/>
      </c>
      <c r="T35" s="20">
        <f>IF(OR(N35="",P35="",R35=""),"",INDEX(APGrid,COUNTIF(APS,"&gt;"&amp;(--TRIM(LEFT(N35,2))))*5+COUNTIF(APO,"&gt;"&amp;(--TRIM(LEFT(P35,2))))+1,COUNTIF(APD,"&gt;"&amp;(--TRIM(LEFT(R35,2))))+1))</f>
        <v/>
      </c>
      <c r="U35" s="20">
        <f>IF(S35="","",IF(OR((--TRIM(LEFT(N35,2)))&gt;=SThr,S35&gt;=RPNThr,T35="H"),"Yes","No"))</f>
        <v/>
      </c>
      <c r="V35" s="4" t="n"/>
      <c r="W35" s="4" t="n"/>
      <c r="X35" s="4" t="n"/>
      <c r="Y35" s="29" t="n"/>
      <c r="Z35" s="16" t="n"/>
      <c r="AA35" s="16" t="n"/>
      <c r="AB35" s="16" t="n"/>
      <c r="AC35" s="20">
        <f>IF(OR(Z35="",AA35="",AB35=""),"",(--TRIM(LEFT(Z35,2)))*(--TRIM(LEFT(AA35,2)))*(--TRIM(LEFT(AB35,2))))</f>
        <v/>
      </c>
      <c r="AD35" s="20">
        <f>IF(OR(Z35="",AA35="",AB35=""),"",INDEX(APGrid,COUNTIF(APS,"&gt;"&amp;(--TRIM(LEFT(Z35,2))))*5+COUNTIF(APO,"&gt;"&amp;(--TRIM(LEFT(AA35,2))))+1,COUNTIF(APD,"&gt;"&amp;(--TRIM(LEFT(AB35,2))))+1))</f>
        <v/>
      </c>
      <c r="AE35" s="4" t="n"/>
      <c r="AF35" s="4" t="n"/>
      <c r="AH35">
        <f>IFERROR(INDEX(EqTag,_xlfn.AGGREGATE(15,6,(ROW(EqTag)-4)/((EqSys=$D$3)*(EqTag&lt;&gt;"")),ROWS($AH$14:AH35))),"")</f>
        <v/>
      </c>
    </row>
    <row r="36">
      <c r="A36" s="20">
        <f>IF(F36="","",LEFT($D$3,3)&amp;"-"&amp;TEXT(COUNTIF(F$14:F36,"?*"),"00"))</f>
        <v/>
      </c>
      <c r="B36" s="4" t="n"/>
      <c r="C36" s="5">
        <f>IF(B36="","",IFERROR(INDEX(EqTypeCol,MATCH(B36,EqTag,0)),"Tag not in register"))</f>
        <v/>
      </c>
      <c r="D36" s="4" t="n"/>
      <c r="E36" s="4" t="n"/>
      <c r="F36" s="4" t="n"/>
      <c r="G36" s="4" t="n"/>
      <c r="H36" s="4" t="n"/>
      <c r="I36" s="4" t="n"/>
      <c r="J36" s="5">
        <f>_xlfn.TEXTJOIN(CHAR(10),TRUE,IF(G36="","","• "&amp;G36),IF(H36="","","• "&amp;H36),IF(I36="","","• "&amp;I36))</f>
        <v/>
      </c>
      <c r="K36" s="4" t="n"/>
      <c r="L36" s="4" t="n"/>
      <c r="M36" s="4" t="n"/>
      <c r="N36" s="16" t="n"/>
      <c r="O36" s="4" t="n"/>
      <c r="P36" s="16" t="n"/>
      <c r="Q36" s="4" t="n"/>
      <c r="R36" s="16" t="n"/>
      <c r="S36" s="20">
        <f>IF(OR(N36="",P36="",R36=""),"",(--TRIM(LEFT(N36,2)))*(--TRIM(LEFT(P36,2)))*(--TRIM(LEFT(R36,2))))</f>
        <v/>
      </c>
      <c r="T36" s="20">
        <f>IF(OR(N36="",P36="",R36=""),"",INDEX(APGrid,COUNTIF(APS,"&gt;"&amp;(--TRIM(LEFT(N36,2))))*5+COUNTIF(APO,"&gt;"&amp;(--TRIM(LEFT(P36,2))))+1,COUNTIF(APD,"&gt;"&amp;(--TRIM(LEFT(R36,2))))+1))</f>
        <v/>
      </c>
      <c r="U36" s="20">
        <f>IF(S36="","",IF(OR((--TRIM(LEFT(N36,2)))&gt;=SThr,S36&gt;=RPNThr,T36="H"),"Yes","No"))</f>
        <v/>
      </c>
      <c r="V36" s="4" t="n"/>
      <c r="W36" s="4" t="n"/>
      <c r="X36" s="4" t="n"/>
      <c r="Y36" s="29" t="n"/>
      <c r="Z36" s="16" t="n"/>
      <c r="AA36" s="16" t="n"/>
      <c r="AB36" s="16" t="n"/>
      <c r="AC36" s="20">
        <f>IF(OR(Z36="",AA36="",AB36=""),"",(--TRIM(LEFT(Z36,2)))*(--TRIM(LEFT(AA36,2)))*(--TRIM(LEFT(AB36,2))))</f>
        <v/>
      </c>
      <c r="AD36" s="20">
        <f>IF(OR(Z36="",AA36="",AB36=""),"",INDEX(APGrid,COUNTIF(APS,"&gt;"&amp;(--TRIM(LEFT(Z36,2))))*5+COUNTIF(APO,"&gt;"&amp;(--TRIM(LEFT(AA36,2))))+1,COUNTIF(APD,"&gt;"&amp;(--TRIM(LEFT(AB36,2))))+1))</f>
        <v/>
      </c>
      <c r="AE36" s="4" t="n"/>
      <c r="AF36" s="4" t="n"/>
      <c r="AH36">
        <f>IFERROR(INDEX(EqTag,_xlfn.AGGREGATE(15,6,(ROW(EqTag)-4)/((EqSys=$D$3)*(EqTag&lt;&gt;"")),ROWS($AH$14:AH36))),"")</f>
        <v/>
      </c>
    </row>
    <row r="37">
      <c r="A37" s="20">
        <f>IF(F37="","",LEFT($D$3,3)&amp;"-"&amp;TEXT(COUNTIF(F$14:F37,"?*"),"00"))</f>
        <v/>
      </c>
      <c r="B37" s="4" t="n"/>
      <c r="C37" s="5">
        <f>IF(B37="","",IFERROR(INDEX(EqTypeCol,MATCH(B37,EqTag,0)),"Tag not in register"))</f>
        <v/>
      </c>
      <c r="D37" s="4" t="n"/>
      <c r="E37" s="4" t="n"/>
      <c r="F37" s="4" t="n"/>
      <c r="G37" s="4" t="n"/>
      <c r="H37" s="4" t="n"/>
      <c r="I37" s="4" t="n"/>
      <c r="J37" s="5">
        <f>_xlfn.TEXTJOIN(CHAR(10),TRUE,IF(G37="","","• "&amp;G37),IF(H37="","","• "&amp;H37),IF(I37="","","• "&amp;I37))</f>
        <v/>
      </c>
      <c r="K37" s="4" t="n"/>
      <c r="L37" s="4" t="n"/>
      <c r="M37" s="4" t="n"/>
      <c r="N37" s="16" t="n"/>
      <c r="O37" s="4" t="n"/>
      <c r="P37" s="16" t="n"/>
      <c r="Q37" s="4" t="n"/>
      <c r="R37" s="16" t="n"/>
      <c r="S37" s="20">
        <f>IF(OR(N37="",P37="",R37=""),"",(--TRIM(LEFT(N37,2)))*(--TRIM(LEFT(P37,2)))*(--TRIM(LEFT(R37,2))))</f>
        <v/>
      </c>
      <c r="T37" s="20">
        <f>IF(OR(N37="",P37="",R37=""),"",INDEX(APGrid,COUNTIF(APS,"&gt;"&amp;(--TRIM(LEFT(N37,2))))*5+COUNTIF(APO,"&gt;"&amp;(--TRIM(LEFT(P37,2))))+1,COUNTIF(APD,"&gt;"&amp;(--TRIM(LEFT(R37,2))))+1))</f>
        <v/>
      </c>
      <c r="U37" s="20">
        <f>IF(S37="","",IF(OR((--TRIM(LEFT(N37,2)))&gt;=SThr,S37&gt;=RPNThr,T37="H"),"Yes","No"))</f>
        <v/>
      </c>
      <c r="V37" s="4" t="n"/>
      <c r="W37" s="4" t="n"/>
      <c r="X37" s="4" t="n"/>
      <c r="Y37" s="29" t="n"/>
      <c r="Z37" s="16" t="n"/>
      <c r="AA37" s="16" t="n"/>
      <c r="AB37" s="16" t="n"/>
      <c r="AC37" s="20">
        <f>IF(OR(Z37="",AA37="",AB37=""),"",(--TRIM(LEFT(Z37,2)))*(--TRIM(LEFT(AA37,2)))*(--TRIM(LEFT(AB37,2))))</f>
        <v/>
      </c>
      <c r="AD37" s="20">
        <f>IF(OR(Z37="",AA37="",AB37=""),"",INDEX(APGrid,COUNTIF(APS,"&gt;"&amp;(--TRIM(LEFT(Z37,2))))*5+COUNTIF(APO,"&gt;"&amp;(--TRIM(LEFT(AA37,2))))+1,COUNTIF(APD,"&gt;"&amp;(--TRIM(LEFT(AB37,2))))+1))</f>
        <v/>
      </c>
      <c r="AE37" s="4" t="n"/>
      <c r="AF37" s="4" t="n"/>
      <c r="AH37">
        <f>IFERROR(INDEX(EqTag,_xlfn.AGGREGATE(15,6,(ROW(EqTag)-4)/((EqSys=$D$3)*(EqTag&lt;&gt;"")),ROWS($AH$14:AH37))),"")</f>
        <v/>
      </c>
    </row>
    <row r="38">
      <c r="A38" s="20">
        <f>IF(F38="","",LEFT($D$3,3)&amp;"-"&amp;TEXT(COUNTIF(F$14:F38,"?*"),"00"))</f>
        <v/>
      </c>
      <c r="B38" s="4" t="n"/>
      <c r="C38" s="5">
        <f>IF(B38="","",IFERROR(INDEX(EqTypeCol,MATCH(B38,EqTag,0)),"Tag not in register"))</f>
        <v/>
      </c>
      <c r="D38" s="4" t="n"/>
      <c r="E38" s="4" t="n"/>
      <c r="F38" s="4" t="n"/>
      <c r="G38" s="4" t="n"/>
      <c r="H38" s="4" t="n"/>
      <c r="I38" s="4" t="n"/>
      <c r="J38" s="5">
        <f>_xlfn.TEXTJOIN(CHAR(10),TRUE,IF(G38="","","• "&amp;G38),IF(H38="","","• "&amp;H38),IF(I38="","","• "&amp;I38))</f>
        <v/>
      </c>
      <c r="K38" s="4" t="n"/>
      <c r="L38" s="4" t="n"/>
      <c r="M38" s="4" t="n"/>
      <c r="N38" s="16" t="n"/>
      <c r="O38" s="4" t="n"/>
      <c r="P38" s="16" t="n"/>
      <c r="Q38" s="4" t="n"/>
      <c r="R38" s="16" t="n"/>
      <c r="S38" s="20">
        <f>IF(OR(N38="",P38="",R38=""),"",(--TRIM(LEFT(N38,2)))*(--TRIM(LEFT(P38,2)))*(--TRIM(LEFT(R38,2))))</f>
        <v/>
      </c>
      <c r="T38" s="20">
        <f>IF(OR(N38="",P38="",R38=""),"",INDEX(APGrid,COUNTIF(APS,"&gt;"&amp;(--TRIM(LEFT(N38,2))))*5+COUNTIF(APO,"&gt;"&amp;(--TRIM(LEFT(P38,2))))+1,COUNTIF(APD,"&gt;"&amp;(--TRIM(LEFT(R38,2))))+1))</f>
        <v/>
      </c>
      <c r="U38" s="20">
        <f>IF(S38="","",IF(OR((--TRIM(LEFT(N38,2)))&gt;=SThr,S38&gt;=RPNThr,T38="H"),"Yes","No"))</f>
        <v/>
      </c>
      <c r="V38" s="4" t="n"/>
      <c r="W38" s="4" t="n"/>
      <c r="X38" s="4" t="n"/>
      <c r="Y38" s="29" t="n"/>
      <c r="Z38" s="16" t="n"/>
      <c r="AA38" s="16" t="n"/>
      <c r="AB38" s="16" t="n"/>
      <c r="AC38" s="20">
        <f>IF(OR(Z38="",AA38="",AB38=""),"",(--TRIM(LEFT(Z38,2)))*(--TRIM(LEFT(AA38,2)))*(--TRIM(LEFT(AB38,2))))</f>
        <v/>
      </c>
      <c r="AD38" s="20">
        <f>IF(OR(Z38="",AA38="",AB38=""),"",INDEX(APGrid,COUNTIF(APS,"&gt;"&amp;(--TRIM(LEFT(Z38,2))))*5+COUNTIF(APO,"&gt;"&amp;(--TRIM(LEFT(AA38,2))))+1,COUNTIF(APD,"&gt;"&amp;(--TRIM(LEFT(AB38,2))))+1))</f>
        <v/>
      </c>
      <c r="AE38" s="4" t="n"/>
      <c r="AF38" s="4" t="n"/>
      <c r="AH38">
        <f>IFERROR(INDEX(EqTag,_xlfn.AGGREGATE(15,6,(ROW(EqTag)-4)/((EqSys=$D$3)*(EqTag&lt;&gt;"")),ROWS($AH$14:AH38))),"")</f>
        <v/>
      </c>
    </row>
    <row r="39">
      <c r="A39" s="20">
        <f>IF(F39="","",LEFT($D$3,3)&amp;"-"&amp;TEXT(COUNTIF(F$14:F39,"?*"),"00"))</f>
        <v/>
      </c>
      <c r="B39" s="4" t="n"/>
      <c r="C39" s="5">
        <f>IF(B39="","",IFERROR(INDEX(EqTypeCol,MATCH(B39,EqTag,0)),"Tag not in register"))</f>
        <v/>
      </c>
      <c r="D39" s="4" t="n"/>
      <c r="E39" s="4" t="n"/>
      <c r="F39" s="4" t="n"/>
      <c r="G39" s="4" t="n"/>
      <c r="H39" s="4" t="n"/>
      <c r="I39" s="4" t="n"/>
      <c r="J39" s="5">
        <f>_xlfn.TEXTJOIN(CHAR(10),TRUE,IF(G39="","","• "&amp;G39),IF(H39="","","• "&amp;H39),IF(I39="","","• "&amp;I39))</f>
        <v/>
      </c>
      <c r="K39" s="4" t="n"/>
      <c r="L39" s="4" t="n"/>
      <c r="M39" s="4" t="n"/>
      <c r="N39" s="16" t="n"/>
      <c r="O39" s="4" t="n"/>
      <c r="P39" s="16" t="n"/>
      <c r="Q39" s="4" t="n"/>
      <c r="R39" s="16" t="n"/>
      <c r="S39" s="20">
        <f>IF(OR(N39="",P39="",R39=""),"",(--TRIM(LEFT(N39,2)))*(--TRIM(LEFT(P39,2)))*(--TRIM(LEFT(R39,2))))</f>
        <v/>
      </c>
      <c r="T39" s="20">
        <f>IF(OR(N39="",P39="",R39=""),"",INDEX(APGrid,COUNTIF(APS,"&gt;"&amp;(--TRIM(LEFT(N39,2))))*5+COUNTIF(APO,"&gt;"&amp;(--TRIM(LEFT(P39,2))))+1,COUNTIF(APD,"&gt;"&amp;(--TRIM(LEFT(R39,2))))+1))</f>
        <v/>
      </c>
      <c r="U39" s="20">
        <f>IF(S39="","",IF(OR((--TRIM(LEFT(N39,2)))&gt;=SThr,S39&gt;=RPNThr,T39="H"),"Yes","No"))</f>
        <v/>
      </c>
      <c r="V39" s="4" t="n"/>
      <c r="W39" s="4" t="n"/>
      <c r="X39" s="4" t="n"/>
      <c r="Y39" s="29" t="n"/>
      <c r="Z39" s="16" t="n"/>
      <c r="AA39" s="16" t="n"/>
      <c r="AB39" s="16" t="n"/>
      <c r="AC39" s="20">
        <f>IF(OR(Z39="",AA39="",AB39=""),"",(--TRIM(LEFT(Z39,2)))*(--TRIM(LEFT(AA39,2)))*(--TRIM(LEFT(AB39,2))))</f>
        <v/>
      </c>
      <c r="AD39" s="20">
        <f>IF(OR(Z39="",AA39="",AB39=""),"",INDEX(APGrid,COUNTIF(APS,"&gt;"&amp;(--TRIM(LEFT(Z39,2))))*5+COUNTIF(APO,"&gt;"&amp;(--TRIM(LEFT(AA39,2))))+1,COUNTIF(APD,"&gt;"&amp;(--TRIM(LEFT(AB39,2))))+1))</f>
        <v/>
      </c>
      <c r="AE39" s="4" t="n"/>
      <c r="AF39" s="4" t="n"/>
      <c r="AH39">
        <f>IFERROR(INDEX(EqTag,_xlfn.AGGREGATE(15,6,(ROW(EqTag)-4)/((EqSys=$D$3)*(EqTag&lt;&gt;"")),ROWS($AH$14:AH39))),"")</f>
        <v/>
      </c>
    </row>
    <row r="40">
      <c r="A40" s="20">
        <f>IF(F40="","",LEFT($D$3,3)&amp;"-"&amp;TEXT(COUNTIF(F$14:F40,"?*"),"00"))</f>
        <v/>
      </c>
      <c r="B40" s="4" t="n"/>
      <c r="C40" s="5">
        <f>IF(B40="","",IFERROR(INDEX(EqTypeCol,MATCH(B40,EqTag,0)),"Tag not in register"))</f>
        <v/>
      </c>
      <c r="D40" s="4" t="n"/>
      <c r="E40" s="4" t="n"/>
      <c r="F40" s="4" t="n"/>
      <c r="G40" s="4" t="n"/>
      <c r="H40" s="4" t="n"/>
      <c r="I40" s="4" t="n"/>
      <c r="J40" s="5">
        <f>_xlfn.TEXTJOIN(CHAR(10),TRUE,IF(G40="","","• "&amp;G40),IF(H40="","","• "&amp;H40),IF(I40="","","• "&amp;I40))</f>
        <v/>
      </c>
      <c r="K40" s="4" t="n"/>
      <c r="L40" s="4" t="n"/>
      <c r="M40" s="4" t="n"/>
      <c r="N40" s="16" t="n"/>
      <c r="O40" s="4" t="n"/>
      <c r="P40" s="16" t="n"/>
      <c r="Q40" s="4" t="n"/>
      <c r="R40" s="16" t="n"/>
      <c r="S40" s="20">
        <f>IF(OR(N40="",P40="",R40=""),"",(--TRIM(LEFT(N40,2)))*(--TRIM(LEFT(P40,2)))*(--TRIM(LEFT(R40,2))))</f>
        <v/>
      </c>
      <c r="T40" s="20">
        <f>IF(OR(N40="",P40="",R40=""),"",INDEX(APGrid,COUNTIF(APS,"&gt;"&amp;(--TRIM(LEFT(N40,2))))*5+COUNTIF(APO,"&gt;"&amp;(--TRIM(LEFT(P40,2))))+1,COUNTIF(APD,"&gt;"&amp;(--TRIM(LEFT(R40,2))))+1))</f>
        <v/>
      </c>
      <c r="U40" s="20">
        <f>IF(S40="","",IF(OR((--TRIM(LEFT(N40,2)))&gt;=SThr,S40&gt;=RPNThr,T40="H"),"Yes","No"))</f>
        <v/>
      </c>
      <c r="V40" s="4" t="n"/>
      <c r="W40" s="4" t="n"/>
      <c r="X40" s="4" t="n"/>
      <c r="Y40" s="29" t="n"/>
      <c r="Z40" s="16" t="n"/>
      <c r="AA40" s="16" t="n"/>
      <c r="AB40" s="16" t="n"/>
      <c r="AC40" s="20">
        <f>IF(OR(Z40="",AA40="",AB40=""),"",(--TRIM(LEFT(Z40,2)))*(--TRIM(LEFT(AA40,2)))*(--TRIM(LEFT(AB40,2))))</f>
        <v/>
      </c>
      <c r="AD40" s="20">
        <f>IF(OR(Z40="",AA40="",AB40=""),"",INDEX(APGrid,COUNTIF(APS,"&gt;"&amp;(--TRIM(LEFT(Z40,2))))*5+COUNTIF(APO,"&gt;"&amp;(--TRIM(LEFT(AA40,2))))+1,COUNTIF(APD,"&gt;"&amp;(--TRIM(LEFT(AB40,2))))+1))</f>
        <v/>
      </c>
      <c r="AE40" s="4" t="n"/>
      <c r="AF40" s="4" t="n"/>
      <c r="AH40">
        <f>IFERROR(INDEX(EqTag,_xlfn.AGGREGATE(15,6,(ROW(EqTag)-4)/((EqSys=$D$3)*(EqTag&lt;&gt;"")),ROWS($AH$14:AH40))),"")</f>
        <v/>
      </c>
    </row>
    <row r="41">
      <c r="A41" s="20">
        <f>IF(F41="","",LEFT($D$3,3)&amp;"-"&amp;TEXT(COUNTIF(F$14:F41,"?*"),"00"))</f>
        <v/>
      </c>
      <c r="B41" s="4" t="n"/>
      <c r="C41" s="5">
        <f>IF(B41="","",IFERROR(INDEX(EqTypeCol,MATCH(B41,EqTag,0)),"Tag not in register"))</f>
        <v/>
      </c>
      <c r="D41" s="4" t="n"/>
      <c r="E41" s="4" t="n"/>
      <c r="F41" s="4" t="n"/>
      <c r="G41" s="4" t="n"/>
      <c r="H41" s="4" t="n"/>
      <c r="I41" s="4" t="n"/>
      <c r="J41" s="5">
        <f>_xlfn.TEXTJOIN(CHAR(10),TRUE,IF(G41="","","• "&amp;G41),IF(H41="","","• "&amp;H41),IF(I41="","","• "&amp;I41))</f>
        <v/>
      </c>
      <c r="K41" s="4" t="n"/>
      <c r="L41" s="4" t="n"/>
      <c r="M41" s="4" t="n"/>
      <c r="N41" s="16" t="n"/>
      <c r="O41" s="4" t="n"/>
      <c r="P41" s="16" t="n"/>
      <c r="Q41" s="4" t="n"/>
      <c r="R41" s="16" t="n"/>
      <c r="S41" s="20">
        <f>IF(OR(N41="",P41="",R41=""),"",(--TRIM(LEFT(N41,2)))*(--TRIM(LEFT(P41,2)))*(--TRIM(LEFT(R41,2))))</f>
        <v/>
      </c>
      <c r="T41" s="20">
        <f>IF(OR(N41="",P41="",R41=""),"",INDEX(APGrid,COUNTIF(APS,"&gt;"&amp;(--TRIM(LEFT(N41,2))))*5+COUNTIF(APO,"&gt;"&amp;(--TRIM(LEFT(P41,2))))+1,COUNTIF(APD,"&gt;"&amp;(--TRIM(LEFT(R41,2))))+1))</f>
        <v/>
      </c>
      <c r="U41" s="20">
        <f>IF(S41="","",IF(OR((--TRIM(LEFT(N41,2)))&gt;=SThr,S41&gt;=RPNThr,T41="H"),"Yes","No"))</f>
        <v/>
      </c>
      <c r="V41" s="4" t="n"/>
      <c r="W41" s="4" t="n"/>
      <c r="X41" s="4" t="n"/>
      <c r="Y41" s="29" t="n"/>
      <c r="Z41" s="16" t="n"/>
      <c r="AA41" s="16" t="n"/>
      <c r="AB41" s="16" t="n"/>
      <c r="AC41" s="20">
        <f>IF(OR(Z41="",AA41="",AB41=""),"",(--TRIM(LEFT(Z41,2)))*(--TRIM(LEFT(AA41,2)))*(--TRIM(LEFT(AB41,2))))</f>
        <v/>
      </c>
      <c r="AD41" s="20">
        <f>IF(OR(Z41="",AA41="",AB41=""),"",INDEX(APGrid,COUNTIF(APS,"&gt;"&amp;(--TRIM(LEFT(Z41,2))))*5+COUNTIF(APO,"&gt;"&amp;(--TRIM(LEFT(AA41,2))))+1,COUNTIF(APD,"&gt;"&amp;(--TRIM(LEFT(AB41,2))))+1))</f>
        <v/>
      </c>
      <c r="AE41" s="4" t="n"/>
      <c r="AF41" s="4" t="n"/>
      <c r="AH41">
        <f>IFERROR(INDEX(EqTag,_xlfn.AGGREGATE(15,6,(ROW(EqTag)-4)/((EqSys=$D$3)*(EqTag&lt;&gt;"")),ROWS($AH$14:AH41))),"")</f>
        <v/>
      </c>
    </row>
    <row r="42">
      <c r="A42" s="20">
        <f>IF(F42="","",LEFT($D$3,3)&amp;"-"&amp;TEXT(COUNTIF(F$14:F42,"?*"),"00"))</f>
        <v/>
      </c>
      <c r="B42" s="4" t="n"/>
      <c r="C42" s="5">
        <f>IF(B42="","",IFERROR(INDEX(EqTypeCol,MATCH(B42,EqTag,0)),"Tag not in register"))</f>
        <v/>
      </c>
      <c r="D42" s="4" t="n"/>
      <c r="E42" s="4" t="n"/>
      <c r="F42" s="4" t="n"/>
      <c r="G42" s="4" t="n"/>
      <c r="H42" s="4" t="n"/>
      <c r="I42" s="4" t="n"/>
      <c r="J42" s="5">
        <f>_xlfn.TEXTJOIN(CHAR(10),TRUE,IF(G42="","","• "&amp;G42),IF(H42="","","• "&amp;H42),IF(I42="","","• "&amp;I42))</f>
        <v/>
      </c>
      <c r="K42" s="4" t="n"/>
      <c r="L42" s="4" t="n"/>
      <c r="M42" s="4" t="n"/>
      <c r="N42" s="16" t="n"/>
      <c r="O42" s="4" t="n"/>
      <c r="P42" s="16" t="n"/>
      <c r="Q42" s="4" t="n"/>
      <c r="R42" s="16" t="n"/>
      <c r="S42" s="20">
        <f>IF(OR(N42="",P42="",R42=""),"",(--TRIM(LEFT(N42,2)))*(--TRIM(LEFT(P42,2)))*(--TRIM(LEFT(R42,2))))</f>
        <v/>
      </c>
      <c r="T42" s="20">
        <f>IF(OR(N42="",P42="",R42=""),"",INDEX(APGrid,COUNTIF(APS,"&gt;"&amp;(--TRIM(LEFT(N42,2))))*5+COUNTIF(APO,"&gt;"&amp;(--TRIM(LEFT(P42,2))))+1,COUNTIF(APD,"&gt;"&amp;(--TRIM(LEFT(R42,2))))+1))</f>
        <v/>
      </c>
      <c r="U42" s="20">
        <f>IF(S42="","",IF(OR((--TRIM(LEFT(N42,2)))&gt;=SThr,S42&gt;=RPNThr,T42="H"),"Yes","No"))</f>
        <v/>
      </c>
      <c r="V42" s="4" t="n"/>
      <c r="W42" s="4" t="n"/>
      <c r="X42" s="4" t="n"/>
      <c r="Y42" s="29" t="n"/>
      <c r="Z42" s="16" t="n"/>
      <c r="AA42" s="16" t="n"/>
      <c r="AB42" s="16" t="n"/>
      <c r="AC42" s="20">
        <f>IF(OR(Z42="",AA42="",AB42=""),"",(--TRIM(LEFT(Z42,2)))*(--TRIM(LEFT(AA42,2)))*(--TRIM(LEFT(AB42,2))))</f>
        <v/>
      </c>
      <c r="AD42" s="20">
        <f>IF(OR(Z42="",AA42="",AB42=""),"",INDEX(APGrid,COUNTIF(APS,"&gt;"&amp;(--TRIM(LEFT(Z42,2))))*5+COUNTIF(APO,"&gt;"&amp;(--TRIM(LEFT(AA42,2))))+1,COUNTIF(APD,"&gt;"&amp;(--TRIM(LEFT(AB42,2))))+1))</f>
        <v/>
      </c>
      <c r="AE42" s="4" t="n"/>
      <c r="AF42" s="4" t="n"/>
      <c r="AH42">
        <f>IFERROR(INDEX(EqTag,_xlfn.AGGREGATE(15,6,(ROW(EqTag)-4)/((EqSys=$D$3)*(EqTag&lt;&gt;"")),ROWS($AH$14:AH42))),"")</f>
        <v/>
      </c>
    </row>
    <row r="43">
      <c r="A43" s="20">
        <f>IF(F43="","",LEFT($D$3,3)&amp;"-"&amp;TEXT(COUNTIF(F$14:F43,"?*"),"00"))</f>
        <v/>
      </c>
      <c r="B43" s="4" t="n"/>
      <c r="C43" s="5">
        <f>IF(B43="","",IFERROR(INDEX(EqTypeCol,MATCH(B43,EqTag,0)),"Tag not in register"))</f>
        <v/>
      </c>
      <c r="D43" s="4" t="n"/>
      <c r="E43" s="4" t="n"/>
      <c r="F43" s="4" t="n"/>
      <c r="G43" s="4" t="n"/>
      <c r="H43" s="4" t="n"/>
      <c r="I43" s="4" t="n"/>
      <c r="J43" s="5">
        <f>_xlfn.TEXTJOIN(CHAR(10),TRUE,IF(G43="","","• "&amp;G43),IF(H43="","","• "&amp;H43),IF(I43="","","• "&amp;I43))</f>
        <v/>
      </c>
      <c r="K43" s="4" t="n"/>
      <c r="L43" s="4" t="n"/>
      <c r="M43" s="4" t="n"/>
      <c r="N43" s="16" t="n"/>
      <c r="O43" s="4" t="n"/>
      <c r="P43" s="16" t="n"/>
      <c r="Q43" s="4" t="n"/>
      <c r="R43" s="16" t="n"/>
      <c r="S43" s="20">
        <f>IF(OR(N43="",P43="",R43=""),"",(--TRIM(LEFT(N43,2)))*(--TRIM(LEFT(P43,2)))*(--TRIM(LEFT(R43,2))))</f>
        <v/>
      </c>
      <c r="T43" s="20">
        <f>IF(OR(N43="",P43="",R43=""),"",INDEX(APGrid,COUNTIF(APS,"&gt;"&amp;(--TRIM(LEFT(N43,2))))*5+COUNTIF(APO,"&gt;"&amp;(--TRIM(LEFT(P43,2))))+1,COUNTIF(APD,"&gt;"&amp;(--TRIM(LEFT(R43,2))))+1))</f>
        <v/>
      </c>
      <c r="U43" s="20">
        <f>IF(S43="","",IF(OR((--TRIM(LEFT(N43,2)))&gt;=SThr,S43&gt;=RPNThr,T43="H"),"Yes","No"))</f>
        <v/>
      </c>
      <c r="V43" s="4" t="n"/>
      <c r="W43" s="4" t="n"/>
      <c r="X43" s="4" t="n"/>
      <c r="Y43" s="29" t="n"/>
      <c r="Z43" s="16" t="n"/>
      <c r="AA43" s="16" t="n"/>
      <c r="AB43" s="16" t="n"/>
      <c r="AC43" s="20">
        <f>IF(OR(Z43="",AA43="",AB43=""),"",(--TRIM(LEFT(Z43,2)))*(--TRIM(LEFT(AA43,2)))*(--TRIM(LEFT(AB43,2))))</f>
        <v/>
      </c>
      <c r="AD43" s="20">
        <f>IF(OR(Z43="",AA43="",AB43=""),"",INDEX(APGrid,COUNTIF(APS,"&gt;"&amp;(--TRIM(LEFT(Z43,2))))*5+COUNTIF(APO,"&gt;"&amp;(--TRIM(LEFT(AA43,2))))+1,COUNTIF(APD,"&gt;"&amp;(--TRIM(LEFT(AB43,2))))+1))</f>
        <v/>
      </c>
      <c r="AE43" s="4" t="n"/>
      <c r="AF43" s="4" t="n"/>
      <c r="AH43">
        <f>IFERROR(INDEX(EqTag,_xlfn.AGGREGATE(15,6,(ROW(EqTag)-4)/((EqSys=$D$3)*(EqTag&lt;&gt;"")),ROWS($AH$14:AH43))),"")</f>
        <v/>
      </c>
    </row>
    <row r="44">
      <c r="A44" s="20">
        <f>IF(F44="","",LEFT($D$3,3)&amp;"-"&amp;TEXT(COUNTIF(F$14:F44,"?*"),"00"))</f>
        <v/>
      </c>
      <c r="B44" s="4" t="n"/>
      <c r="C44" s="5">
        <f>IF(B44="","",IFERROR(INDEX(EqTypeCol,MATCH(B44,EqTag,0)),"Tag not in register"))</f>
        <v/>
      </c>
      <c r="D44" s="4" t="n"/>
      <c r="E44" s="4" t="n"/>
      <c r="F44" s="4" t="n"/>
      <c r="G44" s="4" t="n"/>
      <c r="H44" s="4" t="n"/>
      <c r="I44" s="4" t="n"/>
      <c r="J44" s="5">
        <f>_xlfn.TEXTJOIN(CHAR(10),TRUE,IF(G44="","","• "&amp;G44),IF(H44="","","• "&amp;H44),IF(I44="","","• "&amp;I44))</f>
        <v/>
      </c>
      <c r="K44" s="4" t="n"/>
      <c r="L44" s="4" t="n"/>
      <c r="M44" s="4" t="n"/>
      <c r="N44" s="16" t="n"/>
      <c r="O44" s="4" t="n"/>
      <c r="P44" s="16" t="n"/>
      <c r="Q44" s="4" t="n"/>
      <c r="R44" s="16" t="n"/>
      <c r="S44" s="20">
        <f>IF(OR(N44="",P44="",R44=""),"",(--TRIM(LEFT(N44,2)))*(--TRIM(LEFT(P44,2)))*(--TRIM(LEFT(R44,2))))</f>
        <v/>
      </c>
      <c r="T44" s="20">
        <f>IF(OR(N44="",P44="",R44=""),"",INDEX(APGrid,COUNTIF(APS,"&gt;"&amp;(--TRIM(LEFT(N44,2))))*5+COUNTIF(APO,"&gt;"&amp;(--TRIM(LEFT(P44,2))))+1,COUNTIF(APD,"&gt;"&amp;(--TRIM(LEFT(R44,2))))+1))</f>
        <v/>
      </c>
      <c r="U44" s="20">
        <f>IF(S44="","",IF(OR((--TRIM(LEFT(N44,2)))&gt;=SThr,S44&gt;=RPNThr,T44="H"),"Yes","No"))</f>
        <v/>
      </c>
      <c r="V44" s="4" t="n"/>
      <c r="W44" s="4" t="n"/>
      <c r="X44" s="4" t="n"/>
      <c r="Y44" s="29" t="n"/>
      <c r="Z44" s="16" t="n"/>
      <c r="AA44" s="16" t="n"/>
      <c r="AB44" s="16" t="n"/>
      <c r="AC44" s="20">
        <f>IF(OR(Z44="",AA44="",AB44=""),"",(--TRIM(LEFT(Z44,2)))*(--TRIM(LEFT(AA44,2)))*(--TRIM(LEFT(AB44,2))))</f>
        <v/>
      </c>
      <c r="AD44" s="20">
        <f>IF(OR(Z44="",AA44="",AB44=""),"",INDEX(APGrid,COUNTIF(APS,"&gt;"&amp;(--TRIM(LEFT(Z44,2))))*5+COUNTIF(APO,"&gt;"&amp;(--TRIM(LEFT(AA44,2))))+1,COUNTIF(APD,"&gt;"&amp;(--TRIM(LEFT(AB44,2))))+1))</f>
        <v/>
      </c>
      <c r="AE44" s="4" t="n"/>
      <c r="AF44" s="4" t="n"/>
      <c r="AH44">
        <f>IFERROR(INDEX(EqTag,_xlfn.AGGREGATE(15,6,(ROW(EqTag)-4)/((EqSys=$D$3)*(EqTag&lt;&gt;"")),ROWS($AH$14:AH44))),"")</f>
        <v/>
      </c>
    </row>
    <row r="45">
      <c r="A45" s="20">
        <f>IF(F45="","",LEFT($D$3,3)&amp;"-"&amp;TEXT(COUNTIF(F$14:F45,"?*"),"00"))</f>
        <v/>
      </c>
      <c r="B45" s="4" t="n"/>
      <c r="C45" s="5">
        <f>IF(B45="","",IFERROR(INDEX(EqTypeCol,MATCH(B45,EqTag,0)),"Tag not in register"))</f>
        <v/>
      </c>
      <c r="D45" s="4" t="n"/>
      <c r="E45" s="4" t="n"/>
      <c r="F45" s="4" t="n"/>
      <c r="G45" s="4" t="n"/>
      <c r="H45" s="4" t="n"/>
      <c r="I45" s="4" t="n"/>
      <c r="J45" s="5">
        <f>_xlfn.TEXTJOIN(CHAR(10),TRUE,IF(G45="","","• "&amp;G45),IF(H45="","","• "&amp;H45),IF(I45="","","• "&amp;I45))</f>
        <v/>
      </c>
      <c r="K45" s="4" t="n"/>
      <c r="L45" s="4" t="n"/>
      <c r="M45" s="4" t="n"/>
      <c r="N45" s="16" t="n"/>
      <c r="O45" s="4" t="n"/>
      <c r="P45" s="16" t="n"/>
      <c r="Q45" s="4" t="n"/>
      <c r="R45" s="16" t="n"/>
      <c r="S45" s="20">
        <f>IF(OR(N45="",P45="",R45=""),"",(--TRIM(LEFT(N45,2)))*(--TRIM(LEFT(P45,2)))*(--TRIM(LEFT(R45,2))))</f>
        <v/>
      </c>
      <c r="T45" s="20">
        <f>IF(OR(N45="",P45="",R45=""),"",INDEX(APGrid,COUNTIF(APS,"&gt;"&amp;(--TRIM(LEFT(N45,2))))*5+COUNTIF(APO,"&gt;"&amp;(--TRIM(LEFT(P45,2))))+1,COUNTIF(APD,"&gt;"&amp;(--TRIM(LEFT(R45,2))))+1))</f>
        <v/>
      </c>
      <c r="U45" s="20">
        <f>IF(S45="","",IF(OR((--TRIM(LEFT(N45,2)))&gt;=SThr,S45&gt;=RPNThr,T45="H"),"Yes","No"))</f>
        <v/>
      </c>
      <c r="V45" s="4" t="n"/>
      <c r="W45" s="4" t="n"/>
      <c r="X45" s="4" t="n"/>
      <c r="Y45" s="29" t="n"/>
      <c r="Z45" s="16" t="n"/>
      <c r="AA45" s="16" t="n"/>
      <c r="AB45" s="16" t="n"/>
      <c r="AC45" s="20">
        <f>IF(OR(Z45="",AA45="",AB45=""),"",(--TRIM(LEFT(Z45,2)))*(--TRIM(LEFT(AA45,2)))*(--TRIM(LEFT(AB45,2))))</f>
        <v/>
      </c>
      <c r="AD45" s="20">
        <f>IF(OR(Z45="",AA45="",AB45=""),"",INDEX(APGrid,COUNTIF(APS,"&gt;"&amp;(--TRIM(LEFT(Z45,2))))*5+COUNTIF(APO,"&gt;"&amp;(--TRIM(LEFT(AA45,2))))+1,COUNTIF(APD,"&gt;"&amp;(--TRIM(LEFT(AB45,2))))+1))</f>
        <v/>
      </c>
      <c r="AE45" s="4" t="n"/>
      <c r="AF45" s="4" t="n"/>
      <c r="AH45">
        <f>IFERROR(INDEX(EqTag,_xlfn.AGGREGATE(15,6,(ROW(EqTag)-4)/((EqSys=$D$3)*(EqTag&lt;&gt;"")),ROWS($AH$14:AH45))),"")</f>
        <v/>
      </c>
    </row>
    <row r="46">
      <c r="A46" s="20">
        <f>IF(F46="","",LEFT($D$3,3)&amp;"-"&amp;TEXT(COUNTIF(F$14:F46,"?*"),"00"))</f>
        <v/>
      </c>
      <c r="B46" s="4" t="n"/>
      <c r="C46" s="5">
        <f>IF(B46="","",IFERROR(INDEX(EqTypeCol,MATCH(B46,EqTag,0)),"Tag not in register"))</f>
        <v/>
      </c>
      <c r="D46" s="4" t="n"/>
      <c r="E46" s="4" t="n"/>
      <c r="F46" s="4" t="n"/>
      <c r="G46" s="4" t="n"/>
      <c r="H46" s="4" t="n"/>
      <c r="I46" s="4" t="n"/>
      <c r="J46" s="5">
        <f>_xlfn.TEXTJOIN(CHAR(10),TRUE,IF(G46="","","• "&amp;G46),IF(H46="","","• "&amp;H46),IF(I46="","","• "&amp;I46))</f>
        <v/>
      </c>
      <c r="K46" s="4" t="n"/>
      <c r="L46" s="4" t="n"/>
      <c r="M46" s="4" t="n"/>
      <c r="N46" s="16" t="n"/>
      <c r="O46" s="4" t="n"/>
      <c r="P46" s="16" t="n"/>
      <c r="Q46" s="4" t="n"/>
      <c r="R46" s="16" t="n"/>
      <c r="S46" s="20">
        <f>IF(OR(N46="",P46="",R46=""),"",(--TRIM(LEFT(N46,2)))*(--TRIM(LEFT(P46,2)))*(--TRIM(LEFT(R46,2))))</f>
        <v/>
      </c>
      <c r="T46" s="20">
        <f>IF(OR(N46="",P46="",R46=""),"",INDEX(APGrid,COUNTIF(APS,"&gt;"&amp;(--TRIM(LEFT(N46,2))))*5+COUNTIF(APO,"&gt;"&amp;(--TRIM(LEFT(P46,2))))+1,COUNTIF(APD,"&gt;"&amp;(--TRIM(LEFT(R46,2))))+1))</f>
        <v/>
      </c>
      <c r="U46" s="20">
        <f>IF(S46="","",IF(OR((--TRIM(LEFT(N46,2)))&gt;=SThr,S46&gt;=RPNThr,T46="H"),"Yes","No"))</f>
        <v/>
      </c>
      <c r="V46" s="4" t="n"/>
      <c r="W46" s="4" t="n"/>
      <c r="X46" s="4" t="n"/>
      <c r="Y46" s="29" t="n"/>
      <c r="Z46" s="16" t="n"/>
      <c r="AA46" s="16" t="n"/>
      <c r="AB46" s="16" t="n"/>
      <c r="AC46" s="20">
        <f>IF(OR(Z46="",AA46="",AB46=""),"",(--TRIM(LEFT(Z46,2)))*(--TRIM(LEFT(AA46,2)))*(--TRIM(LEFT(AB46,2))))</f>
        <v/>
      </c>
      <c r="AD46" s="20">
        <f>IF(OR(Z46="",AA46="",AB46=""),"",INDEX(APGrid,COUNTIF(APS,"&gt;"&amp;(--TRIM(LEFT(Z46,2))))*5+COUNTIF(APO,"&gt;"&amp;(--TRIM(LEFT(AA46,2))))+1,COUNTIF(APD,"&gt;"&amp;(--TRIM(LEFT(AB46,2))))+1))</f>
        <v/>
      </c>
      <c r="AE46" s="4" t="n"/>
      <c r="AF46" s="4" t="n"/>
      <c r="AH46">
        <f>IFERROR(INDEX(EqTag,_xlfn.AGGREGATE(15,6,(ROW(EqTag)-4)/((EqSys=$D$3)*(EqTag&lt;&gt;"")),ROWS($AH$14:AH46))),"")</f>
        <v/>
      </c>
    </row>
    <row r="47">
      <c r="A47" s="20">
        <f>IF(F47="","",LEFT($D$3,3)&amp;"-"&amp;TEXT(COUNTIF(F$14:F47,"?*"),"00"))</f>
        <v/>
      </c>
      <c r="B47" s="4" t="n"/>
      <c r="C47" s="5">
        <f>IF(B47="","",IFERROR(INDEX(EqTypeCol,MATCH(B47,EqTag,0)),"Tag not in register"))</f>
        <v/>
      </c>
      <c r="D47" s="4" t="n"/>
      <c r="E47" s="4" t="n"/>
      <c r="F47" s="4" t="n"/>
      <c r="G47" s="4" t="n"/>
      <c r="H47" s="4" t="n"/>
      <c r="I47" s="4" t="n"/>
      <c r="J47" s="5">
        <f>_xlfn.TEXTJOIN(CHAR(10),TRUE,IF(G47="","","• "&amp;G47),IF(H47="","","• "&amp;H47),IF(I47="","","• "&amp;I47))</f>
        <v/>
      </c>
      <c r="K47" s="4" t="n"/>
      <c r="L47" s="4" t="n"/>
      <c r="M47" s="4" t="n"/>
      <c r="N47" s="16" t="n"/>
      <c r="O47" s="4" t="n"/>
      <c r="P47" s="16" t="n"/>
      <c r="Q47" s="4" t="n"/>
      <c r="R47" s="16" t="n"/>
      <c r="S47" s="20">
        <f>IF(OR(N47="",P47="",R47=""),"",(--TRIM(LEFT(N47,2)))*(--TRIM(LEFT(P47,2)))*(--TRIM(LEFT(R47,2))))</f>
        <v/>
      </c>
      <c r="T47" s="20">
        <f>IF(OR(N47="",P47="",R47=""),"",INDEX(APGrid,COUNTIF(APS,"&gt;"&amp;(--TRIM(LEFT(N47,2))))*5+COUNTIF(APO,"&gt;"&amp;(--TRIM(LEFT(P47,2))))+1,COUNTIF(APD,"&gt;"&amp;(--TRIM(LEFT(R47,2))))+1))</f>
        <v/>
      </c>
      <c r="U47" s="20">
        <f>IF(S47="","",IF(OR((--TRIM(LEFT(N47,2)))&gt;=SThr,S47&gt;=RPNThr,T47="H"),"Yes","No"))</f>
        <v/>
      </c>
      <c r="V47" s="4" t="n"/>
      <c r="W47" s="4" t="n"/>
      <c r="X47" s="4" t="n"/>
      <c r="Y47" s="29" t="n"/>
      <c r="Z47" s="16" t="n"/>
      <c r="AA47" s="16" t="n"/>
      <c r="AB47" s="16" t="n"/>
      <c r="AC47" s="20">
        <f>IF(OR(Z47="",AA47="",AB47=""),"",(--TRIM(LEFT(Z47,2)))*(--TRIM(LEFT(AA47,2)))*(--TRIM(LEFT(AB47,2))))</f>
        <v/>
      </c>
      <c r="AD47" s="20">
        <f>IF(OR(Z47="",AA47="",AB47=""),"",INDEX(APGrid,COUNTIF(APS,"&gt;"&amp;(--TRIM(LEFT(Z47,2))))*5+COUNTIF(APO,"&gt;"&amp;(--TRIM(LEFT(AA47,2))))+1,COUNTIF(APD,"&gt;"&amp;(--TRIM(LEFT(AB47,2))))+1))</f>
        <v/>
      </c>
      <c r="AE47" s="4" t="n"/>
      <c r="AF47" s="4" t="n"/>
      <c r="AH47">
        <f>IFERROR(INDEX(EqTag,_xlfn.AGGREGATE(15,6,(ROW(EqTag)-4)/((EqSys=$D$3)*(EqTag&lt;&gt;"")),ROWS($AH$14:AH47))),"")</f>
        <v/>
      </c>
    </row>
    <row r="48">
      <c r="A48" s="20">
        <f>IF(F48="","",LEFT($D$3,3)&amp;"-"&amp;TEXT(COUNTIF(F$14:F48,"?*"),"00"))</f>
        <v/>
      </c>
      <c r="B48" s="4" t="n"/>
      <c r="C48" s="5">
        <f>IF(B48="","",IFERROR(INDEX(EqTypeCol,MATCH(B48,EqTag,0)),"Tag not in register"))</f>
        <v/>
      </c>
      <c r="D48" s="4" t="n"/>
      <c r="E48" s="4" t="n"/>
      <c r="F48" s="4" t="n"/>
      <c r="G48" s="4" t="n"/>
      <c r="H48" s="4" t="n"/>
      <c r="I48" s="4" t="n"/>
      <c r="J48" s="5">
        <f>_xlfn.TEXTJOIN(CHAR(10),TRUE,IF(G48="","","• "&amp;G48),IF(H48="","","• "&amp;H48),IF(I48="","","• "&amp;I48))</f>
        <v/>
      </c>
      <c r="K48" s="4" t="n"/>
      <c r="L48" s="4" t="n"/>
      <c r="M48" s="4" t="n"/>
      <c r="N48" s="16" t="n"/>
      <c r="O48" s="4" t="n"/>
      <c r="P48" s="16" t="n"/>
      <c r="Q48" s="4" t="n"/>
      <c r="R48" s="16" t="n"/>
      <c r="S48" s="20">
        <f>IF(OR(N48="",P48="",R48=""),"",(--TRIM(LEFT(N48,2)))*(--TRIM(LEFT(P48,2)))*(--TRIM(LEFT(R48,2))))</f>
        <v/>
      </c>
      <c r="T48" s="20">
        <f>IF(OR(N48="",P48="",R48=""),"",INDEX(APGrid,COUNTIF(APS,"&gt;"&amp;(--TRIM(LEFT(N48,2))))*5+COUNTIF(APO,"&gt;"&amp;(--TRIM(LEFT(P48,2))))+1,COUNTIF(APD,"&gt;"&amp;(--TRIM(LEFT(R48,2))))+1))</f>
        <v/>
      </c>
      <c r="U48" s="20">
        <f>IF(S48="","",IF(OR((--TRIM(LEFT(N48,2)))&gt;=SThr,S48&gt;=RPNThr,T48="H"),"Yes","No"))</f>
        <v/>
      </c>
      <c r="V48" s="4" t="n"/>
      <c r="W48" s="4" t="n"/>
      <c r="X48" s="4" t="n"/>
      <c r="Y48" s="29" t="n"/>
      <c r="Z48" s="16" t="n"/>
      <c r="AA48" s="16" t="n"/>
      <c r="AB48" s="16" t="n"/>
      <c r="AC48" s="20">
        <f>IF(OR(Z48="",AA48="",AB48=""),"",(--TRIM(LEFT(Z48,2)))*(--TRIM(LEFT(AA48,2)))*(--TRIM(LEFT(AB48,2))))</f>
        <v/>
      </c>
      <c r="AD48" s="20">
        <f>IF(OR(Z48="",AA48="",AB48=""),"",INDEX(APGrid,COUNTIF(APS,"&gt;"&amp;(--TRIM(LEFT(Z48,2))))*5+COUNTIF(APO,"&gt;"&amp;(--TRIM(LEFT(AA48,2))))+1,COUNTIF(APD,"&gt;"&amp;(--TRIM(LEFT(AB48,2))))+1))</f>
        <v/>
      </c>
      <c r="AE48" s="4" t="n"/>
      <c r="AF48" s="4" t="n"/>
      <c r="AH48">
        <f>IFERROR(INDEX(EqTag,_xlfn.AGGREGATE(15,6,(ROW(EqTag)-4)/((EqSys=$D$3)*(EqTag&lt;&gt;"")),ROWS($AH$14:AH48))),"")</f>
        <v/>
      </c>
    </row>
    <row r="49">
      <c r="A49" s="20">
        <f>IF(F49="","",LEFT($D$3,3)&amp;"-"&amp;TEXT(COUNTIF(F$14:F49,"?*"),"00"))</f>
        <v/>
      </c>
      <c r="B49" s="4" t="n"/>
      <c r="C49" s="5">
        <f>IF(B49="","",IFERROR(INDEX(EqTypeCol,MATCH(B49,EqTag,0)),"Tag not in register"))</f>
        <v/>
      </c>
      <c r="D49" s="4" t="n"/>
      <c r="E49" s="4" t="n"/>
      <c r="F49" s="4" t="n"/>
      <c r="G49" s="4" t="n"/>
      <c r="H49" s="4" t="n"/>
      <c r="I49" s="4" t="n"/>
      <c r="J49" s="5">
        <f>_xlfn.TEXTJOIN(CHAR(10),TRUE,IF(G49="","","• "&amp;G49),IF(H49="","","• "&amp;H49),IF(I49="","","• "&amp;I49))</f>
        <v/>
      </c>
      <c r="K49" s="4" t="n"/>
      <c r="L49" s="4" t="n"/>
      <c r="M49" s="4" t="n"/>
      <c r="N49" s="16" t="n"/>
      <c r="O49" s="4" t="n"/>
      <c r="P49" s="16" t="n"/>
      <c r="Q49" s="4" t="n"/>
      <c r="R49" s="16" t="n"/>
      <c r="S49" s="20">
        <f>IF(OR(N49="",P49="",R49=""),"",(--TRIM(LEFT(N49,2)))*(--TRIM(LEFT(P49,2)))*(--TRIM(LEFT(R49,2))))</f>
        <v/>
      </c>
      <c r="T49" s="20">
        <f>IF(OR(N49="",P49="",R49=""),"",INDEX(APGrid,COUNTIF(APS,"&gt;"&amp;(--TRIM(LEFT(N49,2))))*5+COUNTIF(APO,"&gt;"&amp;(--TRIM(LEFT(P49,2))))+1,COUNTIF(APD,"&gt;"&amp;(--TRIM(LEFT(R49,2))))+1))</f>
        <v/>
      </c>
      <c r="U49" s="20">
        <f>IF(S49="","",IF(OR((--TRIM(LEFT(N49,2)))&gt;=SThr,S49&gt;=RPNThr,T49="H"),"Yes","No"))</f>
        <v/>
      </c>
      <c r="V49" s="4" t="n"/>
      <c r="W49" s="4" t="n"/>
      <c r="X49" s="4" t="n"/>
      <c r="Y49" s="29" t="n"/>
      <c r="Z49" s="16" t="n"/>
      <c r="AA49" s="16" t="n"/>
      <c r="AB49" s="16" t="n"/>
      <c r="AC49" s="20">
        <f>IF(OR(Z49="",AA49="",AB49=""),"",(--TRIM(LEFT(Z49,2)))*(--TRIM(LEFT(AA49,2)))*(--TRIM(LEFT(AB49,2))))</f>
        <v/>
      </c>
      <c r="AD49" s="20">
        <f>IF(OR(Z49="",AA49="",AB49=""),"",INDEX(APGrid,COUNTIF(APS,"&gt;"&amp;(--TRIM(LEFT(Z49,2))))*5+COUNTIF(APO,"&gt;"&amp;(--TRIM(LEFT(AA49,2))))+1,COUNTIF(APD,"&gt;"&amp;(--TRIM(LEFT(AB49,2))))+1))</f>
        <v/>
      </c>
      <c r="AE49" s="4" t="n"/>
      <c r="AF49" s="4" t="n"/>
      <c r="AH49">
        <f>IFERROR(INDEX(EqTag,_xlfn.AGGREGATE(15,6,(ROW(EqTag)-4)/((EqSys=$D$3)*(EqTag&lt;&gt;"")),ROWS($AH$14:AH49))),"")</f>
        <v/>
      </c>
    </row>
    <row r="50">
      <c r="A50" s="20">
        <f>IF(F50="","",LEFT($D$3,3)&amp;"-"&amp;TEXT(COUNTIF(F$14:F50,"?*"),"00"))</f>
        <v/>
      </c>
      <c r="B50" s="4" t="n"/>
      <c r="C50" s="5">
        <f>IF(B50="","",IFERROR(INDEX(EqTypeCol,MATCH(B50,EqTag,0)),"Tag not in register"))</f>
        <v/>
      </c>
      <c r="D50" s="4" t="n"/>
      <c r="E50" s="4" t="n"/>
      <c r="F50" s="4" t="n"/>
      <c r="G50" s="4" t="n"/>
      <c r="H50" s="4" t="n"/>
      <c r="I50" s="4" t="n"/>
      <c r="J50" s="5">
        <f>_xlfn.TEXTJOIN(CHAR(10),TRUE,IF(G50="","","• "&amp;G50),IF(H50="","","• "&amp;H50),IF(I50="","","• "&amp;I50))</f>
        <v/>
      </c>
      <c r="K50" s="4" t="n"/>
      <c r="L50" s="4" t="n"/>
      <c r="M50" s="4" t="n"/>
      <c r="N50" s="16" t="n"/>
      <c r="O50" s="4" t="n"/>
      <c r="P50" s="16" t="n"/>
      <c r="Q50" s="4" t="n"/>
      <c r="R50" s="16" t="n"/>
      <c r="S50" s="20">
        <f>IF(OR(N50="",P50="",R50=""),"",(--TRIM(LEFT(N50,2)))*(--TRIM(LEFT(P50,2)))*(--TRIM(LEFT(R50,2))))</f>
        <v/>
      </c>
      <c r="T50" s="20">
        <f>IF(OR(N50="",P50="",R50=""),"",INDEX(APGrid,COUNTIF(APS,"&gt;"&amp;(--TRIM(LEFT(N50,2))))*5+COUNTIF(APO,"&gt;"&amp;(--TRIM(LEFT(P50,2))))+1,COUNTIF(APD,"&gt;"&amp;(--TRIM(LEFT(R50,2))))+1))</f>
        <v/>
      </c>
      <c r="U50" s="20">
        <f>IF(S50="","",IF(OR((--TRIM(LEFT(N50,2)))&gt;=SThr,S50&gt;=RPNThr,T50="H"),"Yes","No"))</f>
        <v/>
      </c>
      <c r="V50" s="4" t="n"/>
      <c r="W50" s="4" t="n"/>
      <c r="X50" s="4" t="n"/>
      <c r="Y50" s="29" t="n"/>
      <c r="Z50" s="16" t="n"/>
      <c r="AA50" s="16" t="n"/>
      <c r="AB50" s="16" t="n"/>
      <c r="AC50" s="20">
        <f>IF(OR(Z50="",AA50="",AB50=""),"",(--TRIM(LEFT(Z50,2)))*(--TRIM(LEFT(AA50,2)))*(--TRIM(LEFT(AB50,2))))</f>
        <v/>
      </c>
      <c r="AD50" s="20">
        <f>IF(OR(Z50="",AA50="",AB50=""),"",INDEX(APGrid,COUNTIF(APS,"&gt;"&amp;(--TRIM(LEFT(Z50,2))))*5+COUNTIF(APO,"&gt;"&amp;(--TRIM(LEFT(AA50,2))))+1,COUNTIF(APD,"&gt;"&amp;(--TRIM(LEFT(AB50,2))))+1))</f>
        <v/>
      </c>
      <c r="AE50" s="4" t="n"/>
      <c r="AF50" s="4" t="n"/>
      <c r="AH50">
        <f>IFERROR(INDEX(EqTag,_xlfn.AGGREGATE(15,6,(ROW(EqTag)-4)/((EqSys=$D$3)*(EqTag&lt;&gt;"")),ROWS($AH$14:AH50))),"")</f>
        <v/>
      </c>
    </row>
    <row r="51">
      <c r="A51" s="20">
        <f>IF(F51="","",LEFT($D$3,3)&amp;"-"&amp;TEXT(COUNTIF(F$14:F51,"?*"),"00"))</f>
        <v/>
      </c>
      <c r="B51" s="4" t="n"/>
      <c r="C51" s="5">
        <f>IF(B51="","",IFERROR(INDEX(EqTypeCol,MATCH(B51,EqTag,0)),"Tag not in register"))</f>
        <v/>
      </c>
      <c r="D51" s="4" t="n"/>
      <c r="E51" s="4" t="n"/>
      <c r="F51" s="4" t="n"/>
      <c r="G51" s="4" t="n"/>
      <c r="H51" s="4" t="n"/>
      <c r="I51" s="4" t="n"/>
      <c r="J51" s="5">
        <f>_xlfn.TEXTJOIN(CHAR(10),TRUE,IF(G51="","","• "&amp;G51),IF(H51="","","• "&amp;H51),IF(I51="","","• "&amp;I51))</f>
        <v/>
      </c>
      <c r="K51" s="4" t="n"/>
      <c r="L51" s="4" t="n"/>
      <c r="M51" s="4" t="n"/>
      <c r="N51" s="16" t="n"/>
      <c r="O51" s="4" t="n"/>
      <c r="P51" s="16" t="n"/>
      <c r="Q51" s="4" t="n"/>
      <c r="R51" s="16" t="n"/>
      <c r="S51" s="20">
        <f>IF(OR(N51="",P51="",R51=""),"",(--TRIM(LEFT(N51,2)))*(--TRIM(LEFT(P51,2)))*(--TRIM(LEFT(R51,2))))</f>
        <v/>
      </c>
      <c r="T51" s="20">
        <f>IF(OR(N51="",P51="",R51=""),"",INDEX(APGrid,COUNTIF(APS,"&gt;"&amp;(--TRIM(LEFT(N51,2))))*5+COUNTIF(APO,"&gt;"&amp;(--TRIM(LEFT(P51,2))))+1,COUNTIF(APD,"&gt;"&amp;(--TRIM(LEFT(R51,2))))+1))</f>
        <v/>
      </c>
      <c r="U51" s="20">
        <f>IF(S51="","",IF(OR((--TRIM(LEFT(N51,2)))&gt;=SThr,S51&gt;=RPNThr,T51="H"),"Yes","No"))</f>
        <v/>
      </c>
      <c r="V51" s="4" t="n"/>
      <c r="W51" s="4" t="n"/>
      <c r="X51" s="4" t="n"/>
      <c r="Y51" s="29" t="n"/>
      <c r="Z51" s="16" t="n"/>
      <c r="AA51" s="16" t="n"/>
      <c r="AB51" s="16" t="n"/>
      <c r="AC51" s="20">
        <f>IF(OR(Z51="",AA51="",AB51=""),"",(--TRIM(LEFT(Z51,2)))*(--TRIM(LEFT(AA51,2)))*(--TRIM(LEFT(AB51,2))))</f>
        <v/>
      </c>
      <c r="AD51" s="20">
        <f>IF(OR(Z51="",AA51="",AB51=""),"",INDEX(APGrid,COUNTIF(APS,"&gt;"&amp;(--TRIM(LEFT(Z51,2))))*5+COUNTIF(APO,"&gt;"&amp;(--TRIM(LEFT(AA51,2))))+1,COUNTIF(APD,"&gt;"&amp;(--TRIM(LEFT(AB51,2))))+1))</f>
        <v/>
      </c>
      <c r="AE51" s="4" t="n"/>
      <c r="AF51" s="4" t="n"/>
      <c r="AH51">
        <f>IFERROR(INDEX(EqTag,_xlfn.AGGREGATE(15,6,(ROW(EqTag)-4)/((EqSys=$D$3)*(EqTag&lt;&gt;"")),ROWS($AH$14:AH51))),"")</f>
        <v/>
      </c>
    </row>
    <row r="52">
      <c r="A52" s="20">
        <f>IF(F52="","",LEFT($D$3,3)&amp;"-"&amp;TEXT(COUNTIF(F$14:F52,"?*"),"00"))</f>
        <v/>
      </c>
      <c r="B52" s="4" t="n"/>
      <c r="C52" s="5">
        <f>IF(B52="","",IFERROR(INDEX(EqTypeCol,MATCH(B52,EqTag,0)),"Tag not in register"))</f>
        <v/>
      </c>
      <c r="D52" s="4" t="n"/>
      <c r="E52" s="4" t="n"/>
      <c r="F52" s="4" t="n"/>
      <c r="G52" s="4" t="n"/>
      <c r="H52" s="4" t="n"/>
      <c r="I52" s="4" t="n"/>
      <c r="J52" s="5">
        <f>_xlfn.TEXTJOIN(CHAR(10),TRUE,IF(G52="","","• "&amp;G52),IF(H52="","","• "&amp;H52),IF(I52="","","• "&amp;I52))</f>
        <v/>
      </c>
      <c r="K52" s="4" t="n"/>
      <c r="L52" s="4" t="n"/>
      <c r="M52" s="4" t="n"/>
      <c r="N52" s="16" t="n"/>
      <c r="O52" s="4" t="n"/>
      <c r="P52" s="16" t="n"/>
      <c r="Q52" s="4" t="n"/>
      <c r="R52" s="16" t="n"/>
      <c r="S52" s="20">
        <f>IF(OR(N52="",P52="",R52=""),"",(--TRIM(LEFT(N52,2)))*(--TRIM(LEFT(P52,2)))*(--TRIM(LEFT(R52,2))))</f>
        <v/>
      </c>
      <c r="T52" s="20">
        <f>IF(OR(N52="",P52="",R52=""),"",INDEX(APGrid,COUNTIF(APS,"&gt;"&amp;(--TRIM(LEFT(N52,2))))*5+COUNTIF(APO,"&gt;"&amp;(--TRIM(LEFT(P52,2))))+1,COUNTIF(APD,"&gt;"&amp;(--TRIM(LEFT(R52,2))))+1))</f>
        <v/>
      </c>
      <c r="U52" s="20">
        <f>IF(S52="","",IF(OR((--TRIM(LEFT(N52,2)))&gt;=SThr,S52&gt;=RPNThr,T52="H"),"Yes","No"))</f>
        <v/>
      </c>
      <c r="V52" s="4" t="n"/>
      <c r="W52" s="4" t="n"/>
      <c r="X52" s="4" t="n"/>
      <c r="Y52" s="29" t="n"/>
      <c r="Z52" s="16" t="n"/>
      <c r="AA52" s="16" t="n"/>
      <c r="AB52" s="16" t="n"/>
      <c r="AC52" s="20">
        <f>IF(OR(Z52="",AA52="",AB52=""),"",(--TRIM(LEFT(Z52,2)))*(--TRIM(LEFT(AA52,2)))*(--TRIM(LEFT(AB52,2))))</f>
        <v/>
      </c>
      <c r="AD52" s="20">
        <f>IF(OR(Z52="",AA52="",AB52=""),"",INDEX(APGrid,COUNTIF(APS,"&gt;"&amp;(--TRIM(LEFT(Z52,2))))*5+COUNTIF(APO,"&gt;"&amp;(--TRIM(LEFT(AA52,2))))+1,COUNTIF(APD,"&gt;"&amp;(--TRIM(LEFT(AB52,2))))+1))</f>
        <v/>
      </c>
      <c r="AE52" s="4" t="n"/>
      <c r="AF52" s="4" t="n"/>
      <c r="AH52">
        <f>IFERROR(INDEX(EqTag,_xlfn.AGGREGATE(15,6,(ROW(EqTag)-4)/((EqSys=$D$3)*(EqTag&lt;&gt;"")),ROWS($AH$14:AH52))),"")</f>
        <v/>
      </c>
    </row>
    <row r="53">
      <c r="A53" s="20">
        <f>IF(F53="","",LEFT($D$3,3)&amp;"-"&amp;TEXT(COUNTIF(F$14:F53,"?*"),"00"))</f>
        <v/>
      </c>
      <c r="B53" s="4" t="n"/>
      <c r="C53" s="5">
        <f>IF(B53="","",IFERROR(INDEX(EqTypeCol,MATCH(B53,EqTag,0)),"Tag not in register"))</f>
        <v/>
      </c>
      <c r="D53" s="4" t="n"/>
      <c r="E53" s="4" t="n"/>
      <c r="F53" s="4" t="n"/>
      <c r="G53" s="4" t="n"/>
      <c r="H53" s="4" t="n"/>
      <c r="I53" s="4" t="n"/>
      <c r="J53" s="5">
        <f>_xlfn.TEXTJOIN(CHAR(10),TRUE,IF(G53="","","• "&amp;G53),IF(H53="","","• "&amp;H53),IF(I53="","","• "&amp;I53))</f>
        <v/>
      </c>
      <c r="K53" s="4" t="n"/>
      <c r="L53" s="4" t="n"/>
      <c r="M53" s="4" t="n"/>
      <c r="N53" s="16" t="n"/>
      <c r="O53" s="4" t="n"/>
      <c r="P53" s="16" t="n"/>
      <c r="Q53" s="4" t="n"/>
      <c r="R53" s="16" t="n"/>
      <c r="S53" s="20">
        <f>IF(OR(N53="",P53="",R53=""),"",(--TRIM(LEFT(N53,2)))*(--TRIM(LEFT(P53,2)))*(--TRIM(LEFT(R53,2))))</f>
        <v/>
      </c>
      <c r="T53" s="20">
        <f>IF(OR(N53="",P53="",R53=""),"",INDEX(APGrid,COUNTIF(APS,"&gt;"&amp;(--TRIM(LEFT(N53,2))))*5+COUNTIF(APO,"&gt;"&amp;(--TRIM(LEFT(P53,2))))+1,COUNTIF(APD,"&gt;"&amp;(--TRIM(LEFT(R53,2))))+1))</f>
        <v/>
      </c>
      <c r="U53" s="20">
        <f>IF(S53="","",IF(OR((--TRIM(LEFT(N53,2)))&gt;=SThr,S53&gt;=RPNThr,T53="H"),"Yes","No"))</f>
        <v/>
      </c>
      <c r="V53" s="4" t="n"/>
      <c r="W53" s="4" t="n"/>
      <c r="X53" s="4" t="n"/>
      <c r="Y53" s="29" t="n"/>
      <c r="Z53" s="16" t="n"/>
      <c r="AA53" s="16" t="n"/>
      <c r="AB53" s="16" t="n"/>
      <c r="AC53" s="20">
        <f>IF(OR(Z53="",AA53="",AB53=""),"",(--TRIM(LEFT(Z53,2)))*(--TRIM(LEFT(AA53,2)))*(--TRIM(LEFT(AB53,2))))</f>
        <v/>
      </c>
      <c r="AD53" s="20">
        <f>IF(OR(Z53="",AA53="",AB53=""),"",INDEX(APGrid,COUNTIF(APS,"&gt;"&amp;(--TRIM(LEFT(Z53,2))))*5+COUNTIF(APO,"&gt;"&amp;(--TRIM(LEFT(AA53,2))))+1,COUNTIF(APD,"&gt;"&amp;(--TRIM(LEFT(AB53,2))))+1))</f>
        <v/>
      </c>
      <c r="AE53" s="4" t="n"/>
      <c r="AF53" s="4" t="n"/>
      <c r="AH53">
        <f>IFERROR(INDEX(EqTag,_xlfn.AGGREGATE(15,6,(ROW(EqTag)-4)/((EqSys=$D$3)*(EqTag&lt;&gt;"")),ROWS($AH$14:AH53))),"")</f>
        <v/>
      </c>
    </row>
    <row r="54">
      <c r="A54" s="20">
        <f>IF(F54="","",LEFT($D$3,3)&amp;"-"&amp;TEXT(COUNTIF(F$14:F54,"?*"),"00"))</f>
        <v/>
      </c>
      <c r="B54" s="4" t="n"/>
      <c r="C54" s="5">
        <f>IF(B54="","",IFERROR(INDEX(EqTypeCol,MATCH(B54,EqTag,0)),"Tag not in register"))</f>
        <v/>
      </c>
      <c r="D54" s="4" t="n"/>
      <c r="E54" s="4" t="n"/>
      <c r="F54" s="4" t="n"/>
      <c r="G54" s="4" t="n"/>
      <c r="H54" s="4" t="n"/>
      <c r="I54" s="4" t="n"/>
      <c r="J54" s="5">
        <f>_xlfn.TEXTJOIN(CHAR(10),TRUE,IF(G54="","","• "&amp;G54),IF(H54="","","• "&amp;H54),IF(I54="","","• "&amp;I54))</f>
        <v/>
      </c>
      <c r="K54" s="4" t="n"/>
      <c r="L54" s="4" t="n"/>
      <c r="M54" s="4" t="n"/>
      <c r="N54" s="16" t="n"/>
      <c r="O54" s="4" t="n"/>
      <c r="P54" s="16" t="n"/>
      <c r="Q54" s="4" t="n"/>
      <c r="R54" s="16" t="n"/>
      <c r="S54" s="20">
        <f>IF(OR(N54="",P54="",R54=""),"",(--TRIM(LEFT(N54,2)))*(--TRIM(LEFT(P54,2)))*(--TRIM(LEFT(R54,2))))</f>
        <v/>
      </c>
      <c r="T54" s="20">
        <f>IF(OR(N54="",P54="",R54=""),"",INDEX(APGrid,COUNTIF(APS,"&gt;"&amp;(--TRIM(LEFT(N54,2))))*5+COUNTIF(APO,"&gt;"&amp;(--TRIM(LEFT(P54,2))))+1,COUNTIF(APD,"&gt;"&amp;(--TRIM(LEFT(R54,2))))+1))</f>
        <v/>
      </c>
      <c r="U54" s="20">
        <f>IF(S54="","",IF(OR((--TRIM(LEFT(N54,2)))&gt;=SThr,S54&gt;=RPNThr,T54="H"),"Yes","No"))</f>
        <v/>
      </c>
      <c r="V54" s="4" t="n"/>
      <c r="W54" s="4" t="n"/>
      <c r="X54" s="4" t="n"/>
      <c r="Y54" s="29" t="n"/>
      <c r="Z54" s="16" t="n"/>
      <c r="AA54" s="16" t="n"/>
      <c r="AB54" s="16" t="n"/>
      <c r="AC54" s="20">
        <f>IF(OR(Z54="",AA54="",AB54=""),"",(--TRIM(LEFT(Z54,2)))*(--TRIM(LEFT(AA54,2)))*(--TRIM(LEFT(AB54,2))))</f>
        <v/>
      </c>
      <c r="AD54" s="20">
        <f>IF(OR(Z54="",AA54="",AB54=""),"",INDEX(APGrid,COUNTIF(APS,"&gt;"&amp;(--TRIM(LEFT(Z54,2))))*5+COUNTIF(APO,"&gt;"&amp;(--TRIM(LEFT(AA54,2))))+1,COUNTIF(APD,"&gt;"&amp;(--TRIM(LEFT(AB54,2))))+1))</f>
        <v/>
      </c>
      <c r="AE54" s="4" t="n"/>
      <c r="AF54" s="4" t="n"/>
      <c r="AH54">
        <f>IFERROR(INDEX(EqTag,_xlfn.AGGREGATE(15,6,(ROW(EqTag)-4)/((EqSys=$D$3)*(EqTag&lt;&gt;"")),ROWS($AH$14:AH54))),"")</f>
        <v/>
      </c>
    </row>
    <row r="55">
      <c r="A55" s="20">
        <f>IF(F55="","",LEFT($D$3,3)&amp;"-"&amp;TEXT(COUNTIF(F$14:F55,"?*"),"00"))</f>
        <v/>
      </c>
      <c r="B55" s="4" t="n"/>
      <c r="C55" s="5">
        <f>IF(B55="","",IFERROR(INDEX(EqTypeCol,MATCH(B55,EqTag,0)),"Tag not in register"))</f>
        <v/>
      </c>
      <c r="D55" s="4" t="n"/>
      <c r="E55" s="4" t="n"/>
      <c r="F55" s="4" t="n"/>
      <c r="G55" s="4" t="n"/>
      <c r="H55" s="4" t="n"/>
      <c r="I55" s="4" t="n"/>
      <c r="J55" s="5">
        <f>_xlfn.TEXTJOIN(CHAR(10),TRUE,IF(G55="","","• "&amp;G55),IF(H55="","","• "&amp;H55),IF(I55="","","• "&amp;I55))</f>
        <v/>
      </c>
      <c r="K55" s="4" t="n"/>
      <c r="L55" s="4" t="n"/>
      <c r="M55" s="4" t="n"/>
      <c r="N55" s="16" t="n"/>
      <c r="O55" s="4" t="n"/>
      <c r="P55" s="16" t="n"/>
      <c r="Q55" s="4" t="n"/>
      <c r="R55" s="16" t="n"/>
      <c r="S55" s="20">
        <f>IF(OR(N55="",P55="",R55=""),"",(--TRIM(LEFT(N55,2)))*(--TRIM(LEFT(P55,2)))*(--TRIM(LEFT(R55,2))))</f>
        <v/>
      </c>
      <c r="T55" s="20">
        <f>IF(OR(N55="",P55="",R55=""),"",INDEX(APGrid,COUNTIF(APS,"&gt;"&amp;(--TRIM(LEFT(N55,2))))*5+COUNTIF(APO,"&gt;"&amp;(--TRIM(LEFT(P55,2))))+1,COUNTIF(APD,"&gt;"&amp;(--TRIM(LEFT(R55,2))))+1))</f>
        <v/>
      </c>
      <c r="U55" s="20">
        <f>IF(S55="","",IF(OR((--TRIM(LEFT(N55,2)))&gt;=SThr,S55&gt;=RPNThr,T55="H"),"Yes","No"))</f>
        <v/>
      </c>
      <c r="V55" s="4" t="n"/>
      <c r="W55" s="4" t="n"/>
      <c r="X55" s="4" t="n"/>
      <c r="Y55" s="29" t="n"/>
      <c r="Z55" s="16" t="n"/>
      <c r="AA55" s="16" t="n"/>
      <c r="AB55" s="16" t="n"/>
      <c r="AC55" s="20">
        <f>IF(OR(Z55="",AA55="",AB55=""),"",(--TRIM(LEFT(Z55,2)))*(--TRIM(LEFT(AA55,2)))*(--TRIM(LEFT(AB55,2))))</f>
        <v/>
      </c>
      <c r="AD55" s="20">
        <f>IF(OR(Z55="",AA55="",AB55=""),"",INDEX(APGrid,COUNTIF(APS,"&gt;"&amp;(--TRIM(LEFT(Z55,2))))*5+COUNTIF(APO,"&gt;"&amp;(--TRIM(LEFT(AA55,2))))+1,COUNTIF(APD,"&gt;"&amp;(--TRIM(LEFT(AB55,2))))+1))</f>
        <v/>
      </c>
      <c r="AE55" s="4" t="n"/>
      <c r="AF55" s="4" t="n"/>
      <c r="AH55">
        <f>IFERROR(INDEX(EqTag,_xlfn.AGGREGATE(15,6,(ROW(EqTag)-4)/((EqSys=$D$3)*(EqTag&lt;&gt;"")),ROWS($AH$14:AH55))),"")</f>
        <v/>
      </c>
    </row>
    <row r="56">
      <c r="A56" s="20">
        <f>IF(F56="","",LEFT($D$3,3)&amp;"-"&amp;TEXT(COUNTIF(F$14:F56,"?*"),"00"))</f>
        <v/>
      </c>
      <c r="B56" s="4" t="n"/>
      <c r="C56" s="5">
        <f>IF(B56="","",IFERROR(INDEX(EqTypeCol,MATCH(B56,EqTag,0)),"Tag not in register"))</f>
        <v/>
      </c>
      <c r="D56" s="4" t="n"/>
      <c r="E56" s="4" t="n"/>
      <c r="F56" s="4" t="n"/>
      <c r="G56" s="4" t="n"/>
      <c r="H56" s="4" t="n"/>
      <c r="I56" s="4" t="n"/>
      <c r="J56" s="5">
        <f>_xlfn.TEXTJOIN(CHAR(10),TRUE,IF(G56="","","• "&amp;G56),IF(H56="","","• "&amp;H56),IF(I56="","","• "&amp;I56))</f>
        <v/>
      </c>
      <c r="K56" s="4" t="n"/>
      <c r="L56" s="4" t="n"/>
      <c r="M56" s="4" t="n"/>
      <c r="N56" s="16" t="n"/>
      <c r="O56" s="4" t="n"/>
      <c r="P56" s="16" t="n"/>
      <c r="Q56" s="4" t="n"/>
      <c r="R56" s="16" t="n"/>
      <c r="S56" s="20">
        <f>IF(OR(N56="",P56="",R56=""),"",(--TRIM(LEFT(N56,2)))*(--TRIM(LEFT(P56,2)))*(--TRIM(LEFT(R56,2))))</f>
        <v/>
      </c>
      <c r="T56" s="20">
        <f>IF(OR(N56="",P56="",R56=""),"",INDEX(APGrid,COUNTIF(APS,"&gt;"&amp;(--TRIM(LEFT(N56,2))))*5+COUNTIF(APO,"&gt;"&amp;(--TRIM(LEFT(P56,2))))+1,COUNTIF(APD,"&gt;"&amp;(--TRIM(LEFT(R56,2))))+1))</f>
        <v/>
      </c>
      <c r="U56" s="20">
        <f>IF(S56="","",IF(OR((--TRIM(LEFT(N56,2)))&gt;=SThr,S56&gt;=RPNThr,T56="H"),"Yes","No"))</f>
        <v/>
      </c>
      <c r="V56" s="4" t="n"/>
      <c r="W56" s="4" t="n"/>
      <c r="X56" s="4" t="n"/>
      <c r="Y56" s="29" t="n"/>
      <c r="Z56" s="16" t="n"/>
      <c r="AA56" s="16" t="n"/>
      <c r="AB56" s="16" t="n"/>
      <c r="AC56" s="20">
        <f>IF(OR(Z56="",AA56="",AB56=""),"",(--TRIM(LEFT(Z56,2)))*(--TRIM(LEFT(AA56,2)))*(--TRIM(LEFT(AB56,2))))</f>
        <v/>
      </c>
      <c r="AD56" s="20">
        <f>IF(OR(Z56="",AA56="",AB56=""),"",INDEX(APGrid,COUNTIF(APS,"&gt;"&amp;(--TRIM(LEFT(Z56,2))))*5+COUNTIF(APO,"&gt;"&amp;(--TRIM(LEFT(AA56,2))))+1,COUNTIF(APD,"&gt;"&amp;(--TRIM(LEFT(AB56,2))))+1))</f>
        <v/>
      </c>
      <c r="AE56" s="4" t="n"/>
      <c r="AF56" s="4" t="n"/>
      <c r="AH56">
        <f>IFERROR(INDEX(EqTag,_xlfn.AGGREGATE(15,6,(ROW(EqTag)-4)/((EqSys=$D$3)*(EqTag&lt;&gt;"")),ROWS($AH$14:AH56))),"")</f>
        <v/>
      </c>
    </row>
    <row r="57">
      <c r="A57" s="20">
        <f>IF(F57="","",LEFT($D$3,3)&amp;"-"&amp;TEXT(COUNTIF(F$14:F57,"?*"),"00"))</f>
        <v/>
      </c>
      <c r="B57" s="4" t="n"/>
      <c r="C57" s="5">
        <f>IF(B57="","",IFERROR(INDEX(EqTypeCol,MATCH(B57,EqTag,0)),"Tag not in register"))</f>
        <v/>
      </c>
      <c r="D57" s="4" t="n"/>
      <c r="E57" s="4" t="n"/>
      <c r="F57" s="4" t="n"/>
      <c r="G57" s="4" t="n"/>
      <c r="H57" s="4" t="n"/>
      <c r="I57" s="4" t="n"/>
      <c r="J57" s="5">
        <f>_xlfn.TEXTJOIN(CHAR(10),TRUE,IF(G57="","","• "&amp;G57),IF(H57="","","• "&amp;H57),IF(I57="","","• "&amp;I57))</f>
        <v/>
      </c>
      <c r="K57" s="4" t="n"/>
      <c r="L57" s="4" t="n"/>
      <c r="M57" s="4" t="n"/>
      <c r="N57" s="16" t="n"/>
      <c r="O57" s="4" t="n"/>
      <c r="P57" s="16" t="n"/>
      <c r="Q57" s="4" t="n"/>
      <c r="R57" s="16" t="n"/>
      <c r="S57" s="20">
        <f>IF(OR(N57="",P57="",R57=""),"",(--TRIM(LEFT(N57,2)))*(--TRIM(LEFT(P57,2)))*(--TRIM(LEFT(R57,2))))</f>
        <v/>
      </c>
      <c r="T57" s="20">
        <f>IF(OR(N57="",P57="",R57=""),"",INDEX(APGrid,COUNTIF(APS,"&gt;"&amp;(--TRIM(LEFT(N57,2))))*5+COUNTIF(APO,"&gt;"&amp;(--TRIM(LEFT(P57,2))))+1,COUNTIF(APD,"&gt;"&amp;(--TRIM(LEFT(R57,2))))+1))</f>
        <v/>
      </c>
      <c r="U57" s="20">
        <f>IF(S57="","",IF(OR((--TRIM(LEFT(N57,2)))&gt;=SThr,S57&gt;=RPNThr,T57="H"),"Yes","No"))</f>
        <v/>
      </c>
      <c r="V57" s="4" t="n"/>
      <c r="W57" s="4" t="n"/>
      <c r="X57" s="4" t="n"/>
      <c r="Y57" s="29" t="n"/>
      <c r="Z57" s="16" t="n"/>
      <c r="AA57" s="16" t="n"/>
      <c r="AB57" s="16" t="n"/>
      <c r="AC57" s="20">
        <f>IF(OR(Z57="",AA57="",AB57=""),"",(--TRIM(LEFT(Z57,2)))*(--TRIM(LEFT(AA57,2)))*(--TRIM(LEFT(AB57,2))))</f>
        <v/>
      </c>
      <c r="AD57" s="20">
        <f>IF(OR(Z57="",AA57="",AB57=""),"",INDEX(APGrid,COUNTIF(APS,"&gt;"&amp;(--TRIM(LEFT(Z57,2))))*5+COUNTIF(APO,"&gt;"&amp;(--TRIM(LEFT(AA57,2))))+1,COUNTIF(APD,"&gt;"&amp;(--TRIM(LEFT(AB57,2))))+1))</f>
        <v/>
      </c>
      <c r="AE57" s="4" t="n"/>
      <c r="AF57" s="4" t="n"/>
      <c r="AH57">
        <f>IFERROR(INDEX(EqTag,_xlfn.AGGREGATE(15,6,(ROW(EqTag)-4)/((EqSys=$D$3)*(EqTag&lt;&gt;"")),ROWS($AH$14:AH57))),"")</f>
        <v/>
      </c>
    </row>
    <row r="58">
      <c r="A58" s="20">
        <f>IF(F58="","",LEFT($D$3,3)&amp;"-"&amp;TEXT(COUNTIF(F$14:F58,"?*"),"00"))</f>
        <v/>
      </c>
      <c r="B58" s="4" t="n"/>
      <c r="C58" s="5">
        <f>IF(B58="","",IFERROR(INDEX(EqTypeCol,MATCH(B58,EqTag,0)),"Tag not in register"))</f>
        <v/>
      </c>
      <c r="D58" s="4" t="n"/>
      <c r="E58" s="4" t="n"/>
      <c r="F58" s="4" t="n"/>
      <c r="G58" s="4" t="n"/>
      <c r="H58" s="4" t="n"/>
      <c r="I58" s="4" t="n"/>
      <c r="J58" s="5">
        <f>_xlfn.TEXTJOIN(CHAR(10),TRUE,IF(G58="","","• "&amp;G58),IF(H58="","","• "&amp;H58),IF(I58="","","• "&amp;I58))</f>
        <v/>
      </c>
      <c r="K58" s="4" t="n"/>
      <c r="L58" s="4" t="n"/>
      <c r="M58" s="4" t="n"/>
      <c r="N58" s="16" t="n"/>
      <c r="O58" s="4" t="n"/>
      <c r="P58" s="16" t="n"/>
      <c r="Q58" s="4" t="n"/>
      <c r="R58" s="16" t="n"/>
      <c r="S58" s="20">
        <f>IF(OR(N58="",P58="",R58=""),"",(--TRIM(LEFT(N58,2)))*(--TRIM(LEFT(P58,2)))*(--TRIM(LEFT(R58,2))))</f>
        <v/>
      </c>
      <c r="T58" s="20">
        <f>IF(OR(N58="",P58="",R58=""),"",INDEX(APGrid,COUNTIF(APS,"&gt;"&amp;(--TRIM(LEFT(N58,2))))*5+COUNTIF(APO,"&gt;"&amp;(--TRIM(LEFT(P58,2))))+1,COUNTIF(APD,"&gt;"&amp;(--TRIM(LEFT(R58,2))))+1))</f>
        <v/>
      </c>
      <c r="U58" s="20">
        <f>IF(S58="","",IF(OR((--TRIM(LEFT(N58,2)))&gt;=SThr,S58&gt;=RPNThr,T58="H"),"Yes","No"))</f>
        <v/>
      </c>
      <c r="V58" s="4" t="n"/>
      <c r="W58" s="4" t="n"/>
      <c r="X58" s="4" t="n"/>
      <c r="Y58" s="29" t="n"/>
      <c r="Z58" s="16" t="n"/>
      <c r="AA58" s="16" t="n"/>
      <c r="AB58" s="16" t="n"/>
      <c r="AC58" s="20">
        <f>IF(OR(Z58="",AA58="",AB58=""),"",(--TRIM(LEFT(Z58,2)))*(--TRIM(LEFT(AA58,2)))*(--TRIM(LEFT(AB58,2))))</f>
        <v/>
      </c>
      <c r="AD58" s="20">
        <f>IF(OR(Z58="",AA58="",AB58=""),"",INDEX(APGrid,COUNTIF(APS,"&gt;"&amp;(--TRIM(LEFT(Z58,2))))*5+COUNTIF(APO,"&gt;"&amp;(--TRIM(LEFT(AA58,2))))+1,COUNTIF(APD,"&gt;"&amp;(--TRIM(LEFT(AB58,2))))+1))</f>
        <v/>
      </c>
      <c r="AE58" s="4" t="n"/>
      <c r="AF58" s="4" t="n"/>
      <c r="AH58">
        <f>IFERROR(INDEX(EqTag,_xlfn.AGGREGATE(15,6,(ROW(EqTag)-4)/((EqSys=$D$3)*(EqTag&lt;&gt;"")),ROWS($AH$14:AH58))),"")</f>
        <v/>
      </c>
    </row>
    <row r="59">
      <c r="A59" s="20">
        <f>IF(F59="","",LEFT($D$3,3)&amp;"-"&amp;TEXT(COUNTIF(F$14:F59,"?*"),"00"))</f>
        <v/>
      </c>
      <c r="B59" s="4" t="n"/>
      <c r="C59" s="5">
        <f>IF(B59="","",IFERROR(INDEX(EqTypeCol,MATCH(B59,EqTag,0)),"Tag not in register"))</f>
        <v/>
      </c>
      <c r="D59" s="4" t="n"/>
      <c r="E59" s="4" t="n"/>
      <c r="F59" s="4" t="n"/>
      <c r="G59" s="4" t="n"/>
      <c r="H59" s="4" t="n"/>
      <c r="I59" s="4" t="n"/>
      <c r="J59" s="5">
        <f>_xlfn.TEXTJOIN(CHAR(10),TRUE,IF(G59="","","• "&amp;G59),IF(H59="","","• "&amp;H59),IF(I59="","","• "&amp;I59))</f>
        <v/>
      </c>
      <c r="K59" s="4" t="n"/>
      <c r="L59" s="4" t="n"/>
      <c r="M59" s="4" t="n"/>
      <c r="N59" s="16" t="n"/>
      <c r="O59" s="4" t="n"/>
      <c r="P59" s="16" t="n"/>
      <c r="Q59" s="4" t="n"/>
      <c r="R59" s="16" t="n"/>
      <c r="S59" s="20">
        <f>IF(OR(N59="",P59="",R59=""),"",(--TRIM(LEFT(N59,2)))*(--TRIM(LEFT(P59,2)))*(--TRIM(LEFT(R59,2))))</f>
        <v/>
      </c>
      <c r="T59" s="20">
        <f>IF(OR(N59="",P59="",R59=""),"",INDEX(APGrid,COUNTIF(APS,"&gt;"&amp;(--TRIM(LEFT(N59,2))))*5+COUNTIF(APO,"&gt;"&amp;(--TRIM(LEFT(P59,2))))+1,COUNTIF(APD,"&gt;"&amp;(--TRIM(LEFT(R59,2))))+1))</f>
        <v/>
      </c>
      <c r="U59" s="20">
        <f>IF(S59="","",IF(OR((--TRIM(LEFT(N59,2)))&gt;=SThr,S59&gt;=RPNThr,T59="H"),"Yes","No"))</f>
        <v/>
      </c>
      <c r="V59" s="4" t="n"/>
      <c r="W59" s="4" t="n"/>
      <c r="X59" s="4" t="n"/>
      <c r="Y59" s="29" t="n"/>
      <c r="Z59" s="16" t="n"/>
      <c r="AA59" s="16" t="n"/>
      <c r="AB59" s="16" t="n"/>
      <c r="AC59" s="20">
        <f>IF(OR(Z59="",AA59="",AB59=""),"",(--TRIM(LEFT(Z59,2)))*(--TRIM(LEFT(AA59,2)))*(--TRIM(LEFT(AB59,2))))</f>
        <v/>
      </c>
      <c r="AD59" s="20">
        <f>IF(OR(Z59="",AA59="",AB59=""),"",INDEX(APGrid,COUNTIF(APS,"&gt;"&amp;(--TRIM(LEFT(Z59,2))))*5+COUNTIF(APO,"&gt;"&amp;(--TRIM(LEFT(AA59,2))))+1,COUNTIF(APD,"&gt;"&amp;(--TRIM(LEFT(AB59,2))))+1))</f>
        <v/>
      </c>
      <c r="AE59" s="4" t="n"/>
      <c r="AF59" s="4" t="n"/>
      <c r="AH59">
        <f>IFERROR(INDEX(EqTag,_xlfn.AGGREGATE(15,6,(ROW(EqTag)-4)/((EqSys=$D$3)*(EqTag&lt;&gt;"")),ROWS($AH$14:AH59))),"")</f>
        <v/>
      </c>
    </row>
    <row r="60">
      <c r="A60" s="20">
        <f>IF(F60="","",LEFT($D$3,3)&amp;"-"&amp;TEXT(COUNTIF(F$14:F60,"?*"),"00"))</f>
        <v/>
      </c>
      <c r="B60" s="4" t="n"/>
      <c r="C60" s="5">
        <f>IF(B60="","",IFERROR(INDEX(EqTypeCol,MATCH(B60,EqTag,0)),"Tag not in register"))</f>
        <v/>
      </c>
      <c r="D60" s="4" t="n"/>
      <c r="E60" s="4" t="n"/>
      <c r="F60" s="4" t="n"/>
      <c r="G60" s="4" t="n"/>
      <c r="H60" s="4" t="n"/>
      <c r="I60" s="4" t="n"/>
      <c r="J60" s="5">
        <f>_xlfn.TEXTJOIN(CHAR(10),TRUE,IF(G60="","","• "&amp;G60),IF(H60="","","• "&amp;H60),IF(I60="","","• "&amp;I60))</f>
        <v/>
      </c>
      <c r="K60" s="4" t="n"/>
      <c r="L60" s="4" t="n"/>
      <c r="M60" s="4" t="n"/>
      <c r="N60" s="16" t="n"/>
      <c r="O60" s="4" t="n"/>
      <c r="P60" s="16" t="n"/>
      <c r="Q60" s="4" t="n"/>
      <c r="R60" s="16" t="n"/>
      <c r="S60" s="20">
        <f>IF(OR(N60="",P60="",R60=""),"",(--TRIM(LEFT(N60,2)))*(--TRIM(LEFT(P60,2)))*(--TRIM(LEFT(R60,2))))</f>
        <v/>
      </c>
      <c r="T60" s="20">
        <f>IF(OR(N60="",P60="",R60=""),"",INDEX(APGrid,COUNTIF(APS,"&gt;"&amp;(--TRIM(LEFT(N60,2))))*5+COUNTIF(APO,"&gt;"&amp;(--TRIM(LEFT(P60,2))))+1,COUNTIF(APD,"&gt;"&amp;(--TRIM(LEFT(R60,2))))+1))</f>
        <v/>
      </c>
      <c r="U60" s="20">
        <f>IF(S60="","",IF(OR((--TRIM(LEFT(N60,2)))&gt;=SThr,S60&gt;=RPNThr,T60="H"),"Yes","No"))</f>
        <v/>
      </c>
      <c r="V60" s="4" t="n"/>
      <c r="W60" s="4" t="n"/>
      <c r="X60" s="4" t="n"/>
      <c r="Y60" s="29" t="n"/>
      <c r="Z60" s="16" t="n"/>
      <c r="AA60" s="16" t="n"/>
      <c r="AB60" s="16" t="n"/>
      <c r="AC60" s="20">
        <f>IF(OR(Z60="",AA60="",AB60=""),"",(--TRIM(LEFT(Z60,2)))*(--TRIM(LEFT(AA60,2)))*(--TRIM(LEFT(AB60,2))))</f>
        <v/>
      </c>
      <c r="AD60" s="20">
        <f>IF(OR(Z60="",AA60="",AB60=""),"",INDEX(APGrid,COUNTIF(APS,"&gt;"&amp;(--TRIM(LEFT(Z60,2))))*5+COUNTIF(APO,"&gt;"&amp;(--TRIM(LEFT(AA60,2))))+1,COUNTIF(APD,"&gt;"&amp;(--TRIM(LEFT(AB60,2))))+1))</f>
        <v/>
      </c>
      <c r="AE60" s="4" t="n"/>
      <c r="AF60" s="4" t="n"/>
      <c r="AH60">
        <f>IFERROR(INDEX(EqTag,_xlfn.AGGREGATE(15,6,(ROW(EqTag)-4)/((EqSys=$D$3)*(EqTag&lt;&gt;"")),ROWS($AH$14:AH60))),"")</f>
        <v/>
      </c>
    </row>
    <row r="61">
      <c r="A61" s="20">
        <f>IF(F61="","",LEFT($D$3,3)&amp;"-"&amp;TEXT(COUNTIF(F$14:F61,"?*"),"00"))</f>
        <v/>
      </c>
      <c r="B61" s="4" t="n"/>
      <c r="C61" s="5">
        <f>IF(B61="","",IFERROR(INDEX(EqTypeCol,MATCH(B61,EqTag,0)),"Tag not in register"))</f>
        <v/>
      </c>
      <c r="D61" s="4" t="n"/>
      <c r="E61" s="4" t="n"/>
      <c r="F61" s="4" t="n"/>
      <c r="G61" s="4" t="n"/>
      <c r="H61" s="4" t="n"/>
      <c r="I61" s="4" t="n"/>
      <c r="J61" s="5">
        <f>_xlfn.TEXTJOIN(CHAR(10),TRUE,IF(G61="","","• "&amp;G61),IF(H61="","","• "&amp;H61),IF(I61="","","• "&amp;I61))</f>
        <v/>
      </c>
      <c r="K61" s="4" t="n"/>
      <c r="L61" s="4" t="n"/>
      <c r="M61" s="4" t="n"/>
      <c r="N61" s="16" t="n"/>
      <c r="O61" s="4" t="n"/>
      <c r="P61" s="16" t="n"/>
      <c r="Q61" s="4" t="n"/>
      <c r="R61" s="16" t="n"/>
      <c r="S61" s="20">
        <f>IF(OR(N61="",P61="",R61=""),"",(--TRIM(LEFT(N61,2)))*(--TRIM(LEFT(P61,2)))*(--TRIM(LEFT(R61,2))))</f>
        <v/>
      </c>
      <c r="T61" s="20">
        <f>IF(OR(N61="",P61="",R61=""),"",INDEX(APGrid,COUNTIF(APS,"&gt;"&amp;(--TRIM(LEFT(N61,2))))*5+COUNTIF(APO,"&gt;"&amp;(--TRIM(LEFT(P61,2))))+1,COUNTIF(APD,"&gt;"&amp;(--TRIM(LEFT(R61,2))))+1))</f>
        <v/>
      </c>
      <c r="U61" s="20">
        <f>IF(S61="","",IF(OR((--TRIM(LEFT(N61,2)))&gt;=SThr,S61&gt;=RPNThr,T61="H"),"Yes","No"))</f>
        <v/>
      </c>
      <c r="V61" s="4" t="n"/>
      <c r="W61" s="4" t="n"/>
      <c r="X61" s="4" t="n"/>
      <c r="Y61" s="29" t="n"/>
      <c r="Z61" s="16" t="n"/>
      <c r="AA61" s="16" t="n"/>
      <c r="AB61" s="16" t="n"/>
      <c r="AC61" s="20">
        <f>IF(OR(Z61="",AA61="",AB61=""),"",(--TRIM(LEFT(Z61,2)))*(--TRIM(LEFT(AA61,2)))*(--TRIM(LEFT(AB61,2))))</f>
        <v/>
      </c>
      <c r="AD61" s="20">
        <f>IF(OR(Z61="",AA61="",AB61=""),"",INDEX(APGrid,COUNTIF(APS,"&gt;"&amp;(--TRIM(LEFT(Z61,2))))*5+COUNTIF(APO,"&gt;"&amp;(--TRIM(LEFT(AA61,2))))+1,COUNTIF(APD,"&gt;"&amp;(--TRIM(LEFT(AB61,2))))+1))</f>
        <v/>
      </c>
      <c r="AE61" s="4" t="n"/>
      <c r="AF61" s="4" t="n"/>
      <c r="AH61">
        <f>IFERROR(INDEX(EqTag,_xlfn.AGGREGATE(15,6,(ROW(EqTag)-4)/((EqSys=$D$3)*(EqTag&lt;&gt;"")),ROWS($AH$14:AH61))),"")</f>
        <v/>
      </c>
    </row>
    <row r="62">
      <c r="A62" s="20">
        <f>IF(F62="","",LEFT($D$3,3)&amp;"-"&amp;TEXT(COUNTIF(F$14:F62,"?*"),"00"))</f>
        <v/>
      </c>
      <c r="B62" s="4" t="n"/>
      <c r="C62" s="5">
        <f>IF(B62="","",IFERROR(INDEX(EqTypeCol,MATCH(B62,EqTag,0)),"Tag not in register"))</f>
        <v/>
      </c>
      <c r="D62" s="4" t="n"/>
      <c r="E62" s="4" t="n"/>
      <c r="F62" s="4" t="n"/>
      <c r="G62" s="4" t="n"/>
      <c r="H62" s="4" t="n"/>
      <c r="I62" s="4" t="n"/>
      <c r="J62" s="5">
        <f>_xlfn.TEXTJOIN(CHAR(10),TRUE,IF(G62="","","• "&amp;G62),IF(H62="","","• "&amp;H62),IF(I62="","","• "&amp;I62))</f>
        <v/>
      </c>
      <c r="K62" s="4" t="n"/>
      <c r="L62" s="4" t="n"/>
      <c r="M62" s="4" t="n"/>
      <c r="N62" s="16" t="n"/>
      <c r="O62" s="4" t="n"/>
      <c r="P62" s="16" t="n"/>
      <c r="Q62" s="4" t="n"/>
      <c r="R62" s="16" t="n"/>
      <c r="S62" s="20">
        <f>IF(OR(N62="",P62="",R62=""),"",(--TRIM(LEFT(N62,2)))*(--TRIM(LEFT(P62,2)))*(--TRIM(LEFT(R62,2))))</f>
        <v/>
      </c>
      <c r="T62" s="20">
        <f>IF(OR(N62="",P62="",R62=""),"",INDEX(APGrid,COUNTIF(APS,"&gt;"&amp;(--TRIM(LEFT(N62,2))))*5+COUNTIF(APO,"&gt;"&amp;(--TRIM(LEFT(P62,2))))+1,COUNTIF(APD,"&gt;"&amp;(--TRIM(LEFT(R62,2))))+1))</f>
        <v/>
      </c>
      <c r="U62" s="20">
        <f>IF(S62="","",IF(OR((--TRIM(LEFT(N62,2)))&gt;=SThr,S62&gt;=RPNThr,T62="H"),"Yes","No"))</f>
        <v/>
      </c>
      <c r="V62" s="4" t="n"/>
      <c r="W62" s="4" t="n"/>
      <c r="X62" s="4" t="n"/>
      <c r="Y62" s="29" t="n"/>
      <c r="Z62" s="16" t="n"/>
      <c r="AA62" s="16" t="n"/>
      <c r="AB62" s="16" t="n"/>
      <c r="AC62" s="20">
        <f>IF(OR(Z62="",AA62="",AB62=""),"",(--TRIM(LEFT(Z62,2)))*(--TRIM(LEFT(AA62,2)))*(--TRIM(LEFT(AB62,2))))</f>
        <v/>
      </c>
      <c r="AD62" s="20">
        <f>IF(OR(Z62="",AA62="",AB62=""),"",INDEX(APGrid,COUNTIF(APS,"&gt;"&amp;(--TRIM(LEFT(Z62,2))))*5+COUNTIF(APO,"&gt;"&amp;(--TRIM(LEFT(AA62,2))))+1,COUNTIF(APD,"&gt;"&amp;(--TRIM(LEFT(AB62,2))))+1))</f>
        <v/>
      </c>
      <c r="AE62" s="4" t="n"/>
      <c r="AF62" s="4" t="n"/>
      <c r="AH62">
        <f>IFERROR(INDEX(EqTag,_xlfn.AGGREGATE(15,6,(ROW(EqTag)-4)/((EqSys=$D$3)*(EqTag&lt;&gt;"")),ROWS($AH$14:AH62))),"")</f>
        <v/>
      </c>
    </row>
    <row r="63">
      <c r="A63" s="20">
        <f>IF(F63="","",LEFT($D$3,3)&amp;"-"&amp;TEXT(COUNTIF(F$14:F63,"?*"),"00"))</f>
        <v/>
      </c>
      <c r="B63" s="4" t="n"/>
      <c r="C63" s="5">
        <f>IF(B63="","",IFERROR(INDEX(EqTypeCol,MATCH(B63,EqTag,0)),"Tag not in register"))</f>
        <v/>
      </c>
      <c r="D63" s="4" t="n"/>
      <c r="E63" s="4" t="n"/>
      <c r="F63" s="4" t="n"/>
      <c r="G63" s="4" t="n"/>
      <c r="H63" s="4" t="n"/>
      <c r="I63" s="4" t="n"/>
      <c r="J63" s="5">
        <f>_xlfn.TEXTJOIN(CHAR(10),TRUE,IF(G63="","","• "&amp;G63),IF(H63="","","• "&amp;H63),IF(I63="","","• "&amp;I63))</f>
        <v/>
      </c>
      <c r="K63" s="4" t="n"/>
      <c r="L63" s="4" t="n"/>
      <c r="M63" s="4" t="n"/>
      <c r="N63" s="16" t="n"/>
      <c r="O63" s="4" t="n"/>
      <c r="P63" s="16" t="n"/>
      <c r="Q63" s="4" t="n"/>
      <c r="R63" s="16" t="n"/>
      <c r="S63" s="20">
        <f>IF(OR(N63="",P63="",R63=""),"",(--TRIM(LEFT(N63,2)))*(--TRIM(LEFT(P63,2)))*(--TRIM(LEFT(R63,2))))</f>
        <v/>
      </c>
      <c r="T63" s="20">
        <f>IF(OR(N63="",P63="",R63=""),"",INDEX(APGrid,COUNTIF(APS,"&gt;"&amp;(--TRIM(LEFT(N63,2))))*5+COUNTIF(APO,"&gt;"&amp;(--TRIM(LEFT(P63,2))))+1,COUNTIF(APD,"&gt;"&amp;(--TRIM(LEFT(R63,2))))+1))</f>
        <v/>
      </c>
      <c r="U63" s="20">
        <f>IF(S63="","",IF(OR((--TRIM(LEFT(N63,2)))&gt;=SThr,S63&gt;=RPNThr,T63="H"),"Yes","No"))</f>
        <v/>
      </c>
      <c r="V63" s="4" t="n"/>
      <c r="W63" s="4" t="n"/>
      <c r="X63" s="4" t="n"/>
      <c r="Y63" s="29" t="n"/>
      <c r="Z63" s="16" t="n"/>
      <c r="AA63" s="16" t="n"/>
      <c r="AB63" s="16" t="n"/>
      <c r="AC63" s="20">
        <f>IF(OR(Z63="",AA63="",AB63=""),"",(--TRIM(LEFT(Z63,2)))*(--TRIM(LEFT(AA63,2)))*(--TRIM(LEFT(AB63,2))))</f>
        <v/>
      </c>
      <c r="AD63" s="20">
        <f>IF(OR(Z63="",AA63="",AB63=""),"",INDEX(APGrid,COUNTIF(APS,"&gt;"&amp;(--TRIM(LEFT(Z63,2))))*5+COUNTIF(APO,"&gt;"&amp;(--TRIM(LEFT(AA63,2))))+1,COUNTIF(APD,"&gt;"&amp;(--TRIM(LEFT(AB63,2))))+1))</f>
        <v/>
      </c>
      <c r="AE63" s="4" t="n"/>
      <c r="AF63" s="4" t="n"/>
      <c r="AH63">
        <f>IFERROR(INDEX(EqTag,_xlfn.AGGREGATE(15,6,(ROW(EqTag)-4)/((EqSys=$D$3)*(EqTag&lt;&gt;"")),ROWS($AH$14:AH63))),"")</f>
        <v/>
      </c>
    </row>
    <row r="64">
      <c r="A64" s="20">
        <f>IF(F64="","",LEFT($D$3,3)&amp;"-"&amp;TEXT(COUNTIF(F$14:F64,"?*"),"00"))</f>
        <v/>
      </c>
      <c r="B64" s="4" t="n"/>
      <c r="C64" s="5">
        <f>IF(B64="","",IFERROR(INDEX(EqTypeCol,MATCH(B64,EqTag,0)),"Tag not in register"))</f>
        <v/>
      </c>
      <c r="D64" s="4" t="n"/>
      <c r="E64" s="4" t="n"/>
      <c r="F64" s="4" t="n"/>
      <c r="G64" s="4" t="n"/>
      <c r="H64" s="4" t="n"/>
      <c r="I64" s="4" t="n"/>
      <c r="J64" s="5">
        <f>_xlfn.TEXTJOIN(CHAR(10),TRUE,IF(G64="","","• "&amp;G64),IF(H64="","","• "&amp;H64),IF(I64="","","• "&amp;I64))</f>
        <v/>
      </c>
      <c r="K64" s="4" t="n"/>
      <c r="L64" s="4" t="n"/>
      <c r="M64" s="4" t="n"/>
      <c r="N64" s="16" t="n"/>
      <c r="O64" s="4" t="n"/>
      <c r="P64" s="16" t="n"/>
      <c r="Q64" s="4" t="n"/>
      <c r="R64" s="16" t="n"/>
      <c r="S64" s="20">
        <f>IF(OR(N64="",P64="",R64=""),"",(--TRIM(LEFT(N64,2)))*(--TRIM(LEFT(P64,2)))*(--TRIM(LEFT(R64,2))))</f>
        <v/>
      </c>
      <c r="T64" s="20">
        <f>IF(OR(N64="",P64="",R64=""),"",INDEX(APGrid,COUNTIF(APS,"&gt;"&amp;(--TRIM(LEFT(N64,2))))*5+COUNTIF(APO,"&gt;"&amp;(--TRIM(LEFT(P64,2))))+1,COUNTIF(APD,"&gt;"&amp;(--TRIM(LEFT(R64,2))))+1))</f>
        <v/>
      </c>
      <c r="U64" s="20">
        <f>IF(S64="","",IF(OR((--TRIM(LEFT(N64,2)))&gt;=SThr,S64&gt;=RPNThr,T64="H"),"Yes","No"))</f>
        <v/>
      </c>
      <c r="V64" s="4" t="n"/>
      <c r="W64" s="4" t="n"/>
      <c r="X64" s="4" t="n"/>
      <c r="Y64" s="29" t="n"/>
      <c r="Z64" s="16" t="n"/>
      <c r="AA64" s="16" t="n"/>
      <c r="AB64" s="16" t="n"/>
      <c r="AC64" s="20">
        <f>IF(OR(Z64="",AA64="",AB64=""),"",(--TRIM(LEFT(Z64,2)))*(--TRIM(LEFT(AA64,2)))*(--TRIM(LEFT(AB64,2))))</f>
        <v/>
      </c>
      <c r="AD64" s="20">
        <f>IF(OR(Z64="",AA64="",AB64=""),"",INDEX(APGrid,COUNTIF(APS,"&gt;"&amp;(--TRIM(LEFT(Z64,2))))*5+COUNTIF(APO,"&gt;"&amp;(--TRIM(LEFT(AA64,2))))+1,COUNTIF(APD,"&gt;"&amp;(--TRIM(LEFT(AB64,2))))+1))</f>
        <v/>
      </c>
      <c r="AE64" s="4" t="n"/>
      <c r="AF64" s="4" t="n"/>
      <c r="AH64">
        <f>IFERROR(INDEX(EqTag,_xlfn.AGGREGATE(15,6,(ROW(EqTag)-4)/((EqSys=$D$3)*(EqTag&lt;&gt;"")),ROWS($AH$14:AH64))),"")</f>
        <v/>
      </c>
    </row>
    <row r="65">
      <c r="A65" s="20">
        <f>IF(F65="","",LEFT($D$3,3)&amp;"-"&amp;TEXT(COUNTIF(F$14:F65,"?*"),"00"))</f>
        <v/>
      </c>
      <c r="B65" s="4" t="n"/>
      <c r="C65" s="5">
        <f>IF(B65="","",IFERROR(INDEX(EqTypeCol,MATCH(B65,EqTag,0)),"Tag not in register"))</f>
        <v/>
      </c>
      <c r="D65" s="4" t="n"/>
      <c r="E65" s="4" t="n"/>
      <c r="F65" s="4" t="n"/>
      <c r="G65" s="4" t="n"/>
      <c r="H65" s="4" t="n"/>
      <c r="I65" s="4" t="n"/>
      <c r="J65" s="5">
        <f>_xlfn.TEXTJOIN(CHAR(10),TRUE,IF(G65="","","• "&amp;G65),IF(H65="","","• "&amp;H65),IF(I65="","","• "&amp;I65))</f>
        <v/>
      </c>
      <c r="K65" s="4" t="n"/>
      <c r="L65" s="4" t="n"/>
      <c r="M65" s="4" t="n"/>
      <c r="N65" s="16" t="n"/>
      <c r="O65" s="4" t="n"/>
      <c r="P65" s="16" t="n"/>
      <c r="Q65" s="4" t="n"/>
      <c r="R65" s="16" t="n"/>
      <c r="S65" s="20">
        <f>IF(OR(N65="",P65="",R65=""),"",(--TRIM(LEFT(N65,2)))*(--TRIM(LEFT(P65,2)))*(--TRIM(LEFT(R65,2))))</f>
        <v/>
      </c>
      <c r="T65" s="20">
        <f>IF(OR(N65="",P65="",R65=""),"",INDEX(APGrid,COUNTIF(APS,"&gt;"&amp;(--TRIM(LEFT(N65,2))))*5+COUNTIF(APO,"&gt;"&amp;(--TRIM(LEFT(P65,2))))+1,COUNTIF(APD,"&gt;"&amp;(--TRIM(LEFT(R65,2))))+1))</f>
        <v/>
      </c>
      <c r="U65" s="20">
        <f>IF(S65="","",IF(OR((--TRIM(LEFT(N65,2)))&gt;=SThr,S65&gt;=RPNThr,T65="H"),"Yes","No"))</f>
        <v/>
      </c>
      <c r="V65" s="4" t="n"/>
      <c r="W65" s="4" t="n"/>
      <c r="X65" s="4" t="n"/>
      <c r="Y65" s="29" t="n"/>
      <c r="Z65" s="16" t="n"/>
      <c r="AA65" s="16" t="n"/>
      <c r="AB65" s="16" t="n"/>
      <c r="AC65" s="20">
        <f>IF(OR(Z65="",AA65="",AB65=""),"",(--TRIM(LEFT(Z65,2)))*(--TRIM(LEFT(AA65,2)))*(--TRIM(LEFT(AB65,2))))</f>
        <v/>
      </c>
      <c r="AD65" s="20">
        <f>IF(OR(Z65="",AA65="",AB65=""),"",INDEX(APGrid,COUNTIF(APS,"&gt;"&amp;(--TRIM(LEFT(Z65,2))))*5+COUNTIF(APO,"&gt;"&amp;(--TRIM(LEFT(AA65,2))))+1,COUNTIF(APD,"&gt;"&amp;(--TRIM(LEFT(AB65,2))))+1))</f>
        <v/>
      </c>
      <c r="AE65" s="4" t="n"/>
      <c r="AF65" s="4" t="n"/>
      <c r="AH65">
        <f>IFERROR(INDEX(EqTag,_xlfn.AGGREGATE(15,6,(ROW(EqTag)-4)/((EqSys=$D$3)*(EqTag&lt;&gt;"")),ROWS($AH$14:AH65))),"")</f>
        <v/>
      </c>
    </row>
    <row r="66">
      <c r="A66" s="20">
        <f>IF(F66="","",LEFT($D$3,3)&amp;"-"&amp;TEXT(COUNTIF(F$14:F66,"?*"),"00"))</f>
        <v/>
      </c>
      <c r="B66" s="4" t="n"/>
      <c r="C66" s="5">
        <f>IF(B66="","",IFERROR(INDEX(EqTypeCol,MATCH(B66,EqTag,0)),"Tag not in register"))</f>
        <v/>
      </c>
      <c r="D66" s="4" t="n"/>
      <c r="E66" s="4" t="n"/>
      <c r="F66" s="4" t="n"/>
      <c r="G66" s="4" t="n"/>
      <c r="H66" s="4" t="n"/>
      <c r="I66" s="4" t="n"/>
      <c r="J66" s="5">
        <f>_xlfn.TEXTJOIN(CHAR(10),TRUE,IF(G66="","","• "&amp;G66),IF(H66="","","• "&amp;H66),IF(I66="","","• "&amp;I66))</f>
        <v/>
      </c>
      <c r="K66" s="4" t="n"/>
      <c r="L66" s="4" t="n"/>
      <c r="M66" s="4" t="n"/>
      <c r="N66" s="16" t="n"/>
      <c r="O66" s="4" t="n"/>
      <c r="P66" s="16" t="n"/>
      <c r="Q66" s="4" t="n"/>
      <c r="R66" s="16" t="n"/>
      <c r="S66" s="20">
        <f>IF(OR(N66="",P66="",R66=""),"",(--TRIM(LEFT(N66,2)))*(--TRIM(LEFT(P66,2)))*(--TRIM(LEFT(R66,2))))</f>
        <v/>
      </c>
      <c r="T66" s="20">
        <f>IF(OR(N66="",P66="",R66=""),"",INDEX(APGrid,COUNTIF(APS,"&gt;"&amp;(--TRIM(LEFT(N66,2))))*5+COUNTIF(APO,"&gt;"&amp;(--TRIM(LEFT(P66,2))))+1,COUNTIF(APD,"&gt;"&amp;(--TRIM(LEFT(R66,2))))+1))</f>
        <v/>
      </c>
      <c r="U66" s="20">
        <f>IF(S66="","",IF(OR((--TRIM(LEFT(N66,2)))&gt;=SThr,S66&gt;=RPNThr,T66="H"),"Yes","No"))</f>
        <v/>
      </c>
      <c r="V66" s="4" t="n"/>
      <c r="W66" s="4" t="n"/>
      <c r="X66" s="4" t="n"/>
      <c r="Y66" s="29" t="n"/>
      <c r="Z66" s="16" t="n"/>
      <c r="AA66" s="16" t="n"/>
      <c r="AB66" s="16" t="n"/>
      <c r="AC66" s="20">
        <f>IF(OR(Z66="",AA66="",AB66=""),"",(--TRIM(LEFT(Z66,2)))*(--TRIM(LEFT(AA66,2)))*(--TRIM(LEFT(AB66,2))))</f>
        <v/>
      </c>
      <c r="AD66" s="20">
        <f>IF(OR(Z66="",AA66="",AB66=""),"",INDEX(APGrid,COUNTIF(APS,"&gt;"&amp;(--TRIM(LEFT(Z66,2))))*5+COUNTIF(APO,"&gt;"&amp;(--TRIM(LEFT(AA66,2))))+1,COUNTIF(APD,"&gt;"&amp;(--TRIM(LEFT(AB66,2))))+1))</f>
        <v/>
      </c>
      <c r="AE66" s="4" t="n"/>
      <c r="AF66" s="4" t="n"/>
      <c r="AH66">
        <f>IFERROR(INDEX(EqTag,_xlfn.AGGREGATE(15,6,(ROW(EqTag)-4)/((EqSys=$D$3)*(EqTag&lt;&gt;"")),ROWS($AH$14:AH66))),"")</f>
        <v/>
      </c>
    </row>
    <row r="67">
      <c r="A67" s="20">
        <f>IF(F67="","",LEFT($D$3,3)&amp;"-"&amp;TEXT(COUNTIF(F$14:F67,"?*"),"00"))</f>
        <v/>
      </c>
      <c r="B67" s="4" t="n"/>
      <c r="C67" s="5">
        <f>IF(B67="","",IFERROR(INDEX(EqTypeCol,MATCH(B67,EqTag,0)),"Tag not in register"))</f>
        <v/>
      </c>
      <c r="D67" s="4" t="n"/>
      <c r="E67" s="4" t="n"/>
      <c r="F67" s="4" t="n"/>
      <c r="G67" s="4" t="n"/>
      <c r="H67" s="4" t="n"/>
      <c r="I67" s="4" t="n"/>
      <c r="J67" s="5">
        <f>_xlfn.TEXTJOIN(CHAR(10),TRUE,IF(G67="","","• "&amp;G67),IF(H67="","","• "&amp;H67),IF(I67="","","• "&amp;I67))</f>
        <v/>
      </c>
      <c r="K67" s="4" t="n"/>
      <c r="L67" s="4" t="n"/>
      <c r="M67" s="4" t="n"/>
      <c r="N67" s="16" t="n"/>
      <c r="O67" s="4" t="n"/>
      <c r="P67" s="16" t="n"/>
      <c r="Q67" s="4" t="n"/>
      <c r="R67" s="16" t="n"/>
      <c r="S67" s="20">
        <f>IF(OR(N67="",P67="",R67=""),"",(--TRIM(LEFT(N67,2)))*(--TRIM(LEFT(P67,2)))*(--TRIM(LEFT(R67,2))))</f>
        <v/>
      </c>
      <c r="T67" s="20">
        <f>IF(OR(N67="",P67="",R67=""),"",INDEX(APGrid,COUNTIF(APS,"&gt;"&amp;(--TRIM(LEFT(N67,2))))*5+COUNTIF(APO,"&gt;"&amp;(--TRIM(LEFT(P67,2))))+1,COUNTIF(APD,"&gt;"&amp;(--TRIM(LEFT(R67,2))))+1))</f>
        <v/>
      </c>
      <c r="U67" s="20">
        <f>IF(S67="","",IF(OR((--TRIM(LEFT(N67,2)))&gt;=SThr,S67&gt;=RPNThr,T67="H"),"Yes","No"))</f>
        <v/>
      </c>
      <c r="V67" s="4" t="n"/>
      <c r="W67" s="4" t="n"/>
      <c r="X67" s="4" t="n"/>
      <c r="Y67" s="29" t="n"/>
      <c r="Z67" s="16" t="n"/>
      <c r="AA67" s="16" t="n"/>
      <c r="AB67" s="16" t="n"/>
      <c r="AC67" s="20">
        <f>IF(OR(Z67="",AA67="",AB67=""),"",(--TRIM(LEFT(Z67,2)))*(--TRIM(LEFT(AA67,2)))*(--TRIM(LEFT(AB67,2))))</f>
        <v/>
      </c>
      <c r="AD67" s="20">
        <f>IF(OR(Z67="",AA67="",AB67=""),"",INDEX(APGrid,COUNTIF(APS,"&gt;"&amp;(--TRIM(LEFT(Z67,2))))*5+COUNTIF(APO,"&gt;"&amp;(--TRIM(LEFT(AA67,2))))+1,COUNTIF(APD,"&gt;"&amp;(--TRIM(LEFT(AB67,2))))+1))</f>
        <v/>
      </c>
      <c r="AE67" s="4" t="n"/>
      <c r="AF67" s="4" t="n"/>
      <c r="AH67">
        <f>IFERROR(INDEX(EqTag,_xlfn.AGGREGATE(15,6,(ROW(EqTag)-4)/((EqSys=$D$3)*(EqTag&lt;&gt;"")),ROWS($AH$14:AH67))),"")</f>
        <v/>
      </c>
    </row>
    <row r="68">
      <c r="A68" s="20">
        <f>IF(F68="","",LEFT($D$3,3)&amp;"-"&amp;TEXT(COUNTIF(F$14:F68,"?*"),"00"))</f>
        <v/>
      </c>
      <c r="B68" s="4" t="n"/>
      <c r="C68" s="5">
        <f>IF(B68="","",IFERROR(INDEX(EqTypeCol,MATCH(B68,EqTag,0)),"Tag not in register"))</f>
        <v/>
      </c>
      <c r="D68" s="4" t="n"/>
      <c r="E68" s="4" t="n"/>
      <c r="F68" s="4" t="n"/>
      <c r="G68" s="4" t="n"/>
      <c r="H68" s="4" t="n"/>
      <c r="I68" s="4" t="n"/>
      <c r="J68" s="5">
        <f>_xlfn.TEXTJOIN(CHAR(10),TRUE,IF(G68="","","• "&amp;G68),IF(H68="","","• "&amp;H68),IF(I68="","","• "&amp;I68))</f>
        <v/>
      </c>
      <c r="K68" s="4" t="n"/>
      <c r="L68" s="4" t="n"/>
      <c r="M68" s="4" t="n"/>
      <c r="N68" s="16" t="n"/>
      <c r="O68" s="4" t="n"/>
      <c r="P68" s="16" t="n"/>
      <c r="Q68" s="4" t="n"/>
      <c r="R68" s="16" t="n"/>
      <c r="S68" s="20">
        <f>IF(OR(N68="",P68="",R68=""),"",(--TRIM(LEFT(N68,2)))*(--TRIM(LEFT(P68,2)))*(--TRIM(LEFT(R68,2))))</f>
        <v/>
      </c>
      <c r="T68" s="20">
        <f>IF(OR(N68="",P68="",R68=""),"",INDEX(APGrid,COUNTIF(APS,"&gt;"&amp;(--TRIM(LEFT(N68,2))))*5+COUNTIF(APO,"&gt;"&amp;(--TRIM(LEFT(P68,2))))+1,COUNTIF(APD,"&gt;"&amp;(--TRIM(LEFT(R68,2))))+1))</f>
        <v/>
      </c>
      <c r="U68" s="20">
        <f>IF(S68="","",IF(OR((--TRIM(LEFT(N68,2)))&gt;=SThr,S68&gt;=RPNThr,T68="H"),"Yes","No"))</f>
        <v/>
      </c>
      <c r="V68" s="4" t="n"/>
      <c r="W68" s="4" t="n"/>
      <c r="X68" s="4" t="n"/>
      <c r="Y68" s="29" t="n"/>
      <c r="Z68" s="16" t="n"/>
      <c r="AA68" s="16" t="n"/>
      <c r="AB68" s="16" t="n"/>
      <c r="AC68" s="20">
        <f>IF(OR(Z68="",AA68="",AB68=""),"",(--TRIM(LEFT(Z68,2)))*(--TRIM(LEFT(AA68,2)))*(--TRIM(LEFT(AB68,2))))</f>
        <v/>
      </c>
      <c r="AD68" s="20">
        <f>IF(OR(Z68="",AA68="",AB68=""),"",INDEX(APGrid,COUNTIF(APS,"&gt;"&amp;(--TRIM(LEFT(Z68,2))))*5+COUNTIF(APO,"&gt;"&amp;(--TRIM(LEFT(AA68,2))))+1,COUNTIF(APD,"&gt;"&amp;(--TRIM(LEFT(AB68,2))))+1))</f>
        <v/>
      </c>
      <c r="AE68" s="4" t="n"/>
      <c r="AF68" s="4" t="n"/>
      <c r="AH68">
        <f>IFERROR(INDEX(EqTag,_xlfn.AGGREGATE(15,6,(ROW(EqTag)-4)/((EqSys=$D$3)*(EqTag&lt;&gt;"")),ROWS($AH$14:AH68))),"")</f>
        <v/>
      </c>
    </row>
    <row r="69">
      <c r="A69" s="20">
        <f>IF(F69="","",LEFT($D$3,3)&amp;"-"&amp;TEXT(COUNTIF(F$14:F69,"?*"),"00"))</f>
        <v/>
      </c>
      <c r="B69" s="4" t="n"/>
      <c r="C69" s="5">
        <f>IF(B69="","",IFERROR(INDEX(EqTypeCol,MATCH(B69,EqTag,0)),"Tag not in register"))</f>
        <v/>
      </c>
      <c r="D69" s="4" t="n"/>
      <c r="E69" s="4" t="n"/>
      <c r="F69" s="4" t="n"/>
      <c r="G69" s="4" t="n"/>
      <c r="H69" s="4" t="n"/>
      <c r="I69" s="4" t="n"/>
      <c r="J69" s="5">
        <f>_xlfn.TEXTJOIN(CHAR(10),TRUE,IF(G69="","","• "&amp;G69),IF(H69="","","• "&amp;H69),IF(I69="","","• "&amp;I69))</f>
        <v/>
      </c>
      <c r="K69" s="4" t="n"/>
      <c r="L69" s="4" t="n"/>
      <c r="M69" s="4" t="n"/>
      <c r="N69" s="16" t="n"/>
      <c r="O69" s="4" t="n"/>
      <c r="P69" s="16" t="n"/>
      <c r="Q69" s="4" t="n"/>
      <c r="R69" s="16" t="n"/>
      <c r="S69" s="20">
        <f>IF(OR(N69="",P69="",R69=""),"",(--TRIM(LEFT(N69,2)))*(--TRIM(LEFT(P69,2)))*(--TRIM(LEFT(R69,2))))</f>
        <v/>
      </c>
      <c r="T69" s="20">
        <f>IF(OR(N69="",P69="",R69=""),"",INDEX(APGrid,COUNTIF(APS,"&gt;"&amp;(--TRIM(LEFT(N69,2))))*5+COUNTIF(APO,"&gt;"&amp;(--TRIM(LEFT(P69,2))))+1,COUNTIF(APD,"&gt;"&amp;(--TRIM(LEFT(R69,2))))+1))</f>
        <v/>
      </c>
      <c r="U69" s="20">
        <f>IF(S69="","",IF(OR((--TRIM(LEFT(N69,2)))&gt;=SThr,S69&gt;=RPNThr,T69="H"),"Yes","No"))</f>
        <v/>
      </c>
      <c r="V69" s="4" t="n"/>
      <c r="W69" s="4" t="n"/>
      <c r="X69" s="4" t="n"/>
      <c r="Y69" s="29" t="n"/>
      <c r="Z69" s="16" t="n"/>
      <c r="AA69" s="16" t="n"/>
      <c r="AB69" s="16" t="n"/>
      <c r="AC69" s="20">
        <f>IF(OR(Z69="",AA69="",AB69=""),"",(--TRIM(LEFT(Z69,2)))*(--TRIM(LEFT(AA69,2)))*(--TRIM(LEFT(AB69,2))))</f>
        <v/>
      </c>
      <c r="AD69" s="20">
        <f>IF(OR(Z69="",AA69="",AB69=""),"",INDEX(APGrid,COUNTIF(APS,"&gt;"&amp;(--TRIM(LEFT(Z69,2))))*5+COUNTIF(APO,"&gt;"&amp;(--TRIM(LEFT(AA69,2))))+1,COUNTIF(APD,"&gt;"&amp;(--TRIM(LEFT(AB69,2))))+1))</f>
        <v/>
      </c>
      <c r="AE69" s="4" t="n"/>
      <c r="AF69" s="4" t="n"/>
      <c r="AH69">
        <f>IFERROR(INDEX(EqTag,_xlfn.AGGREGATE(15,6,(ROW(EqTag)-4)/((EqSys=$D$3)*(EqTag&lt;&gt;"")),ROWS($AH$14:AH69))),"")</f>
        <v/>
      </c>
    </row>
    <row r="70">
      <c r="A70" s="20">
        <f>IF(F70="","",LEFT($D$3,3)&amp;"-"&amp;TEXT(COUNTIF(F$14:F70,"?*"),"00"))</f>
        <v/>
      </c>
      <c r="B70" s="4" t="n"/>
      <c r="C70" s="5">
        <f>IF(B70="","",IFERROR(INDEX(EqTypeCol,MATCH(B70,EqTag,0)),"Tag not in register"))</f>
        <v/>
      </c>
      <c r="D70" s="4" t="n"/>
      <c r="E70" s="4" t="n"/>
      <c r="F70" s="4" t="n"/>
      <c r="G70" s="4" t="n"/>
      <c r="H70" s="4" t="n"/>
      <c r="I70" s="4" t="n"/>
      <c r="J70" s="5">
        <f>_xlfn.TEXTJOIN(CHAR(10),TRUE,IF(G70="","","• "&amp;G70),IF(H70="","","• "&amp;H70),IF(I70="","","• "&amp;I70))</f>
        <v/>
      </c>
      <c r="K70" s="4" t="n"/>
      <c r="L70" s="4" t="n"/>
      <c r="M70" s="4" t="n"/>
      <c r="N70" s="16" t="n"/>
      <c r="O70" s="4" t="n"/>
      <c r="P70" s="16" t="n"/>
      <c r="Q70" s="4" t="n"/>
      <c r="R70" s="16" t="n"/>
      <c r="S70" s="20">
        <f>IF(OR(N70="",P70="",R70=""),"",(--TRIM(LEFT(N70,2)))*(--TRIM(LEFT(P70,2)))*(--TRIM(LEFT(R70,2))))</f>
        <v/>
      </c>
      <c r="T70" s="20">
        <f>IF(OR(N70="",P70="",R70=""),"",INDEX(APGrid,COUNTIF(APS,"&gt;"&amp;(--TRIM(LEFT(N70,2))))*5+COUNTIF(APO,"&gt;"&amp;(--TRIM(LEFT(P70,2))))+1,COUNTIF(APD,"&gt;"&amp;(--TRIM(LEFT(R70,2))))+1))</f>
        <v/>
      </c>
      <c r="U70" s="20">
        <f>IF(S70="","",IF(OR((--TRIM(LEFT(N70,2)))&gt;=SThr,S70&gt;=RPNThr,T70="H"),"Yes","No"))</f>
        <v/>
      </c>
      <c r="V70" s="4" t="n"/>
      <c r="W70" s="4" t="n"/>
      <c r="X70" s="4" t="n"/>
      <c r="Y70" s="29" t="n"/>
      <c r="Z70" s="16" t="n"/>
      <c r="AA70" s="16" t="n"/>
      <c r="AB70" s="16" t="n"/>
      <c r="AC70" s="20">
        <f>IF(OR(Z70="",AA70="",AB70=""),"",(--TRIM(LEFT(Z70,2)))*(--TRIM(LEFT(AA70,2)))*(--TRIM(LEFT(AB70,2))))</f>
        <v/>
      </c>
      <c r="AD70" s="20">
        <f>IF(OR(Z70="",AA70="",AB70=""),"",INDEX(APGrid,COUNTIF(APS,"&gt;"&amp;(--TRIM(LEFT(Z70,2))))*5+COUNTIF(APO,"&gt;"&amp;(--TRIM(LEFT(AA70,2))))+1,COUNTIF(APD,"&gt;"&amp;(--TRIM(LEFT(AB70,2))))+1))</f>
        <v/>
      </c>
      <c r="AE70" s="4" t="n"/>
      <c r="AF70" s="4" t="n"/>
      <c r="AH70">
        <f>IFERROR(INDEX(EqTag,_xlfn.AGGREGATE(15,6,(ROW(EqTag)-4)/((EqSys=$D$3)*(EqTag&lt;&gt;"")),ROWS($AH$14:AH70))),"")</f>
        <v/>
      </c>
    </row>
    <row r="71">
      <c r="A71" s="20">
        <f>IF(F71="","",LEFT($D$3,3)&amp;"-"&amp;TEXT(COUNTIF(F$14:F71,"?*"),"00"))</f>
        <v/>
      </c>
      <c r="B71" s="4" t="n"/>
      <c r="C71" s="5">
        <f>IF(B71="","",IFERROR(INDEX(EqTypeCol,MATCH(B71,EqTag,0)),"Tag not in register"))</f>
        <v/>
      </c>
      <c r="D71" s="4" t="n"/>
      <c r="E71" s="4" t="n"/>
      <c r="F71" s="4" t="n"/>
      <c r="G71" s="4" t="n"/>
      <c r="H71" s="4" t="n"/>
      <c r="I71" s="4" t="n"/>
      <c r="J71" s="5">
        <f>_xlfn.TEXTJOIN(CHAR(10),TRUE,IF(G71="","","• "&amp;G71),IF(H71="","","• "&amp;H71),IF(I71="","","• "&amp;I71))</f>
        <v/>
      </c>
      <c r="K71" s="4" t="n"/>
      <c r="L71" s="4" t="n"/>
      <c r="M71" s="4" t="n"/>
      <c r="N71" s="16" t="n"/>
      <c r="O71" s="4" t="n"/>
      <c r="P71" s="16" t="n"/>
      <c r="Q71" s="4" t="n"/>
      <c r="R71" s="16" t="n"/>
      <c r="S71" s="20">
        <f>IF(OR(N71="",P71="",R71=""),"",(--TRIM(LEFT(N71,2)))*(--TRIM(LEFT(P71,2)))*(--TRIM(LEFT(R71,2))))</f>
        <v/>
      </c>
      <c r="T71" s="20">
        <f>IF(OR(N71="",P71="",R71=""),"",INDEX(APGrid,COUNTIF(APS,"&gt;"&amp;(--TRIM(LEFT(N71,2))))*5+COUNTIF(APO,"&gt;"&amp;(--TRIM(LEFT(P71,2))))+1,COUNTIF(APD,"&gt;"&amp;(--TRIM(LEFT(R71,2))))+1))</f>
        <v/>
      </c>
      <c r="U71" s="20">
        <f>IF(S71="","",IF(OR((--TRIM(LEFT(N71,2)))&gt;=SThr,S71&gt;=RPNThr,T71="H"),"Yes","No"))</f>
        <v/>
      </c>
      <c r="V71" s="4" t="n"/>
      <c r="W71" s="4" t="n"/>
      <c r="X71" s="4" t="n"/>
      <c r="Y71" s="29" t="n"/>
      <c r="Z71" s="16" t="n"/>
      <c r="AA71" s="16" t="n"/>
      <c r="AB71" s="16" t="n"/>
      <c r="AC71" s="20">
        <f>IF(OR(Z71="",AA71="",AB71=""),"",(--TRIM(LEFT(Z71,2)))*(--TRIM(LEFT(AA71,2)))*(--TRIM(LEFT(AB71,2))))</f>
        <v/>
      </c>
      <c r="AD71" s="20">
        <f>IF(OR(Z71="",AA71="",AB71=""),"",INDEX(APGrid,COUNTIF(APS,"&gt;"&amp;(--TRIM(LEFT(Z71,2))))*5+COUNTIF(APO,"&gt;"&amp;(--TRIM(LEFT(AA71,2))))+1,COUNTIF(APD,"&gt;"&amp;(--TRIM(LEFT(AB71,2))))+1))</f>
        <v/>
      </c>
      <c r="AE71" s="4" t="n"/>
      <c r="AF71" s="4" t="n"/>
      <c r="AH71">
        <f>IFERROR(INDEX(EqTag,_xlfn.AGGREGATE(15,6,(ROW(EqTag)-4)/((EqSys=$D$3)*(EqTag&lt;&gt;"")),ROWS($AH$14:AH71))),"")</f>
        <v/>
      </c>
    </row>
    <row r="72">
      <c r="A72" s="20">
        <f>IF(F72="","",LEFT($D$3,3)&amp;"-"&amp;TEXT(COUNTIF(F$14:F72,"?*"),"00"))</f>
        <v/>
      </c>
      <c r="B72" s="4" t="n"/>
      <c r="C72" s="5">
        <f>IF(B72="","",IFERROR(INDEX(EqTypeCol,MATCH(B72,EqTag,0)),"Tag not in register"))</f>
        <v/>
      </c>
      <c r="D72" s="4" t="n"/>
      <c r="E72" s="4" t="n"/>
      <c r="F72" s="4" t="n"/>
      <c r="G72" s="4" t="n"/>
      <c r="H72" s="4" t="n"/>
      <c r="I72" s="4" t="n"/>
      <c r="J72" s="5">
        <f>_xlfn.TEXTJOIN(CHAR(10),TRUE,IF(G72="","","• "&amp;G72),IF(H72="","","• "&amp;H72),IF(I72="","","• "&amp;I72))</f>
        <v/>
      </c>
      <c r="K72" s="4" t="n"/>
      <c r="L72" s="4" t="n"/>
      <c r="M72" s="4" t="n"/>
      <c r="N72" s="16" t="n"/>
      <c r="O72" s="4" t="n"/>
      <c r="P72" s="16" t="n"/>
      <c r="Q72" s="4" t="n"/>
      <c r="R72" s="16" t="n"/>
      <c r="S72" s="20">
        <f>IF(OR(N72="",P72="",R72=""),"",(--TRIM(LEFT(N72,2)))*(--TRIM(LEFT(P72,2)))*(--TRIM(LEFT(R72,2))))</f>
        <v/>
      </c>
      <c r="T72" s="20">
        <f>IF(OR(N72="",P72="",R72=""),"",INDEX(APGrid,COUNTIF(APS,"&gt;"&amp;(--TRIM(LEFT(N72,2))))*5+COUNTIF(APO,"&gt;"&amp;(--TRIM(LEFT(P72,2))))+1,COUNTIF(APD,"&gt;"&amp;(--TRIM(LEFT(R72,2))))+1))</f>
        <v/>
      </c>
      <c r="U72" s="20">
        <f>IF(S72="","",IF(OR((--TRIM(LEFT(N72,2)))&gt;=SThr,S72&gt;=RPNThr,T72="H"),"Yes","No"))</f>
        <v/>
      </c>
      <c r="V72" s="4" t="n"/>
      <c r="W72" s="4" t="n"/>
      <c r="X72" s="4" t="n"/>
      <c r="Y72" s="29" t="n"/>
      <c r="Z72" s="16" t="n"/>
      <c r="AA72" s="16" t="n"/>
      <c r="AB72" s="16" t="n"/>
      <c r="AC72" s="20">
        <f>IF(OR(Z72="",AA72="",AB72=""),"",(--TRIM(LEFT(Z72,2)))*(--TRIM(LEFT(AA72,2)))*(--TRIM(LEFT(AB72,2))))</f>
        <v/>
      </c>
      <c r="AD72" s="20">
        <f>IF(OR(Z72="",AA72="",AB72=""),"",INDEX(APGrid,COUNTIF(APS,"&gt;"&amp;(--TRIM(LEFT(Z72,2))))*5+COUNTIF(APO,"&gt;"&amp;(--TRIM(LEFT(AA72,2))))+1,COUNTIF(APD,"&gt;"&amp;(--TRIM(LEFT(AB72,2))))+1))</f>
        <v/>
      </c>
      <c r="AE72" s="4" t="n"/>
      <c r="AF72" s="4" t="n"/>
      <c r="AH72">
        <f>IFERROR(INDEX(EqTag,_xlfn.AGGREGATE(15,6,(ROW(EqTag)-4)/((EqSys=$D$3)*(EqTag&lt;&gt;"")),ROWS($AH$14:AH72))),"")</f>
        <v/>
      </c>
    </row>
    <row r="73">
      <c r="A73" s="20">
        <f>IF(F73="","",LEFT($D$3,3)&amp;"-"&amp;TEXT(COUNTIF(F$14:F73,"?*"),"00"))</f>
        <v/>
      </c>
      <c r="B73" s="4" t="n"/>
      <c r="C73" s="5">
        <f>IF(B73="","",IFERROR(INDEX(EqTypeCol,MATCH(B73,EqTag,0)),"Tag not in register"))</f>
        <v/>
      </c>
      <c r="D73" s="4" t="n"/>
      <c r="E73" s="4" t="n"/>
      <c r="F73" s="4" t="n"/>
      <c r="G73" s="4" t="n"/>
      <c r="H73" s="4" t="n"/>
      <c r="I73" s="4" t="n"/>
      <c r="J73" s="5">
        <f>_xlfn.TEXTJOIN(CHAR(10),TRUE,IF(G73="","","• "&amp;G73),IF(H73="","","• "&amp;H73),IF(I73="","","• "&amp;I73))</f>
        <v/>
      </c>
      <c r="K73" s="4" t="n"/>
      <c r="L73" s="4" t="n"/>
      <c r="M73" s="4" t="n"/>
      <c r="N73" s="16" t="n"/>
      <c r="O73" s="4" t="n"/>
      <c r="P73" s="16" t="n"/>
      <c r="Q73" s="4" t="n"/>
      <c r="R73" s="16" t="n"/>
      <c r="S73" s="20">
        <f>IF(OR(N73="",P73="",R73=""),"",(--TRIM(LEFT(N73,2)))*(--TRIM(LEFT(P73,2)))*(--TRIM(LEFT(R73,2))))</f>
        <v/>
      </c>
      <c r="T73" s="20">
        <f>IF(OR(N73="",P73="",R73=""),"",INDEX(APGrid,COUNTIF(APS,"&gt;"&amp;(--TRIM(LEFT(N73,2))))*5+COUNTIF(APO,"&gt;"&amp;(--TRIM(LEFT(P73,2))))+1,COUNTIF(APD,"&gt;"&amp;(--TRIM(LEFT(R73,2))))+1))</f>
        <v/>
      </c>
      <c r="U73" s="20">
        <f>IF(S73="","",IF(OR((--TRIM(LEFT(N73,2)))&gt;=SThr,S73&gt;=RPNThr,T73="H"),"Yes","No"))</f>
        <v/>
      </c>
      <c r="V73" s="4" t="n"/>
      <c r="W73" s="4" t="n"/>
      <c r="X73" s="4" t="n"/>
      <c r="Y73" s="29" t="n"/>
      <c r="Z73" s="16" t="n"/>
      <c r="AA73" s="16" t="n"/>
      <c r="AB73" s="16" t="n"/>
      <c r="AC73" s="20">
        <f>IF(OR(Z73="",AA73="",AB73=""),"",(--TRIM(LEFT(Z73,2)))*(--TRIM(LEFT(AA73,2)))*(--TRIM(LEFT(AB73,2))))</f>
        <v/>
      </c>
      <c r="AD73" s="20">
        <f>IF(OR(Z73="",AA73="",AB73=""),"",INDEX(APGrid,COUNTIF(APS,"&gt;"&amp;(--TRIM(LEFT(Z73,2))))*5+COUNTIF(APO,"&gt;"&amp;(--TRIM(LEFT(AA73,2))))+1,COUNTIF(APD,"&gt;"&amp;(--TRIM(LEFT(AB73,2))))+1))</f>
        <v/>
      </c>
      <c r="AE73" s="4" t="n"/>
      <c r="AF73" s="4" t="n"/>
      <c r="AH73">
        <f>IFERROR(INDEX(EqTag,_xlfn.AGGREGATE(15,6,(ROW(EqTag)-4)/((EqSys=$D$3)*(EqTag&lt;&gt;"")),ROWS($AH$14:AH73))),"")</f>
        <v/>
      </c>
    </row>
    <row r="74">
      <c r="A74" s="20">
        <f>IF(F74="","",LEFT($D$3,3)&amp;"-"&amp;TEXT(COUNTIF(F$14:F74,"?*"),"00"))</f>
        <v/>
      </c>
      <c r="B74" s="4" t="n"/>
      <c r="C74" s="5">
        <f>IF(B74="","",IFERROR(INDEX(EqTypeCol,MATCH(B74,EqTag,0)),"Tag not in register"))</f>
        <v/>
      </c>
      <c r="D74" s="4" t="n"/>
      <c r="E74" s="4" t="n"/>
      <c r="F74" s="4" t="n"/>
      <c r="G74" s="4" t="n"/>
      <c r="H74" s="4" t="n"/>
      <c r="I74" s="4" t="n"/>
      <c r="J74" s="5">
        <f>_xlfn.TEXTJOIN(CHAR(10),TRUE,IF(G74="","","• "&amp;G74),IF(H74="","","• "&amp;H74),IF(I74="","","• "&amp;I74))</f>
        <v/>
      </c>
      <c r="K74" s="4" t="n"/>
      <c r="L74" s="4" t="n"/>
      <c r="M74" s="4" t="n"/>
      <c r="N74" s="16" t="n"/>
      <c r="O74" s="4" t="n"/>
      <c r="P74" s="16" t="n"/>
      <c r="Q74" s="4" t="n"/>
      <c r="R74" s="16" t="n"/>
      <c r="S74" s="20">
        <f>IF(OR(N74="",P74="",R74=""),"",(--TRIM(LEFT(N74,2)))*(--TRIM(LEFT(P74,2)))*(--TRIM(LEFT(R74,2))))</f>
        <v/>
      </c>
      <c r="T74" s="20">
        <f>IF(OR(N74="",P74="",R74=""),"",INDEX(APGrid,COUNTIF(APS,"&gt;"&amp;(--TRIM(LEFT(N74,2))))*5+COUNTIF(APO,"&gt;"&amp;(--TRIM(LEFT(P74,2))))+1,COUNTIF(APD,"&gt;"&amp;(--TRIM(LEFT(R74,2))))+1))</f>
        <v/>
      </c>
      <c r="U74" s="20">
        <f>IF(S74="","",IF(OR((--TRIM(LEFT(N74,2)))&gt;=SThr,S74&gt;=RPNThr,T74="H"),"Yes","No"))</f>
        <v/>
      </c>
      <c r="V74" s="4" t="n"/>
      <c r="W74" s="4" t="n"/>
      <c r="X74" s="4" t="n"/>
      <c r="Y74" s="29" t="n"/>
      <c r="Z74" s="16" t="n"/>
      <c r="AA74" s="16" t="n"/>
      <c r="AB74" s="16" t="n"/>
      <c r="AC74" s="20">
        <f>IF(OR(Z74="",AA74="",AB74=""),"",(--TRIM(LEFT(Z74,2)))*(--TRIM(LEFT(AA74,2)))*(--TRIM(LEFT(AB74,2))))</f>
        <v/>
      </c>
      <c r="AD74" s="20">
        <f>IF(OR(Z74="",AA74="",AB74=""),"",INDEX(APGrid,COUNTIF(APS,"&gt;"&amp;(--TRIM(LEFT(Z74,2))))*5+COUNTIF(APO,"&gt;"&amp;(--TRIM(LEFT(AA74,2))))+1,COUNTIF(APD,"&gt;"&amp;(--TRIM(LEFT(AB74,2))))+1))</f>
        <v/>
      </c>
      <c r="AE74" s="4" t="n"/>
      <c r="AF74" s="4" t="n"/>
      <c r="AH74">
        <f>IFERROR(INDEX(EqTag,_xlfn.AGGREGATE(15,6,(ROW(EqTag)-4)/((EqSys=$D$3)*(EqTag&lt;&gt;"")),ROWS($AH$14:AH74))),"")</f>
        <v/>
      </c>
    </row>
    <row r="75">
      <c r="A75" s="20">
        <f>IF(F75="","",LEFT($D$3,3)&amp;"-"&amp;TEXT(COUNTIF(F$14:F75,"?*"),"00"))</f>
        <v/>
      </c>
      <c r="B75" s="4" t="n"/>
      <c r="C75" s="5">
        <f>IF(B75="","",IFERROR(INDEX(EqTypeCol,MATCH(B75,EqTag,0)),"Tag not in register"))</f>
        <v/>
      </c>
      <c r="D75" s="4" t="n"/>
      <c r="E75" s="4" t="n"/>
      <c r="F75" s="4" t="n"/>
      <c r="G75" s="4" t="n"/>
      <c r="H75" s="4" t="n"/>
      <c r="I75" s="4" t="n"/>
      <c r="J75" s="5">
        <f>_xlfn.TEXTJOIN(CHAR(10),TRUE,IF(G75="","","• "&amp;G75),IF(H75="","","• "&amp;H75),IF(I75="","","• "&amp;I75))</f>
        <v/>
      </c>
      <c r="K75" s="4" t="n"/>
      <c r="L75" s="4" t="n"/>
      <c r="M75" s="4" t="n"/>
      <c r="N75" s="16" t="n"/>
      <c r="O75" s="4" t="n"/>
      <c r="P75" s="16" t="n"/>
      <c r="Q75" s="4" t="n"/>
      <c r="R75" s="16" t="n"/>
      <c r="S75" s="20">
        <f>IF(OR(N75="",P75="",R75=""),"",(--TRIM(LEFT(N75,2)))*(--TRIM(LEFT(P75,2)))*(--TRIM(LEFT(R75,2))))</f>
        <v/>
      </c>
      <c r="T75" s="20">
        <f>IF(OR(N75="",P75="",R75=""),"",INDEX(APGrid,COUNTIF(APS,"&gt;"&amp;(--TRIM(LEFT(N75,2))))*5+COUNTIF(APO,"&gt;"&amp;(--TRIM(LEFT(P75,2))))+1,COUNTIF(APD,"&gt;"&amp;(--TRIM(LEFT(R75,2))))+1))</f>
        <v/>
      </c>
      <c r="U75" s="20">
        <f>IF(S75="","",IF(OR((--TRIM(LEFT(N75,2)))&gt;=SThr,S75&gt;=RPNThr,T75="H"),"Yes","No"))</f>
        <v/>
      </c>
      <c r="V75" s="4" t="n"/>
      <c r="W75" s="4" t="n"/>
      <c r="X75" s="4" t="n"/>
      <c r="Y75" s="29" t="n"/>
      <c r="Z75" s="16" t="n"/>
      <c r="AA75" s="16" t="n"/>
      <c r="AB75" s="16" t="n"/>
      <c r="AC75" s="20">
        <f>IF(OR(Z75="",AA75="",AB75=""),"",(--TRIM(LEFT(Z75,2)))*(--TRIM(LEFT(AA75,2)))*(--TRIM(LEFT(AB75,2))))</f>
        <v/>
      </c>
      <c r="AD75" s="20">
        <f>IF(OR(Z75="",AA75="",AB75=""),"",INDEX(APGrid,COUNTIF(APS,"&gt;"&amp;(--TRIM(LEFT(Z75,2))))*5+COUNTIF(APO,"&gt;"&amp;(--TRIM(LEFT(AA75,2))))+1,COUNTIF(APD,"&gt;"&amp;(--TRIM(LEFT(AB75,2))))+1))</f>
        <v/>
      </c>
      <c r="AE75" s="4" t="n"/>
      <c r="AF75" s="4" t="n"/>
      <c r="AH75">
        <f>IFERROR(INDEX(EqTag,_xlfn.AGGREGATE(15,6,(ROW(EqTag)-4)/((EqSys=$D$3)*(EqTag&lt;&gt;"")),ROWS($AH$14:AH75))),"")</f>
        <v/>
      </c>
    </row>
    <row r="76">
      <c r="A76" s="20">
        <f>IF(F76="","",LEFT($D$3,3)&amp;"-"&amp;TEXT(COUNTIF(F$14:F76,"?*"),"00"))</f>
        <v/>
      </c>
      <c r="B76" s="4" t="n"/>
      <c r="C76" s="5">
        <f>IF(B76="","",IFERROR(INDEX(EqTypeCol,MATCH(B76,EqTag,0)),"Tag not in register"))</f>
        <v/>
      </c>
      <c r="D76" s="4" t="n"/>
      <c r="E76" s="4" t="n"/>
      <c r="F76" s="4" t="n"/>
      <c r="G76" s="4" t="n"/>
      <c r="H76" s="4" t="n"/>
      <c r="I76" s="4" t="n"/>
      <c r="J76" s="5">
        <f>_xlfn.TEXTJOIN(CHAR(10),TRUE,IF(G76="","","• "&amp;G76),IF(H76="","","• "&amp;H76),IF(I76="","","• "&amp;I76))</f>
        <v/>
      </c>
      <c r="K76" s="4" t="n"/>
      <c r="L76" s="4" t="n"/>
      <c r="M76" s="4" t="n"/>
      <c r="N76" s="16" t="n"/>
      <c r="O76" s="4" t="n"/>
      <c r="P76" s="16" t="n"/>
      <c r="Q76" s="4" t="n"/>
      <c r="R76" s="16" t="n"/>
      <c r="S76" s="20">
        <f>IF(OR(N76="",P76="",R76=""),"",(--TRIM(LEFT(N76,2)))*(--TRIM(LEFT(P76,2)))*(--TRIM(LEFT(R76,2))))</f>
        <v/>
      </c>
      <c r="T76" s="20">
        <f>IF(OR(N76="",P76="",R76=""),"",INDEX(APGrid,COUNTIF(APS,"&gt;"&amp;(--TRIM(LEFT(N76,2))))*5+COUNTIF(APO,"&gt;"&amp;(--TRIM(LEFT(P76,2))))+1,COUNTIF(APD,"&gt;"&amp;(--TRIM(LEFT(R76,2))))+1))</f>
        <v/>
      </c>
      <c r="U76" s="20">
        <f>IF(S76="","",IF(OR((--TRIM(LEFT(N76,2)))&gt;=SThr,S76&gt;=RPNThr,T76="H"),"Yes","No"))</f>
        <v/>
      </c>
      <c r="V76" s="4" t="n"/>
      <c r="W76" s="4" t="n"/>
      <c r="X76" s="4" t="n"/>
      <c r="Y76" s="29" t="n"/>
      <c r="Z76" s="16" t="n"/>
      <c r="AA76" s="16" t="n"/>
      <c r="AB76" s="16" t="n"/>
      <c r="AC76" s="20">
        <f>IF(OR(Z76="",AA76="",AB76=""),"",(--TRIM(LEFT(Z76,2)))*(--TRIM(LEFT(AA76,2)))*(--TRIM(LEFT(AB76,2))))</f>
        <v/>
      </c>
      <c r="AD76" s="20">
        <f>IF(OR(Z76="",AA76="",AB76=""),"",INDEX(APGrid,COUNTIF(APS,"&gt;"&amp;(--TRIM(LEFT(Z76,2))))*5+COUNTIF(APO,"&gt;"&amp;(--TRIM(LEFT(AA76,2))))+1,COUNTIF(APD,"&gt;"&amp;(--TRIM(LEFT(AB76,2))))+1))</f>
        <v/>
      </c>
      <c r="AE76" s="4" t="n"/>
      <c r="AF76" s="4" t="n"/>
      <c r="AH76">
        <f>IFERROR(INDEX(EqTag,_xlfn.AGGREGATE(15,6,(ROW(EqTag)-4)/((EqSys=$D$3)*(EqTag&lt;&gt;"")),ROWS($AH$14:AH76))),"")</f>
        <v/>
      </c>
    </row>
    <row r="77">
      <c r="A77" s="20">
        <f>IF(F77="","",LEFT($D$3,3)&amp;"-"&amp;TEXT(COUNTIF(F$14:F77,"?*"),"00"))</f>
        <v/>
      </c>
      <c r="B77" s="4" t="n"/>
      <c r="C77" s="5">
        <f>IF(B77="","",IFERROR(INDEX(EqTypeCol,MATCH(B77,EqTag,0)),"Tag not in register"))</f>
        <v/>
      </c>
      <c r="D77" s="4" t="n"/>
      <c r="E77" s="4" t="n"/>
      <c r="F77" s="4" t="n"/>
      <c r="G77" s="4" t="n"/>
      <c r="H77" s="4" t="n"/>
      <c r="I77" s="4" t="n"/>
      <c r="J77" s="5">
        <f>_xlfn.TEXTJOIN(CHAR(10),TRUE,IF(G77="","","• "&amp;G77),IF(H77="","","• "&amp;H77),IF(I77="","","• "&amp;I77))</f>
        <v/>
      </c>
      <c r="K77" s="4" t="n"/>
      <c r="L77" s="4" t="n"/>
      <c r="M77" s="4" t="n"/>
      <c r="N77" s="16" t="n"/>
      <c r="O77" s="4" t="n"/>
      <c r="P77" s="16" t="n"/>
      <c r="Q77" s="4" t="n"/>
      <c r="R77" s="16" t="n"/>
      <c r="S77" s="20">
        <f>IF(OR(N77="",P77="",R77=""),"",(--TRIM(LEFT(N77,2)))*(--TRIM(LEFT(P77,2)))*(--TRIM(LEFT(R77,2))))</f>
        <v/>
      </c>
      <c r="T77" s="20">
        <f>IF(OR(N77="",P77="",R77=""),"",INDEX(APGrid,COUNTIF(APS,"&gt;"&amp;(--TRIM(LEFT(N77,2))))*5+COUNTIF(APO,"&gt;"&amp;(--TRIM(LEFT(P77,2))))+1,COUNTIF(APD,"&gt;"&amp;(--TRIM(LEFT(R77,2))))+1))</f>
        <v/>
      </c>
      <c r="U77" s="20">
        <f>IF(S77="","",IF(OR((--TRIM(LEFT(N77,2)))&gt;=SThr,S77&gt;=RPNThr,T77="H"),"Yes","No"))</f>
        <v/>
      </c>
      <c r="V77" s="4" t="n"/>
      <c r="W77" s="4" t="n"/>
      <c r="X77" s="4" t="n"/>
      <c r="Y77" s="29" t="n"/>
      <c r="Z77" s="16" t="n"/>
      <c r="AA77" s="16" t="n"/>
      <c r="AB77" s="16" t="n"/>
      <c r="AC77" s="20">
        <f>IF(OR(Z77="",AA77="",AB77=""),"",(--TRIM(LEFT(Z77,2)))*(--TRIM(LEFT(AA77,2)))*(--TRIM(LEFT(AB77,2))))</f>
        <v/>
      </c>
      <c r="AD77" s="20">
        <f>IF(OR(Z77="",AA77="",AB77=""),"",INDEX(APGrid,COUNTIF(APS,"&gt;"&amp;(--TRIM(LEFT(Z77,2))))*5+COUNTIF(APO,"&gt;"&amp;(--TRIM(LEFT(AA77,2))))+1,COUNTIF(APD,"&gt;"&amp;(--TRIM(LEFT(AB77,2))))+1))</f>
        <v/>
      </c>
      <c r="AE77" s="4" t="n"/>
      <c r="AF77" s="4" t="n"/>
      <c r="AH77">
        <f>IFERROR(INDEX(EqTag,_xlfn.AGGREGATE(15,6,(ROW(EqTag)-4)/((EqSys=$D$3)*(EqTag&lt;&gt;"")),ROWS($AH$14:AH77))),"")</f>
        <v/>
      </c>
    </row>
    <row r="78">
      <c r="A78" s="20">
        <f>IF(F78="","",LEFT($D$3,3)&amp;"-"&amp;TEXT(COUNTIF(F$14:F78,"?*"),"00"))</f>
        <v/>
      </c>
      <c r="B78" s="4" t="n"/>
      <c r="C78" s="5">
        <f>IF(B78="","",IFERROR(INDEX(EqTypeCol,MATCH(B78,EqTag,0)),"Tag not in register"))</f>
        <v/>
      </c>
      <c r="D78" s="4" t="n"/>
      <c r="E78" s="4" t="n"/>
      <c r="F78" s="4" t="n"/>
      <c r="G78" s="4" t="n"/>
      <c r="H78" s="4" t="n"/>
      <c r="I78" s="4" t="n"/>
      <c r="J78" s="5">
        <f>_xlfn.TEXTJOIN(CHAR(10),TRUE,IF(G78="","","• "&amp;G78),IF(H78="","","• "&amp;H78),IF(I78="","","• "&amp;I78))</f>
        <v/>
      </c>
      <c r="K78" s="4" t="n"/>
      <c r="L78" s="4" t="n"/>
      <c r="M78" s="4" t="n"/>
      <c r="N78" s="16" t="n"/>
      <c r="O78" s="4" t="n"/>
      <c r="P78" s="16" t="n"/>
      <c r="Q78" s="4" t="n"/>
      <c r="R78" s="16" t="n"/>
      <c r="S78" s="20">
        <f>IF(OR(N78="",P78="",R78=""),"",(--TRIM(LEFT(N78,2)))*(--TRIM(LEFT(P78,2)))*(--TRIM(LEFT(R78,2))))</f>
        <v/>
      </c>
      <c r="T78" s="20">
        <f>IF(OR(N78="",P78="",R78=""),"",INDEX(APGrid,COUNTIF(APS,"&gt;"&amp;(--TRIM(LEFT(N78,2))))*5+COUNTIF(APO,"&gt;"&amp;(--TRIM(LEFT(P78,2))))+1,COUNTIF(APD,"&gt;"&amp;(--TRIM(LEFT(R78,2))))+1))</f>
        <v/>
      </c>
      <c r="U78" s="20">
        <f>IF(S78="","",IF(OR((--TRIM(LEFT(N78,2)))&gt;=SThr,S78&gt;=RPNThr,T78="H"),"Yes","No"))</f>
        <v/>
      </c>
      <c r="V78" s="4" t="n"/>
      <c r="W78" s="4" t="n"/>
      <c r="X78" s="4" t="n"/>
      <c r="Y78" s="29" t="n"/>
      <c r="Z78" s="16" t="n"/>
      <c r="AA78" s="16" t="n"/>
      <c r="AB78" s="16" t="n"/>
      <c r="AC78" s="20">
        <f>IF(OR(Z78="",AA78="",AB78=""),"",(--TRIM(LEFT(Z78,2)))*(--TRIM(LEFT(AA78,2)))*(--TRIM(LEFT(AB78,2))))</f>
        <v/>
      </c>
      <c r="AD78" s="20">
        <f>IF(OR(Z78="",AA78="",AB78=""),"",INDEX(APGrid,COUNTIF(APS,"&gt;"&amp;(--TRIM(LEFT(Z78,2))))*5+COUNTIF(APO,"&gt;"&amp;(--TRIM(LEFT(AA78,2))))+1,COUNTIF(APD,"&gt;"&amp;(--TRIM(LEFT(AB78,2))))+1))</f>
        <v/>
      </c>
      <c r="AE78" s="4" t="n"/>
      <c r="AF78" s="4" t="n"/>
      <c r="AH78">
        <f>IFERROR(INDEX(EqTag,_xlfn.AGGREGATE(15,6,(ROW(EqTag)-4)/((EqSys=$D$3)*(EqTag&lt;&gt;"")),ROWS($AH$14:AH78))),"")</f>
        <v/>
      </c>
    </row>
    <row r="79">
      <c r="A79" s="20">
        <f>IF(F79="","",LEFT($D$3,3)&amp;"-"&amp;TEXT(COUNTIF(F$14:F79,"?*"),"00"))</f>
        <v/>
      </c>
      <c r="B79" s="4" t="n"/>
      <c r="C79" s="5">
        <f>IF(B79="","",IFERROR(INDEX(EqTypeCol,MATCH(B79,EqTag,0)),"Tag not in register"))</f>
        <v/>
      </c>
      <c r="D79" s="4" t="n"/>
      <c r="E79" s="4" t="n"/>
      <c r="F79" s="4" t="n"/>
      <c r="G79" s="4" t="n"/>
      <c r="H79" s="4" t="n"/>
      <c r="I79" s="4" t="n"/>
      <c r="J79" s="5">
        <f>_xlfn.TEXTJOIN(CHAR(10),TRUE,IF(G79="","","• "&amp;G79),IF(H79="","","• "&amp;H79),IF(I79="","","• "&amp;I79))</f>
        <v/>
      </c>
      <c r="K79" s="4" t="n"/>
      <c r="L79" s="4" t="n"/>
      <c r="M79" s="4" t="n"/>
      <c r="N79" s="16" t="n"/>
      <c r="O79" s="4" t="n"/>
      <c r="P79" s="16" t="n"/>
      <c r="Q79" s="4" t="n"/>
      <c r="R79" s="16" t="n"/>
      <c r="S79" s="20">
        <f>IF(OR(N79="",P79="",R79=""),"",(--TRIM(LEFT(N79,2)))*(--TRIM(LEFT(P79,2)))*(--TRIM(LEFT(R79,2))))</f>
        <v/>
      </c>
      <c r="T79" s="20">
        <f>IF(OR(N79="",P79="",R79=""),"",INDEX(APGrid,COUNTIF(APS,"&gt;"&amp;(--TRIM(LEFT(N79,2))))*5+COUNTIF(APO,"&gt;"&amp;(--TRIM(LEFT(P79,2))))+1,COUNTIF(APD,"&gt;"&amp;(--TRIM(LEFT(R79,2))))+1))</f>
        <v/>
      </c>
      <c r="U79" s="20">
        <f>IF(S79="","",IF(OR((--TRIM(LEFT(N79,2)))&gt;=SThr,S79&gt;=RPNThr,T79="H"),"Yes","No"))</f>
        <v/>
      </c>
      <c r="V79" s="4" t="n"/>
      <c r="W79" s="4" t="n"/>
      <c r="X79" s="4" t="n"/>
      <c r="Y79" s="29" t="n"/>
      <c r="Z79" s="16" t="n"/>
      <c r="AA79" s="16" t="n"/>
      <c r="AB79" s="16" t="n"/>
      <c r="AC79" s="20">
        <f>IF(OR(Z79="",AA79="",AB79=""),"",(--TRIM(LEFT(Z79,2)))*(--TRIM(LEFT(AA79,2)))*(--TRIM(LEFT(AB79,2))))</f>
        <v/>
      </c>
      <c r="AD79" s="20">
        <f>IF(OR(Z79="",AA79="",AB79=""),"",INDEX(APGrid,COUNTIF(APS,"&gt;"&amp;(--TRIM(LEFT(Z79,2))))*5+COUNTIF(APO,"&gt;"&amp;(--TRIM(LEFT(AA79,2))))+1,COUNTIF(APD,"&gt;"&amp;(--TRIM(LEFT(AB79,2))))+1))</f>
        <v/>
      </c>
      <c r="AE79" s="4" t="n"/>
      <c r="AF79" s="4" t="n"/>
      <c r="AH79">
        <f>IFERROR(INDEX(EqTag,_xlfn.AGGREGATE(15,6,(ROW(EqTag)-4)/((EqSys=$D$3)*(EqTag&lt;&gt;"")),ROWS($AH$14:AH79))),"")</f>
        <v/>
      </c>
    </row>
    <row r="80">
      <c r="A80" s="20">
        <f>IF(F80="","",LEFT($D$3,3)&amp;"-"&amp;TEXT(COUNTIF(F$14:F80,"?*"),"00"))</f>
        <v/>
      </c>
      <c r="B80" s="4" t="n"/>
      <c r="C80" s="5">
        <f>IF(B80="","",IFERROR(INDEX(EqTypeCol,MATCH(B80,EqTag,0)),"Tag not in register"))</f>
        <v/>
      </c>
      <c r="D80" s="4" t="n"/>
      <c r="E80" s="4" t="n"/>
      <c r="F80" s="4" t="n"/>
      <c r="G80" s="4" t="n"/>
      <c r="H80" s="4" t="n"/>
      <c r="I80" s="4" t="n"/>
      <c r="J80" s="5">
        <f>_xlfn.TEXTJOIN(CHAR(10),TRUE,IF(G80="","","• "&amp;G80),IF(H80="","","• "&amp;H80),IF(I80="","","• "&amp;I80))</f>
        <v/>
      </c>
      <c r="K80" s="4" t="n"/>
      <c r="L80" s="4" t="n"/>
      <c r="M80" s="4" t="n"/>
      <c r="N80" s="16" t="n"/>
      <c r="O80" s="4" t="n"/>
      <c r="P80" s="16" t="n"/>
      <c r="Q80" s="4" t="n"/>
      <c r="R80" s="16" t="n"/>
      <c r="S80" s="20">
        <f>IF(OR(N80="",P80="",R80=""),"",(--TRIM(LEFT(N80,2)))*(--TRIM(LEFT(P80,2)))*(--TRIM(LEFT(R80,2))))</f>
        <v/>
      </c>
      <c r="T80" s="20">
        <f>IF(OR(N80="",P80="",R80=""),"",INDEX(APGrid,COUNTIF(APS,"&gt;"&amp;(--TRIM(LEFT(N80,2))))*5+COUNTIF(APO,"&gt;"&amp;(--TRIM(LEFT(P80,2))))+1,COUNTIF(APD,"&gt;"&amp;(--TRIM(LEFT(R80,2))))+1))</f>
        <v/>
      </c>
      <c r="U80" s="20">
        <f>IF(S80="","",IF(OR((--TRIM(LEFT(N80,2)))&gt;=SThr,S80&gt;=RPNThr,T80="H"),"Yes","No"))</f>
        <v/>
      </c>
      <c r="V80" s="4" t="n"/>
      <c r="W80" s="4" t="n"/>
      <c r="X80" s="4" t="n"/>
      <c r="Y80" s="29" t="n"/>
      <c r="Z80" s="16" t="n"/>
      <c r="AA80" s="16" t="n"/>
      <c r="AB80" s="16" t="n"/>
      <c r="AC80" s="20">
        <f>IF(OR(Z80="",AA80="",AB80=""),"",(--TRIM(LEFT(Z80,2)))*(--TRIM(LEFT(AA80,2)))*(--TRIM(LEFT(AB80,2))))</f>
        <v/>
      </c>
      <c r="AD80" s="20">
        <f>IF(OR(Z80="",AA80="",AB80=""),"",INDEX(APGrid,COUNTIF(APS,"&gt;"&amp;(--TRIM(LEFT(Z80,2))))*5+COUNTIF(APO,"&gt;"&amp;(--TRIM(LEFT(AA80,2))))+1,COUNTIF(APD,"&gt;"&amp;(--TRIM(LEFT(AB80,2))))+1))</f>
        <v/>
      </c>
      <c r="AE80" s="4" t="n"/>
      <c r="AF80" s="4" t="n"/>
      <c r="AH80">
        <f>IFERROR(INDEX(EqTag,_xlfn.AGGREGATE(15,6,(ROW(EqTag)-4)/((EqSys=$D$3)*(EqTag&lt;&gt;"")),ROWS($AH$14:AH80))),"")</f>
        <v/>
      </c>
    </row>
    <row r="81">
      <c r="A81" s="20">
        <f>IF(F81="","",LEFT($D$3,3)&amp;"-"&amp;TEXT(COUNTIF(F$14:F81,"?*"),"00"))</f>
        <v/>
      </c>
      <c r="B81" s="4" t="n"/>
      <c r="C81" s="5">
        <f>IF(B81="","",IFERROR(INDEX(EqTypeCol,MATCH(B81,EqTag,0)),"Tag not in register"))</f>
        <v/>
      </c>
      <c r="D81" s="4" t="n"/>
      <c r="E81" s="4" t="n"/>
      <c r="F81" s="4" t="n"/>
      <c r="G81" s="4" t="n"/>
      <c r="H81" s="4" t="n"/>
      <c r="I81" s="4" t="n"/>
      <c r="J81" s="5">
        <f>_xlfn.TEXTJOIN(CHAR(10),TRUE,IF(G81="","","• "&amp;G81),IF(H81="","","• "&amp;H81),IF(I81="","","• "&amp;I81))</f>
        <v/>
      </c>
      <c r="K81" s="4" t="n"/>
      <c r="L81" s="4" t="n"/>
      <c r="M81" s="4" t="n"/>
      <c r="N81" s="16" t="n"/>
      <c r="O81" s="4" t="n"/>
      <c r="P81" s="16" t="n"/>
      <c r="Q81" s="4" t="n"/>
      <c r="R81" s="16" t="n"/>
      <c r="S81" s="20">
        <f>IF(OR(N81="",P81="",R81=""),"",(--TRIM(LEFT(N81,2)))*(--TRIM(LEFT(P81,2)))*(--TRIM(LEFT(R81,2))))</f>
        <v/>
      </c>
      <c r="T81" s="20">
        <f>IF(OR(N81="",P81="",R81=""),"",INDEX(APGrid,COUNTIF(APS,"&gt;"&amp;(--TRIM(LEFT(N81,2))))*5+COUNTIF(APO,"&gt;"&amp;(--TRIM(LEFT(P81,2))))+1,COUNTIF(APD,"&gt;"&amp;(--TRIM(LEFT(R81,2))))+1))</f>
        <v/>
      </c>
      <c r="U81" s="20">
        <f>IF(S81="","",IF(OR((--TRIM(LEFT(N81,2)))&gt;=SThr,S81&gt;=RPNThr,T81="H"),"Yes","No"))</f>
        <v/>
      </c>
      <c r="V81" s="4" t="n"/>
      <c r="W81" s="4" t="n"/>
      <c r="X81" s="4" t="n"/>
      <c r="Y81" s="29" t="n"/>
      <c r="Z81" s="16" t="n"/>
      <c r="AA81" s="16" t="n"/>
      <c r="AB81" s="16" t="n"/>
      <c r="AC81" s="20">
        <f>IF(OR(Z81="",AA81="",AB81=""),"",(--TRIM(LEFT(Z81,2)))*(--TRIM(LEFT(AA81,2)))*(--TRIM(LEFT(AB81,2))))</f>
        <v/>
      </c>
      <c r="AD81" s="20">
        <f>IF(OR(Z81="",AA81="",AB81=""),"",INDEX(APGrid,COUNTIF(APS,"&gt;"&amp;(--TRIM(LEFT(Z81,2))))*5+COUNTIF(APO,"&gt;"&amp;(--TRIM(LEFT(AA81,2))))+1,COUNTIF(APD,"&gt;"&amp;(--TRIM(LEFT(AB81,2))))+1))</f>
        <v/>
      </c>
      <c r="AE81" s="4" t="n"/>
      <c r="AF81" s="4" t="n"/>
      <c r="AH81">
        <f>IFERROR(INDEX(EqTag,_xlfn.AGGREGATE(15,6,(ROW(EqTag)-4)/((EqSys=$D$3)*(EqTag&lt;&gt;"")),ROWS($AH$14:AH81))),"")</f>
        <v/>
      </c>
    </row>
    <row r="82">
      <c r="A82" s="20">
        <f>IF(F82="","",LEFT($D$3,3)&amp;"-"&amp;TEXT(COUNTIF(F$14:F82,"?*"),"00"))</f>
        <v/>
      </c>
      <c r="B82" s="4" t="n"/>
      <c r="C82" s="5">
        <f>IF(B82="","",IFERROR(INDEX(EqTypeCol,MATCH(B82,EqTag,0)),"Tag not in register"))</f>
        <v/>
      </c>
      <c r="D82" s="4" t="n"/>
      <c r="E82" s="4" t="n"/>
      <c r="F82" s="4" t="n"/>
      <c r="G82" s="4" t="n"/>
      <c r="H82" s="4" t="n"/>
      <c r="I82" s="4" t="n"/>
      <c r="J82" s="5">
        <f>_xlfn.TEXTJOIN(CHAR(10),TRUE,IF(G82="","","• "&amp;G82),IF(H82="","","• "&amp;H82),IF(I82="","","• "&amp;I82))</f>
        <v/>
      </c>
      <c r="K82" s="4" t="n"/>
      <c r="L82" s="4" t="n"/>
      <c r="M82" s="4" t="n"/>
      <c r="N82" s="16" t="n"/>
      <c r="O82" s="4" t="n"/>
      <c r="P82" s="16" t="n"/>
      <c r="Q82" s="4" t="n"/>
      <c r="R82" s="16" t="n"/>
      <c r="S82" s="20">
        <f>IF(OR(N82="",P82="",R82=""),"",(--TRIM(LEFT(N82,2)))*(--TRIM(LEFT(P82,2)))*(--TRIM(LEFT(R82,2))))</f>
        <v/>
      </c>
      <c r="T82" s="20">
        <f>IF(OR(N82="",P82="",R82=""),"",INDEX(APGrid,COUNTIF(APS,"&gt;"&amp;(--TRIM(LEFT(N82,2))))*5+COUNTIF(APO,"&gt;"&amp;(--TRIM(LEFT(P82,2))))+1,COUNTIF(APD,"&gt;"&amp;(--TRIM(LEFT(R82,2))))+1))</f>
        <v/>
      </c>
      <c r="U82" s="20">
        <f>IF(S82="","",IF(OR((--TRIM(LEFT(N82,2)))&gt;=SThr,S82&gt;=RPNThr,T82="H"),"Yes","No"))</f>
        <v/>
      </c>
      <c r="V82" s="4" t="n"/>
      <c r="W82" s="4" t="n"/>
      <c r="X82" s="4" t="n"/>
      <c r="Y82" s="29" t="n"/>
      <c r="Z82" s="16" t="n"/>
      <c r="AA82" s="16" t="n"/>
      <c r="AB82" s="16" t="n"/>
      <c r="AC82" s="20">
        <f>IF(OR(Z82="",AA82="",AB82=""),"",(--TRIM(LEFT(Z82,2)))*(--TRIM(LEFT(AA82,2)))*(--TRIM(LEFT(AB82,2))))</f>
        <v/>
      </c>
      <c r="AD82" s="20">
        <f>IF(OR(Z82="",AA82="",AB82=""),"",INDEX(APGrid,COUNTIF(APS,"&gt;"&amp;(--TRIM(LEFT(Z82,2))))*5+COUNTIF(APO,"&gt;"&amp;(--TRIM(LEFT(AA82,2))))+1,COUNTIF(APD,"&gt;"&amp;(--TRIM(LEFT(AB82,2))))+1))</f>
        <v/>
      </c>
      <c r="AE82" s="4" t="n"/>
      <c r="AF82" s="4" t="n"/>
      <c r="AH82">
        <f>IFERROR(INDEX(EqTag,_xlfn.AGGREGATE(15,6,(ROW(EqTag)-4)/((EqSys=$D$3)*(EqTag&lt;&gt;"")),ROWS($AH$14:AH82))),"")</f>
        <v/>
      </c>
    </row>
    <row r="83">
      <c r="A83" s="20">
        <f>IF(F83="","",LEFT($D$3,3)&amp;"-"&amp;TEXT(COUNTIF(F$14:F83,"?*"),"00"))</f>
        <v/>
      </c>
      <c r="B83" s="4" t="n"/>
      <c r="C83" s="5">
        <f>IF(B83="","",IFERROR(INDEX(EqTypeCol,MATCH(B83,EqTag,0)),"Tag not in register"))</f>
        <v/>
      </c>
      <c r="D83" s="4" t="n"/>
      <c r="E83" s="4" t="n"/>
      <c r="F83" s="4" t="n"/>
      <c r="G83" s="4" t="n"/>
      <c r="H83" s="4" t="n"/>
      <c r="I83" s="4" t="n"/>
      <c r="J83" s="5">
        <f>_xlfn.TEXTJOIN(CHAR(10),TRUE,IF(G83="","","• "&amp;G83),IF(H83="","","• "&amp;H83),IF(I83="","","• "&amp;I83))</f>
        <v/>
      </c>
      <c r="K83" s="4" t="n"/>
      <c r="L83" s="4" t="n"/>
      <c r="M83" s="4" t="n"/>
      <c r="N83" s="16" t="n"/>
      <c r="O83" s="4" t="n"/>
      <c r="P83" s="16" t="n"/>
      <c r="Q83" s="4" t="n"/>
      <c r="R83" s="16" t="n"/>
      <c r="S83" s="20">
        <f>IF(OR(N83="",P83="",R83=""),"",(--TRIM(LEFT(N83,2)))*(--TRIM(LEFT(P83,2)))*(--TRIM(LEFT(R83,2))))</f>
        <v/>
      </c>
      <c r="T83" s="20">
        <f>IF(OR(N83="",P83="",R83=""),"",INDEX(APGrid,COUNTIF(APS,"&gt;"&amp;(--TRIM(LEFT(N83,2))))*5+COUNTIF(APO,"&gt;"&amp;(--TRIM(LEFT(P83,2))))+1,COUNTIF(APD,"&gt;"&amp;(--TRIM(LEFT(R83,2))))+1))</f>
        <v/>
      </c>
      <c r="U83" s="20">
        <f>IF(S83="","",IF(OR((--TRIM(LEFT(N83,2)))&gt;=SThr,S83&gt;=RPNThr,T83="H"),"Yes","No"))</f>
        <v/>
      </c>
      <c r="V83" s="4" t="n"/>
      <c r="W83" s="4" t="n"/>
      <c r="X83" s="4" t="n"/>
      <c r="Y83" s="29" t="n"/>
      <c r="Z83" s="16" t="n"/>
      <c r="AA83" s="16" t="n"/>
      <c r="AB83" s="16" t="n"/>
      <c r="AC83" s="20">
        <f>IF(OR(Z83="",AA83="",AB83=""),"",(--TRIM(LEFT(Z83,2)))*(--TRIM(LEFT(AA83,2)))*(--TRIM(LEFT(AB83,2))))</f>
        <v/>
      </c>
      <c r="AD83" s="20">
        <f>IF(OR(Z83="",AA83="",AB83=""),"",INDEX(APGrid,COUNTIF(APS,"&gt;"&amp;(--TRIM(LEFT(Z83,2))))*5+COUNTIF(APO,"&gt;"&amp;(--TRIM(LEFT(AA83,2))))+1,COUNTIF(APD,"&gt;"&amp;(--TRIM(LEFT(AB83,2))))+1))</f>
        <v/>
      </c>
      <c r="AE83" s="4" t="n"/>
      <c r="AF83" s="4" t="n"/>
      <c r="AH83">
        <f>IFERROR(INDEX(EqTag,_xlfn.AGGREGATE(15,6,(ROW(EqTag)-4)/((EqSys=$D$3)*(EqTag&lt;&gt;"")),ROWS($AH$14:AH83))),"")</f>
        <v/>
      </c>
    </row>
    <row r="84">
      <c r="A84" s="20">
        <f>IF(F84="","",LEFT($D$3,3)&amp;"-"&amp;TEXT(COUNTIF(F$14:F84,"?*"),"00"))</f>
        <v/>
      </c>
      <c r="B84" s="4" t="n"/>
      <c r="C84" s="5">
        <f>IF(B84="","",IFERROR(INDEX(EqTypeCol,MATCH(B84,EqTag,0)),"Tag not in register"))</f>
        <v/>
      </c>
      <c r="D84" s="4" t="n"/>
      <c r="E84" s="4" t="n"/>
      <c r="F84" s="4" t="n"/>
      <c r="G84" s="4" t="n"/>
      <c r="H84" s="4" t="n"/>
      <c r="I84" s="4" t="n"/>
      <c r="J84" s="5">
        <f>_xlfn.TEXTJOIN(CHAR(10),TRUE,IF(G84="","","• "&amp;G84),IF(H84="","","• "&amp;H84),IF(I84="","","• "&amp;I84))</f>
        <v/>
      </c>
      <c r="K84" s="4" t="n"/>
      <c r="L84" s="4" t="n"/>
      <c r="M84" s="4" t="n"/>
      <c r="N84" s="16" t="n"/>
      <c r="O84" s="4" t="n"/>
      <c r="P84" s="16" t="n"/>
      <c r="Q84" s="4" t="n"/>
      <c r="R84" s="16" t="n"/>
      <c r="S84" s="20">
        <f>IF(OR(N84="",P84="",R84=""),"",(--TRIM(LEFT(N84,2)))*(--TRIM(LEFT(P84,2)))*(--TRIM(LEFT(R84,2))))</f>
        <v/>
      </c>
      <c r="T84" s="20">
        <f>IF(OR(N84="",P84="",R84=""),"",INDEX(APGrid,COUNTIF(APS,"&gt;"&amp;(--TRIM(LEFT(N84,2))))*5+COUNTIF(APO,"&gt;"&amp;(--TRIM(LEFT(P84,2))))+1,COUNTIF(APD,"&gt;"&amp;(--TRIM(LEFT(R84,2))))+1))</f>
        <v/>
      </c>
      <c r="U84" s="20">
        <f>IF(S84="","",IF(OR((--TRIM(LEFT(N84,2)))&gt;=SThr,S84&gt;=RPNThr,T84="H"),"Yes","No"))</f>
        <v/>
      </c>
      <c r="V84" s="4" t="n"/>
      <c r="W84" s="4" t="n"/>
      <c r="X84" s="4" t="n"/>
      <c r="Y84" s="29" t="n"/>
      <c r="Z84" s="16" t="n"/>
      <c r="AA84" s="16" t="n"/>
      <c r="AB84" s="16" t="n"/>
      <c r="AC84" s="20">
        <f>IF(OR(Z84="",AA84="",AB84=""),"",(--TRIM(LEFT(Z84,2)))*(--TRIM(LEFT(AA84,2)))*(--TRIM(LEFT(AB84,2))))</f>
        <v/>
      </c>
      <c r="AD84" s="20">
        <f>IF(OR(Z84="",AA84="",AB84=""),"",INDEX(APGrid,COUNTIF(APS,"&gt;"&amp;(--TRIM(LEFT(Z84,2))))*5+COUNTIF(APO,"&gt;"&amp;(--TRIM(LEFT(AA84,2))))+1,COUNTIF(APD,"&gt;"&amp;(--TRIM(LEFT(AB84,2))))+1))</f>
        <v/>
      </c>
      <c r="AE84" s="4" t="n"/>
      <c r="AF84" s="4" t="n"/>
      <c r="AH84">
        <f>IFERROR(INDEX(EqTag,_xlfn.AGGREGATE(15,6,(ROW(EqTag)-4)/((EqSys=$D$3)*(EqTag&lt;&gt;"")),ROWS($AH$14:AH84))),"")</f>
        <v/>
      </c>
    </row>
    <row r="85">
      <c r="A85" s="20">
        <f>IF(F85="","",LEFT($D$3,3)&amp;"-"&amp;TEXT(COUNTIF(F$14:F85,"?*"),"00"))</f>
        <v/>
      </c>
      <c r="B85" s="4" t="n"/>
      <c r="C85" s="5">
        <f>IF(B85="","",IFERROR(INDEX(EqTypeCol,MATCH(B85,EqTag,0)),"Tag not in register"))</f>
        <v/>
      </c>
      <c r="D85" s="4" t="n"/>
      <c r="E85" s="4" t="n"/>
      <c r="F85" s="4" t="n"/>
      <c r="G85" s="4" t="n"/>
      <c r="H85" s="4" t="n"/>
      <c r="I85" s="4" t="n"/>
      <c r="J85" s="5">
        <f>_xlfn.TEXTJOIN(CHAR(10),TRUE,IF(G85="","","• "&amp;G85),IF(H85="","","• "&amp;H85),IF(I85="","","• "&amp;I85))</f>
        <v/>
      </c>
      <c r="K85" s="4" t="n"/>
      <c r="L85" s="4" t="n"/>
      <c r="M85" s="4" t="n"/>
      <c r="N85" s="16" t="n"/>
      <c r="O85" s="4" t="n"/>
      <c r="P85" s="16" t="n"/>
      <c r="Q85" s="4" t="n"/>
      <c r="R85" s="16" t="n"/>
      <c r="S85" s="20">
        <f>IF(OR(N85="",P85="",R85=""),"",(--TRIM(LEFT(N85,2)))*(--TRIM(LEFT(P85,2)))*(--TRIM(LEFT(R85,2))))</f>
        <v/>
      </c>
      <c r="T85" s="20">
        <f>IF(OR(N85="",P85="",R85=""),"",INDEX(APGrid,COUNTIF(APS,"&gt;"&amp;(--TRIM(LEFT(N85,2))))*5+COUNTIF(APO,"&gt;"&amp;(--TRIM(LEFT(P85,2))))+1,COUNTIF(APD,"&gt;"&amp;(--TRIM(LEFT(R85,2))))+1))</f>
        <v/>
      </c>
      <c r="U85" s="20">
        <f>IF(S85="","",IF(OR((--TRIM(LEFT(N85,2)))&gt;=SThr,S85&gt;=RPNThr,T85="H"),"Yes","No"))</f>
        <v/>
      </c>
      <c r="V85" s="4" t="n"/>
      <c r="W85" s="4" t="n"/>
      <c r="X85" s="4" t="n"/>
      <c r="Y85" s="29" t="n"/>
      <c r="Z85" s="16" t="n"/>
      <c r="AA85" s="16" t="n"/>
      <c r="AB85" s="16" t="n"/>
      <c r="AC85" s="20">
        <f>IF(OR(Z85="",AA85="",AB85=""),"",(--TRIM(LEFT(Z85,2)))*(--TRIM(LEFT(AA85,2)))*(--TRIM(LEFT(AB85,2))))</f>
        <v/>
      </c>
      <c r="AD85" s="20">
        <f>IF(OR(Z85="",AA85="",AB85=""),"",INDEX(APGrid,COUNTIF(APS,"&gt;"&amp;(--TRIM(LEFT(Z85,2))))*5+COUNTIF(APO,"&gt;"&amp;(--TRIM(LEFT(AA85,2))))+1,COUNTIF(APD,"&gt;"&amp;(--TRIM(LEFT(AB85,2))))+1))</f>
        <v/>
      </c>
      <c r="AE85" s="4" t="n"/>
      <c r="AF85" s="4" t="n"/>
      <c r="AH85">
        <f>IFERROR(INDEX(EqTag,_xlfn.AGGREGATE(15,6,(ROW(EqTag)-4)/((EqSys=$D$3)*(EqTag&lt;&gt;"")),ROWS($AH$14:AH85))),"")</f>
        <v/>
      </c>
    </row>
    <row r="86">
      <c r="A86" s="20">
        <f>IF(F86="","",LEFT($D$3,3)&amp;"-"&amp;TEXT(COUNTIF(F$14:F86,"?*"),"00"))</f>
        <v/>
      </c>
      <c r="B86" s="4" t="n"/>
      <c r="C86" s="5">
        <f>IF(B86="","",IFERROR(INDEX(EqTypeCol,MATCH(B86,EqTag,0)),"Tag not in register"))</f>
        <v/>
      </c>
      <c r="D86" s="4" t="n"/>
      <c r="E86" s="4" t="n"/>
      <c r="F86" s="4" t="n"/>
      <c r="G86" s="4" t="n"/>
      <c r="H86" s="4" t="n"/>
      <c r="I86" s="4" t="n"/>
      <c r="J86" s="5">
        <f>_xlfn.TEXTJOIN(CHAR(10),TRUE,IF(G86="","","• "&amp;G86),IF(H86="","","• "&amp;H86),IF(I86="","","• "&amp;I86))</f>
        <v/>
      </c>
      <c r="K86" s="4" t="n"/>
      <c r="L86" s="4" t="n"/>
      <c r="M86" s="4" t="n"/>
      <c r="N86" s="16" t="n"/>
      <c r="O86" s="4" t="n"/>
      <c r="P86" s="16" t="n"/>
      <c r="Q86" s="4" t="n"/>
      <c r="R86" s="16" t="n"/>
      <c r="S86" s="20">
        <f>IF(OR(N86="",P86="",R86=""),"",(--TRIM(LEFT(N86,2)))*(--TRIM(LEFT(P86,2)))*(--TRIM(LEFT(R86,2))))</f>
        <v/>
      </c>
      <c r="T86" s="20">
        <f>IF(OR(N86="",P86="",R86=""),"",INDEX(APGrid,COUNTIF(APS,"&gt;"&amp;(--TRIM(LEFT(N86,2))))*5+COUNTIF(APO,"&gt;"&amp;(--TRIM(LEFT(P86,2))))+1,COUNTIF(APD,"&gt;"&amp;(--TRIM(LEFT(R86,2))))+1))</f>
        <v/>
      </c>
      <c r="U86" s="20">
        <f>IF(S86="","",IF(OR((--TRIM(LEFT(N86,2)))&gt;=SThr,S86&gt;=RPNThr,T86="H"),"Yes","No"))</f>
        <v/>
      </c>
      <c r="V86" s="4" t="n"/>
      <c r="W86" s="4" t="n"/>
      <c r="X86" s="4" t="n"/>
      <c r="Y86" s="29" t="n"/>
      <c r="Z86" s="16" t="n"/>
      <c r="AA86" s="16" t="n"/>
      <c r="AB86" s="16" t="n"/>
      <c r="AC86" s="20">
        <f>IF(OR(Z86="",AA86="",AB86=""),"",(--TRIM(LEFT(Z86,2)))*(--TRIM(LEFT(AA86,2)))*(--TRIM(LEFT(AB86,2))))</f>
        <v/>
      </c>
      <c r="AD86" s="20">
        <f>IF(OR(Z86="",AA86="",AB86=""),"",INDEX(APGrid,COUNTIF(APS,"&gt;"&amp;(--TRIM(LEFT(Z86,2))))*5+COUNTIF(APO,"&gt;"&amp;(--TRIM(LEFT(AA86,2))))+1,COUNTIF(APD,"&gt;"&amp;(--TRIM(LEFT(AB86,2))))+1))</f>
        <v/>
      </c>
      <c r="AE86" s="4" t="n"/>
      <c r="AF86" s="4" t="n"/>
      <c r="AH86">
        <f>IFERROR(INDEX(EqTag,_xlfn.AGGREGATE(15,6,(ROW(EqTag)-4)/((EqSys=$D$3)*(EqTag&lt;&gt;"")),ROWS($AH$14:AH86))),"")</f>
        <v/>
      </c>
    </row>
    <row r="87">
      <c r="A87" s="20">
        <f>IF(F87="","",LEFT($D$3,3)&amp;"-"&amp;TEXT(COUNTIF(F$14:F87,"?*"),"00"))</f>
        <v/>
      </c>
      <c r="B87" s="4" t="n"/>
      <c r="C87" s="5">
        <f>IF(B87="","",IFERROR(INDEX(EqTypeCol,MATCH(B87,EqTag,0)),"Tag not in register"))</f>
        <v/>
      </c>
      <c r="D87" s="4" t="n"/>
      <c r="E87" s="4" t="n"/>
      <c r="F87" s="4" t="n"/>
      <c r="G87" s="4" t="n"/>
      <c r="H87" s="4" t="n"/>
      <c r="I87" s="4" t="n"/>
      <c r="J87" s="5">
        <f>_xlfn.TEXTJOIN(CHAR(10),TRUE,IF(G87="","","• "&amp;G87),IF(H87="","","• "&amp;H87),IF(I87="","","• "&amp;I87))</f>
        <v/>
      </c>
      <c r="K87" s="4" t="n"/>
      <c r="L87" s="4" t="n"/>
      <c r="M87" s="4" t="n"/>
      <c r="N87" s="16" t="n"/>
      <c r="O87" s="4" t="n"/>
      <c r="P87" s="16" t="n"/>
      <c r="Q87" s="4" t="n"/>
      <c r="R87" s="16" t="n"/>
      <c r="S87" s="20">
        <f>IF(OR(N87="",P87="",R87=""),"",(--TRIM(LEFT(N87,2)))*(--TRIM(LEFT(P87,2)))*(--TRIM(LEFT(R87,2))))</f>
        <v/>
      </c>
      <c r="T87" s="20">
        <f>IF(OR(N87="",P87="",R87=""),"",INDEX(APGrid,COUNTIF(APS,"&gt;"&amp;(--TRIM(LEFT(N87,2))))*5+COUNTIF(APO,"&gt;"&amp;(--TRIM(LEFT(P87,2))))+1,COUNTIF(APD,"&gt;"&amp;(--TRIM(LEFT(R87,2))))+1))</f>
        <v/>
      </c>
      <c r="U87" s="20">
        <f>IF(S87="","",IF(OR((--TRIM(LEFT(N87,2)))&gt;=SThr,S87&gt;=RPNThr,T87="H"),"Yes","No"))</f>
        <v/>
      </c>
      <c r="V87" s="4" t="n"/>
      <c r="W87" s="4" t="n"/>
      <c r="X87" s="4" t="n"/>
      <c r="Y87" s="29" t="n"/>
      <c r="Z87" s="16" t="n"/>
      <c r="AA87" s="16" t="n"/>
      <c r="AB87" s="16" t="n"/>
      <c r="AC87" s="20">
        <f>IF(OR(Z87="",AA87="",AB87=""),"",(--TRIM(LEFT(Z87,2)))*(--TRIM(LEFT(AA87,2)))*(--TRIM(LEFT(AB87,2))))</f>
        <v/>
      </c>
      <c r="AD87" s="20">
        <f>IF(OR(Z87="",AA87="",AB87=""),"",INDEX(APGrid,COUNTIF(APS,"&gt;"&amp;(--TRIM(LEFT(Z87,2))))*5+COUNTIF(APO,"&gt;"&amp;(--TRIM(LEFT(AA87,2))))+1,COUNTIF(APD,"&gt;"&amp;(--TRIM(LEFT(AB87,2))))+1))</f>
        <v/>
      </c>
      <c r="AE87" s="4" t="n"/>
      <c r="AF87" s="4" t="n"/>
      <c r="AH87">
        <f>IFERROR(INDEX(EqTag,_xlfn.AGGREGATE(15,6,(ROW(EqTag)-4)/((EqSys=$D$3)*(EqTag&lt;&gt;"")),ROWS($AH$14:AH87))),"")</f>
        <v/>
      </c>
    </row>
    <row r="88">
      <c r="A88" s="20">
        <f>IF(F88="","",LEFT($D$3,3)&amp;"-"&amp;TEXT(COUNTIF(F$14:F88,"?*"),"00"))</f>
        <v/>
      </c>
      <c r="B88" s="4" t="n"/>
      <c r="C88" s="5">
        <f>IF(B88="","",IFERROR(INDEX(EqTypeCol,MATCH(B88,EqTag,0)),"Tag not in register"))</f>
        <v/>
      </c>
      <c r="D88" s="4" t="n"/>
      <c r="E88" s="4" t="n"/>
      <c r="F88" s="4" t="n"/>
      <c r="G88" s="4" t="n"/>
      <c r="H88" s="4" t="n"/>
      <c r="I88" s="4" t="n"/>
      <c r="J88" s="5">
        <f>_xlfn.TEXTJOIN(CHAR(10),TRUE,IF(G88="","","• "&amp;G88),IF(H88="","","• "&amp;H88),IF(I88="","","• "&amp;I88))</f>
        <v/>
      </c>
      <c r="K88" s="4" t="n"/>
      <c r="L88" s="4" t="n"/>
      <c r="M88" s="4" t="n"/>
      <c r="N88" s="16" t="n"/>
      <c r="O88" s="4" t="n"/>
      <c r="P88" s="16" t="n"/>
      <c r="Q88" s="4" t="n"/>
      <c r="R88" s="16" t="n"/>
      <c r="S88" s="20">
        <f>IF(OR(N88="",P88="",R88=""),"",(--TRIM(LEFT(N88,2)))*(--TRIM(LEFT(P88,2)))*(--TRIM(LEFT(R88,2))))</f>
        <v/>
      </c>
      <c r="T88" s="20">
        <f>IF(OR(N88="",P88="",R88=""),"",INDEX(APGrid,COUNTIF(APS,"&gt;"&amp;(--TRIM(LEFT(N88,2))))*5+COUNTIF(APO,"&gt;"&amp;(--TRIM(LEFT(P88,2))))+1,COUNTIF(APD,"&gt;"&amp;(--TRIM(LEFT(R88,2))))+1))</f>
        <v/>
      </c>
      <c r="U88" s="20">
        <f>IF(S88="","",IF(OR((--TRIM(LEFT(N88,2)))&gt;=SThr,S88&gt;=RPNThr,T88="H"),"Yes","No"))</f>
        <v/>
      </c>
      <c r="V88" s="4" t="n"/>
      <c r="W88" s="4" t="n"/>
      <c r="X88" s="4" t="n"/>
      <c r="Y88" s="29" t="n"/>
      <c r="Z88" s="16" t="n"/>
      <c r="AA88" s="16" t="n"/>
      <c r="AB88" s="16" t="n"/>
      <c r="AC88" s="20">
        <f>IF(OR(Z88="",AA88="",AB88=""),"",(--TRIM(LEFT(Z88,2)))*(--TRIM(LEFT(AA88,2)))*(--TRIM(LEFT(AB88,2))))</f>
        <v/>
      </c>
      <c r="AD88" s="20">
        <f>IF(OR(Z88="",AA88="",AB88=""),"",INDEX(APGrid,COUNTIF(APS,"&gt;"&amp;(--TRIM(LEFT(Z88,2))))*5+COUNTIF(APO,"&gt;"&amp;(--TRIM(LEFT(AA88,2))))+1,COUNTIF(APD,"&gt;"&amp;(--TRIM(LEFT(AB88,2))))+1))</f>
        <v/>
      </c>
      <c r="AE88" s="4" t="n"/>
      <c r="AF88" s="4" t="n"/>
      <c r="AH88">
        <f>IFERROR(INDEX(EqTag,_xlfn.AGGREGATE(15,6,(ROW(EqTag)-4)/((EqSys=$D$3)*(EqTag&lt;&gt;"")),ROWS($AH$14:AH88))),"")</f>
        <v/>
      </c>
    </row>
    <row r="89">
      <c r="A89" s="20">
        <f>IF(F89="","",LEFT($D$3,3)&amp;"-"&amp;TEXT(COUNTIF(F$14:F89,"?*"),"00"))</f>
        <v/>
      </c>
      <c r="B89" s="4" t="n"/>
      <c r="C89" s="5">
        <f>IF(B89="","",IFERROR(INDEX(EqTypeCol,MATCH(B89,EqTag,0)),"Tag not in register"))</f>
        <v/>
      </c>
      <c r="D89" s="4" t="n"/>
      <c r="E89" s="4" t="n"/>
      <c r="F89" s="4" t="n"/>
      <c r="G89" s="4" t="n"/>
      <c r="H89" s="4" t="n"/>
      <c r="I89" s="4" t="n"/>
      <c r="J89" s="5">
        <f>_xlfn.TEXTJOIN(CHAR(10),TRUE,IF(G89="","","• "&amp;G89),IF(H89="","","• "&amp;H89),IF(I89="","","• "&amp;I89))</f>
        <v/>
      </c>
      <c r="K89" s="4" t="n"/>
      <c r="L89" s="4" t="n"/>
      <c r="M89" s="4" t="n"/>
      <c r="N89" s="16" t="n"/>
      <c r="O89" s="4" t="n"/>
      <c r="P89" s="16" t="n"/>
      <c r="Q89" s="4" t="n"/>
      <c r="R89" s="16" t="n"/>
      <c r="S89" s="20">
        <f>IF(OR(N89="",P89="",R89=""),"",(--TRIM(LEFT(N89,2)))*(--TRIM(LEFT(P89,2)))*(--TRIM(LEFT(R89,2))))</f>
        <v/>
      </c>
      <c r="T89" s="20">
        <f>IF(OR(N89="",P89="",R89=""),"",INDEX(APGrid,COUNTIF(APS,"&gt;"&amp;(--TRIM(LEFT(N89,2))))*5+COUNTIF(APO,"&gt;"&amp;(--TRIM(LEFT(P89,2))))+1,COUNTIF(APD,"&gt;"&amp;(--TRIM(LEFT(R89,2))))+1))</f>
        <v/>
      </c>
      <c r="U89" s="20">
        <f>IF(S89="","",IF(OR((--TRIM(LEFT(N89,2)))&gt;=SThr,S89&gt;=RPNThr,T89="H"),"Yes","No"))</f>
        <v/>
      </c>
      <c r="V89" s="4" t="n"/>
      <c r="W89" s="4" t="n"/>
      <c r="X89" s="4" t="n"/>
      <c r="Y89" s="29" t="n"/>
      <c r="Z89" s="16" t="n"/>
      <c r="AA89" s="16" t="n"/>
      <c r="AB89" s="16" t="n"/>
      <c r="AC89" s="20">
        <f>IF(OR(Z89="",AA89="",AB89=""),"",(--TRIM(LEFT(Z89,2)))*(--TRIM(LEFT(AA89,2)))*(--TRIM(LEFT(AB89,2))))</f>
        <v/>
      </c>
      <c r="AD89" s="20">
        <f>IF(OR(Z89="",AA89="",AB89=""),"",INDEX(APGrid,COUNTIF(APS,"&gt;"&amp;(--TRIM(LEFT(Z89,2))))*5+COUNTIF(APO,"&gt;"&amp;(--TRIM(LEFT(AA89,2))))+1,COUNTIF(APD,"&gt;"&amp;(--TRIM(LEFT(AB89,2))))+1))</f>
        <v/>
      </c>
      <c r="AE89" s="4" t="n"/>
      <c r="AF89" s="4" t="n"/>
      <c r="AH89">
        <f>IFERROR(INDEX(EqTag,_xlfn.AGGREGATE(15,6,(ROW(EqTag)-4)/((EqSys=$D$3)*(EqTag&lt;&gt;"")),ROWS($AH$14:AH89))),"")</f>
        <v/>
      </c>
    </row>
    <row r="90">
      <c r="A90" s="20">
        <f>IF(F90="","",LEFT($D$3,3)&amp;"-"&amp;TEXT(COUNTIF(F$14:F90,"?*"),"00"))</f>
        <v/>
      </c>
      <c r="B90" s="4" t="n"/>
      <c r="C90" s="5">
        <f>IF(B90="","",IFERROR(INDEX(EqTypeCol,MATCH(B90,EqTag,0)),"Tag not in register"))</f>
        <v/>
      </c>
      <c r="D90" s="4" t="n"/>
      <c r="E90" s="4" t="n"/>
      <c r="F90" s="4" t="n"/>
      <c r="G90" s="4" t="n"/>
      <c r="H90" s="4" t="n"/>
      <c r="I90" s="4" t="n"/>
      <c r="J90" s="5">
        <f>_xlfn.TEXTJOIN(CHAR(10),TRUE,IF(G90="","","• "&amp;G90),IF(H90="","","• "&amp;H90),IF(I90="","","• "&amp;I90))</f>
        <v/>
      </c>
      <c r="K90" s="4" t="n"/>
      <c r="L90" s="4" t="n"/>
      <c r="M90" s="4" t="n"/>
      <c r="N90" s="16" t="n"/>
      <c r="O90" s="4" t="n"/>
      <c r="P90" s="16" t="n"/>
      <c r="Q90" s="4" t="n"/>
      <c r="R90" s="16" t="n"/>
      <c r="S90" s="20">
        <f>IF(OR(N90="",P90="",R90=""),"",(--TRIM(LEFT(N90,2)))*(--TRIM(LEFT(P90,2)))*(--TRIM(LEFT(R90,2))))</f>
        <v/>
      </c>
      <c r="T90" s="20">
        <f>IF(OR(N90="",P90="",R90=""),"",INDEX(APGrid,COUNTIF(APS,"&gt;"&amp;(--TRIM(LEFT(N90,2))))*5+COUNTIF(APO,"&gt;"&amp;(--TRIM(LEFT(P90,2))))+1,COUNTIF(APD,"&gt;"&amp;(--TRIM(LEFT(R90,2))))+1))</f>
        <v/>
      </c>
      <c r="U90" s="20">
        <f>IF(S90="","",IF(OR((--TRIM(LEFT(N90,2)))&gt;=SThr,S90&gt;=RPNThr,T90="H"),"Yes","No"))</f>
        <v/>
      </c>
      <c r="V90" s="4" t="n"/>
      <c r="W90" s="4" t="n"/>
      <c r="X90" s="4" t="n"/>
      <c r="Y90" s="29" t="n"/>
      <c r="Z90" s="16" t="n"/>
      <c r="AA90" s="16" t="n"/>
      <c r="AB90" s="16" t="n"/>
      <c r="AC90" s="20">
        <f>IF(OR(Z90="",AA90="",AB90=""),"",(--TRIM(LEFT(Z90,2)))*(--TRIM(LEFT(AA90,2)))*(--TRIM(LEFT(AB90,2))))</f>
        <v/>
      </c>
      <c r="AD90" s="20">
        <f>IF(OR(Z90="",AA90="",AB90=""),"",INDEX(APGrid,COUNTIF(APS,"&gt;"&amp;(--TRIM(LEFT(Z90,2))))*5+COUNTIF(APO,"&gt;"&amp;(--TRIM(LEFT(AA90,2))))+1,COUNTIF(APD,"&gt;"&amp;(--TRIM(LEFT(AB90,2))))+1))</f>
        <v/>
      </c>
      <c r="AE90" s="4" t="n"/>
      <c r="AF90" s="4" t="n"/>
      <c r="AH90">
        <f>IFERROR(INDEX(EqTag,_xlfn.AGGREGATE(15,6,(ROW(EqTag)-4)/((EqSys=$D$3)*(EqTag&lt;&gt;"")),ROWS($AH$14:AH90))),"")</f>
        <v/>
      </c>
    </row>
    <row r="91">
      <c r="A91" s="20">
        <f>IF(F91="","",LEFT($D$3,3)&amp;"-"&amp;TEXT(COUNTIF(F$14:F91,"?*"),"00"))</f>
        <v/>
      </c>
      <c r="B91" s="4" t="n"/>
      <c r="C91" s="5">
        <f>IF(B91="","",IFERROR(INDEX(EqTypeCol,MATCH(B91,EqTag,0)),"Tag not in register"))</f>
        <v/>
      </c>
      <c r="D91" s="4" t="n"/>
      <c r="E91" s="4" t="n"/>
      <c r="F91" s="4" t="n"/>
      <c r="G91" s="4" t="n"/>
      <c r="H91" s="4" t="n"/>
      <c r="I91" s="4" t="n"/>
      <c r="J91" s="5">
        <f>_xlfn.TEXTJOIN(CHAR(10),TRUE,IF(G91="","","• "&amp;G91),IF(H91="","","• "&amp;H91),IF(I91="","","• "&amp;I91))</f>
        <v/>
      </c>
      <c r="K91" s="4" t="n"/>
      <c r="L91" s="4" t="n"/>
      <c r="M91" s="4" t="n"/>
      <c r="N91" s="16" t="n"/>
      <c r="O91" s="4" t="n"/>
      <c r="P91" s="16" t="n"/>
      <c r="Q91" s="4" t="n"/>
      <c r="R91" s="16" t="n"/>
      <c r="S91" s="20">
        <f>IF(OR(N91="",P91="",R91=""),"",(--TRIM(LEFT(N91,2)))*(--TRIM(LEFT(P91,2)))*(--TRIM(LEFT(R91,2))))</f>
        <v/>
      </c>
      <c r="T91" s="20">
        <f>IF(OR(N91="",P91="",R91=""),"",INDEX(APGrid,COUNTIF(APS,"&gt;"&amp;(--TRIM(LEFT(N91,2))))*5+COUNTIF(APO,"&gt;"&amp;(--TRIM(LEFT(P91,2))))+1,COUNTIF(APD,"&gt;"&amp;(--TRIM(LEFT(R91,2))))+1))</f>
        <v/>
      </c>
      <c r="U91" s="20">
        <f>IF(S91="","",IF(OR((--TRIM(LEFT(N91,2)))&gt;=SThr,S91&gt;=RPNThr,T91="H"),"Yes","No"))</f>
        <v/>
      </c>
      <c r="V91" s="4" t="n"/>
      <c r="W91" s="4" t="n"/>
      <c r="X91" s="4" t="n"/>
      <c r="Y91" s="29" t="n"/>
      <c r="Z91" s="16" t="n"/>
      <c r="AA91" s="16" t="n"/>
      <c r="AB91" s="16" t="n"/>
      <c r="AC91" s="20">
        <f>IF(OR(Z91="",AA91="",AB91=""),"",(--TRIM(LEFT(Z91,2)))*(--TRIM(LEFT(AA91,2)))*(--TRIM(LEFT(AB91,2))))</f>
        <v/>
      </c>
      <c r="AD91" s="20">
        <f>IF(OR(Z91="",AA91="",AB91=""),"",INDEX(APGrid,COUNTIF(APS,"&gt;"&amp;(--TRIM(LEFT(Z91,2))))*5+COUNTIF(APO,"&gt;"&amp;(--TRIM(LEFT(AA91,2))))+1,COUNTIF(APD,"&gt;"&amp;(--TRIM(LEFT(AB91,2))))+1))</f>
        <v/>
      </c>
      <c r="AE91" s="4" t="n"/>
      <c r="AF91" s="4" t="n"/>
      <c r="AH91">
        <f>IFERROR(INDEX(EqTag,_xlfn.AGGREGATE(15,6,(ROW(EqTag)-4)/((EqSys=$D$3)*(EqTag&lt;&gt;"")),ROWS($AH$14:AH91))),"")</f>
        <v/>
      </c>
    </row>
    <row r="92">
      <c r="A92" s="20">
        <f>IF(F92="","",LEFT($D$3,3)&amp;"-"&amp;TEXT(COUNTIF(F$14:F92,"?*"),"00"))</f>
        <v/>
      </c>
      <c r="B92" s="4" t="n"/>
      <c r="C92" s="5">
        <f>IF(B92="","",IFERROR(INDEX(EqTypeCol,MATCH(B92,EqTag,0)),"Tag not in register"))</f>
        <v/>
      </c>
      <c r="D92" s="4" t="n"/>
      <c r="E92" s="4" t="n"/>
      <c r="F92" s="4" t="n"/>
      <c r="G92" s="4" t="n"/>
      <c r="H92" s="4" t="n"/>
      <c r="I92" s="4" t="n"/>
      <c r="J92" s="5">
        <f>_xlfn.TEXTJOIN(CHAR(10),TRUE,IF(G92="","","• "&amp;G92),IF(H92="","","• "&amp;H92),IF(I92="","","• "&amp;I92))</f>
        <v/>
      </c>
      <c r="K92" s="4" t="n"/>
      <c r="L92" s="4" t="n"/>
      <c r="M92" s="4" t="n"/>
      <c r="N92" s="16" t="n"/>
      <c r="O92" s="4" t="n"/>
      <c r="P92" s="16" t="n"/>
      <c r="Q92" s="4" t="n"/>
      <c r="R92" s="16" t="n"/>
      <c r="S92" s="20">
        <f>IF(OR(N92="",P92="",R92=""),"",(--TRIM(LEFT(N92,2)))*(--TRIM(LEFT(P92,2)))*(--TRIM(LEFT(R92,2))))</f>
        <v/>
      </c>
      <c r="T92" s="20">
        <f>IF(OR(N92="",P92="",R92=""),"",INDEX(APGrid,COUNTIF(APS,"&gt;"&amp;(--TRIM(LEFT(N92,2))))*5+COUNTIF(APO,"&gt;"&amp;(--TRIM(LEFT(P92,2))))+1,COUNTIF(APD,"&gt;"&amp;(--TRIM(LEFT(R92,2))))+1))</f>
        <v/>
      </c>
      <c r="U92" s="20">
        <f>IF(S92="","",IF(OR((--TRIM(LEFT(N92,2)))&gt;=SThr,S92&gt;=RPNThr,T92="H"),"Yes","No"))</f>
        <v/>
      </c>
      <c r="V92" s="4" t="n"/>
      <c r="W92" s="4" t="n"/>
      <c r="X92" s="4" t="n"/>
      <c r="Y92" s="29" t="n"/>
      <c r="Z92" s="16" t="n"/>
      <c r="AA92" s="16" t="n"/>
      <c r="AB92" s="16" t="n"/>
      <c r="AC92" s="20">
        <f>IF(OR(Z92="",AA92="",AB92=""),"",(--TRIM(LEFT(Z92,2)))*(--TRIM(LEFT(AA92,2)))*(--TRIM(LEFT(AB92,2))))</f>
        <v/>
      </c>
      <c r="AD92" s="20">
        <f>IF(OR(Z92="",AA92="",AB92=""),"",INDEX(APGrid,COUNTIF(APS,"&gt;"&amp;(--TRIM(LEFT(Z92,2))))*5+COUNTIF(APO,"&gt;"&amp;(--TRIM(LEFT(AA92,2))))+1,COUNTIF(APD,"&gt;"&amp;(--TRIM(LEFT(AB92,2))))+1))</f>
        <v/>
      </c>
      <c r="AE92" s="4" t="n"/>
      <c r="AF92" s="4" t="n"/>
      <c r="AH92">
        <f>IFERROR(INDEX(EqTag,_xlfn.AGGREGATE(15,6,(ROW(EqTag)-4)/((EqSys=$D$3)*(EqTag&lt;&gt;"")),ROWS($AH$14:AH92))),"")</f>
        <v/>
      </c>
    </row>
    <row r="93">
      <c r="A93" s="20">
        <f>IF(F93="","",LEFT($D$3,3)&amp;"-"&amp;TEXT(COUNTIF(F$14:F93,"?*"),"00"))</f>
        <v/>
      </c>
      <c r="B93" s="4" t="n"/>
      <c r="C93" s="5">
        <f>IF(B93="","",IFERROR(INDEX(EqTypeCol,MATCH(B93,EqTag,0)),"Tag not in register"))</f>
        <v/>
      </c>
      <c r="D93" s="4" t="n"/>
      <c r="E93" s="4" t="n"/>
      <c r="F93" s="4" t="n"/>
      <c r="G93" s="4" t="n"/>
      <c r="H93" s="4" t="n"/>
      <c r="I93" s="4" t="n"/>
      <c r="J93" s="5">
        <f>_xlfn.TEXTJOIN(CHAR(10),TRUE,IF(G93="","","• "&amp;G93),IF(H93="","","• "&amp;H93),IF(I93="","","• "&amp;I93))</f>
        <v/>
      </c>
      <c r="K93" s="4" t="n"/>
      <c r="L93" s="4" t="n"/>
      <c r="M93" s="4" t="n"/>
      <c r="N93" s="16" t="n"/>
      <c r="O93" s="4" t="n"/>
      <c r="P93" s="16" t="n"/>
      <c r="Q93" s="4" t="n"/>
      <c r="R93" s="16" t="n"/>
      <c r="S93" s="20">
        <f>IF(OR(N93="",P93="",R93=""),"",(--TRIM(LEFT(N93,2)))*(--TRIM(LEFT(P93,2)))*(--TRIM(LEFT(R93,2))))</f>
        <v/>
      </c>
      <c r="T93" s="20">
        <f>IF(OR(N93="",P93="",R93=""),"",INDEX(APGrid,COUNTIF(APS,"&gt;"&amp;(--TRIM(LEFT(N93,2))))*5+COUNTIF(APO,"&gt;"&amp;(--TRIM(LEFT(P93,2))))+1,COUNTIF(APD,"&gt;"&amp;(--TRIM(LEFT(R93,2))))+1))</f>
        <v/>
      </c>
      <c r="U93" s="20">
        <f>IF(S93="","",IF(OR((--TRIM(LEFT(N93,2)))&gt;=SThr,S93&gt;=RPNThr,T93="H"),"Yes","No"))</f>
        <v/>
      </c>
      <c r="V93" s="4" t="n"/>
      <c r="W93" s="4" t="n"/>
      <c r="X93" s="4" t="n"/>
      <c r="Y93" s="29" t="n"/>
      <c r="Z93" s="16" t="n"/>
      <c r="AA93" s="16" t="n"/>
      <c r="AB93" s="16" t="n"/>
      <c r="AC93" s="20">
        <f>IF(OR(Z93="",AA93="",AB93=""),"",(--TRIM(LEFT(Z93,2)))*(--TRIM(LEFT(AA93,2)))*(--TRIM(LEFT(AB93,2))))</f>
        <v/>
      </c>
      <c r="AD93" s="20">
        <f>IF(OR(Z93="",AA93="",AB93=""),"",INDEX(APGrid,COUNTIF(APS,"&gt;"&amp;(--TRIM(LEFT(Z93,2))))*5+COUNTIF(APO,"&gt;"&amp;(--TRIM(LEFT(AA93,2))))+1,COUNTIF(APD,"&gt;"&amp;(--TRIM(LEFT(AB93,2))))+1))</f>
        <v/>
      </c>
      <c r="AE93" s="4" t="n"/>
      <c r="AF93" s="4" t="n"/>
      <c r="AH93">
        <f>IFERROR(INDEX(EqTag,_xlfn.AGGREGATE(15,6,(ROW(EqTag)-4)/((EqSys=$D$3)*(EqTag&lt;&gt;"")),ROWS($AH$14:AH93))),"")</f>
        <v/>
      </c>
    </row>
    <row r="94">
      <c r="A94" s="20">
        <f>IF(F94="","",LEFT($D$3,3)&amp;"-"&amp;TEXT(COUNTIF(F$14:F94,"?*"),"00"))</f>
        <v/>
      </c>
      <c r="B94" s="4" t="n"/>
      <c r="C94" s="5">
        <f>IF(B94="","",IFERROR(INDEX(EqTypeCol,MATCH(B94,EqTag,0)),"Tag not in register"))</f>
        <v/>
      </c>
      <c r="D94" s="4" t="n"/>
      <c r="E94" s="4" t="n"/>
      <c r="F94" s="4" t="n"/>
      <c r="G94" s="4" t="n"/>
      <c r="H94" s="4" t="n"/>
      <c r="I94" s="4" t="n"/>
      <c r="J94" s="5">
        <f>_xlfn.TEXTJOIN(CHAR(10),TRUE,IF(G94="","","• "&amp;G94),IF(H94="","","• "&amp;H94),IF(I94="","","• "&amp;I94))</f>
        <v/>
      </c>
      <c r="K94" s="4" t="n"/>
      <c r="L94" s="4" t="n"/>
      <c r="M94" s="4" t="n"/>
      <c r="N94" s="16" t="n"/>
      <c r="O94" s="4" t="n"/>
      <c r="P94" s="16" t="n"/>
      <c r="Q94" s="4" t="n"/>
      <c r="R94" s="16" t="n"/>
      <c r="S94" s="20">
        <f>IF(OR(N94="",P94="",R94=""),"",(--TRIM(LEFT(N94,2)))*(--TRIM(LEFT(P94,2)))*(--TRIM(LEFT(R94,2))))</f>
        <v/>
      </c>
      <c r="T94" s="20">
        <f>IF(OR(N94="",P94="",R94=""),"",INDEX(APGrid,COUNTIF(APS,"&gt;"&amp;(--TRIM(LEFT(N94,2))))*5+COUNTIF(APO,"&gt;"&amp;(--TRIM(LEFT(P94,2))))+1,COUNTIF(APD,"&gt;"&amp;(--TRIM(LEFT(R94,2))))+1))</f>
        <v/>
      </c>
      <c r="U94" s="20">
        <f>IF(S94="","",IF(OR((--TRIM(LEFT(N94,2)))&gt;=SThr,S94&gt;=RPNThr,T94="H"),"Yes","No"))</f>
        <v/>
      </c>
      <c r="V94" s="4" t="n"/>
      <c r="W94" s="4" t="n"/>
      <c r="X94" s="4" t="n"/>
      <c r="Y94" s="29" t="n"/>
      <c r="Z94" s="16" t="n"/>
      <c r="AA94" s="16" t="n"/>
      <c r="AB94" s="16" t="n"/>
      <c r="AC94" s="20">
        <f>IF(OR(Z94="",AA94="",AB94=""),"",(--TRIM(LEFT(Z94,2)))*(--TRIM(LEFT(AA94,2)))*(--TRIM(LEFT(AB94,2))))</f>
        <v/>
      </c>
      <c r="AD94" s="20">
        <f>IF(OR(Z94="",AA94="",AB94=""),"",INDEX(APGrid,COUNTIF(APS,"&gt;"&amp;(--TRIM(LEFT(Z94,2))))*5+COUNTIF(APO,"&gt;"&amp;(--TRIM(LEFT(AA94,2))))+1,COUNTIF(APD,"&gt;"&amp;(--TRIM(LEFT(AB94,2))))+1))</f>
        <v/>
      </c>
      <c r="AE94" s="4" t="n"/>
      <c r="AF94" s="4" t="n"/>
      <c r="AH94">
        <f>IFERROR(INDEX(EqTag,_xlfn.AGGREGATE(15,6,(ROW(EqTag)-4)/((EqSys=$D$3)*(EqTag&lt;&gt;"")),ROWS($AH$14:AH94))),"")</f>
        <v/>
      </c>
    </row>
    <row r="95">
      <c r="A95" s="20">
        <f>IF(F95="","",LEFT($D$3,3)&amp;"-"&amp;TEXT(COUNTIF(F$14:F95,"?*"),"00"))</f>
        <v/>
      </c>
      <c r="B95" s="4" t="n"/>
      <c r="C95" s="5">
        <f>IF(B95="","",IFERROR(INDEX(EqTypeCol,MATCH(B95,EqTag,0)),"Tag not in register"))</f>
        <v/>
      </c>
      <c r="D95" s="4" t="n"/>
      <c r="E95" s="4" t="n"/>
      <c r="F95" s="4" t="n"/>
      <c r="G95" s="4" t="n"/>
      <c r="H95" s="4" t="n"/>
      <c r="I95" s="4" t="n"/>
      <c r="J95" s="5">
        <f>_xlfn.TEXTJOIN(CHAR(10),TRUE,IF(G95="","","• "&amp;G95),IF(H95="","","• "&amp;H95),IF(I95="","","• "&amp;I95))</f>
        <v/>
      </c>
      <c r="K95" s="4" t="n"/>
      <c r="L95" s="4" t="n"/>
      <c r="M95" s="4" t="n"/>
      <c r="N95" s="16" t="n"/>
      <c r="O95" s="4" t="n"/>
      <c r="P95" s="16" t="n"/>
      <c r="Q95" s="4" t="n"/>
      <c r="R95" s="16" t="n"/>
      <c r="S95" s="20">
        <f>IF(OR(N95="",P95="",R95=""),"",(--TRIM(LEFT(N95,2)))*(--TRIM(LEFT(P95,2)))*(--TRIM(LEFT(R95,2))))</f>
        <v/>
      </c>
      <c r="T95" s="20">
        <f>IF(OR(N95="",P95="",R95=""),"",INDEX(APGrid,COUNTIF(APS,"&gt;"&amp;(--TRIM(LEFT(N95,2))))*5+COUNTIF(APO,"&gt;"&amp;(--TRIM(LEFT(P95,2))))+1,COUNTIF(APD,"&gt;"&amp;(--TRIM(LEFT(R95,2))))+1))</f>
        <v/>
      </c>
      <c r="U95" s="20">
        <f>IF(S95="","",IF(OR((--TRIM(LEFT(N95,2)))&gt;=SThr,S95&gt;=RPNThr,T95="H"),"Yes","No"))</f>
        <v/>
      </c>
      <c r="V95" s="4" t="n"/>
      <c r="W95" s="4" t="n"/>
      <c r="X95" s="4" t="n"/>
      <c r="Y95" s="29" t="n"/>
      <c r="Z95" s="16" t="n"/>
      <c r="AA95" s="16" t="n"/>
      <c r="AB95" s="16" t="n"/>
      <c r="AC95" s="20">
        <f>IF(OR(Z95="",AA95="",AB95=""),"",(--TRIM(LEFT(Z95,2)))*(--TRIM(LEFT(AA95,2)))*(--TRIM(LEFT(AB95,2))))</f>
        <v/>
      </c>
      <c r="AD95" s="20">
        <f>IF(OR(Z95="",AA95="",AB95=""),"",INDEX(APGrid,COUNTIF(APS,"&gt;"&amp;(--TRIM(LEFT(Z95,2))))*5+COUNTIF(APO,"&gt;"&amp;(--TRIM(LEFT(AA95,2))))+1,COUNTIF(APD,"&gt;"&amp;(--TRIM(LEFT(AB95,2))))+1))</f>
        <v/>
      </c>
      <c r="AE95" s="4" t="n"/>
      <c r="AF95" s="4" t="n"/>
      <c r="AH95">
        <f>IFERROR(INDEX(EqTag,_xlfn.AGGREGATE(15,6,(ROW(EqTag)-4)/((EqSys=$D$3)*(EqTag&lt;&gt;"")),ROWS($AH$14:AH95))),"")</f>
        <v/>
      </c>
    </row>
    <row r="96">
      <c r="A96" s="20">
        <f>IF(F96="","",LEFT($D$3,3)&amp;"-"&amp;TEXT(COUNTIF(F$14:F96,"?*"),"00"))</f>
        <v/>
      </c>
      <c r="B96" s="4" t="n"/>
      <c r="C96" s="5">
        <f>IF(B96="","",IFERROR(INDEX(EqTypeCol,MATCH(B96,EqTag,0)),"Tag not in register"))</f>
        <v/>
      </c>
      <c r="D96" s="4" t="n"/>
      <c r="E96" s="4" t="n"/>
      <c r="F96" s="4" t="n"/>
      <c r="G96" s="4" t="n"/>
      <c r="H96" s="4" t="n"/>
      <c r="I96" s="4" t="n"/>
      <c r="J96" s="5">
        <f>_xlfn.TEXTJOIN(CHAR(10),TRUE,IF(G96="","","• "&amp;G96),IF(H96="","","• "&amp;H96),IF(I96="","","• "&amp;I96))</f>
        <v/>
      </c>
      <c r="K96" s="4" t="n"/>
      <c r="L96" s="4" t="n"/>
      <c r="M96" s="4" t="n"/>
      <c r="N96" s="16" t="n"/>
      <c r="O96" s="4" t="n"/>
      <c r="P96" s="16" t="n"/>
      <c r="Q96" s="4" t="n"/>
      <c r="R96" s="16" t="n"/>
      <c r="S96" s="20">
        <f>IF(OR(N96="",P96="",R96=""),"",(--TRIM(LEFT(N96,2)))*(--TRIM(LEFT(P96,2)))*(--TRIM(LEFT(R96,2))))</f>
        <v/>
      </c>
      <c r="T96" s="20">
        <f>IF(OR(N96="",P96="",R96=""),"",INDEX(APGrid,COUNTIF(APS,"&gt;"&amp;(--TRIM(LEFT(N96,2))))*5+COUNTIF(APO,"&gt;"&amp;(--TRIM(LEFT(P96,2))))+1,COUNTIF(APD,"&gt;"&amp;(--TRIM(LEFT(R96,2))))+1))</f>
        <v/>
      </c>
      <c r="U96" s="20">
        <f>IF(S96="","",IF(OR((--TRIM(LEFT(N96,2)))&gt;=SThr,S96&gt;=RPNThr,T96="H"),"Yes","No"))</f>
        <v/>
      </c>
      <c r="V96" s="4" t="n"/>
      <c r="W96" s="4" t="n"/>
      <c r="X96" s="4" t="n"/>
      <c r="Y96" s="29" t="n"/>
      <c r="Z96" s="16" t="n"/>
      <c r="AA96" s="16" t="n"/>
      <c r="AB96" s="16" t="n"/>
      <c r="AC96" s="20">
        <f>IF(OR(Z96="",AA96="",AB96=""),"",(--TRIM(LEFT(Z96,2)))*(--TRIM(LEFT(AA96,2)))*(--TRIM(LEFT(AB96,2))))</f>
        <v/>
      </c>
      <c r="AD96" s="20">
        <f>IF(OR(Z96="",AA96="",AB96=""),"",INDEX(APGrid,COUNTIF(APS,"&gt;"&amp;(--TRIM(LEFT(Z96,2))))*5+COUNTIF(APO,"&gt;"&amp;(--TRIM(LEFT(AA96,2))))+1,COUNTIF(APD,"&gt;"&amp;(--TRIM(LEFT(AB96,2))))+1))</f>
        <v/>
      </c>
      <c r="AE96" s="4" t="n"/>
      <c r="AF96" s="4" t="n"/>
      <c r="AH96">
        <f>IFERROR(INDEX(EqTag,_xlfn.AGGREGATE(15,6,(ROW(EqTag)-4)/((EqSys=$D$3)*(EqTag&lt;&gt;"")),ROWS($AH$14:AH96))),"")</f>
        <v/>
      </c>
    </row>
    <row r="97">
      <c r="A97" s="20">
        <f>IF(F97="","",LEFT($D$3,3)&amp;"-"&amp;TEXT(COUNTIF(F$14:F97,"?*"),"00"))</f>
        <v/>
      </c>
      <c r="B97" s="4" t="n"/>
      <c r="C97" s="5">
        <f>IF(B97="","",IFERROR(INDEX(EqTypeCol,MATCH(B97,EqTag,0)),"Tag not in register"))</f>
        <v/>
      </c>
      <c r="D97" s="4" t="n"/>
      <c r="E97" s="4" t="n"/>
      <c r="F97" s="4" t="n"/>
      <c r="G97" s="4" t="n"/>
      <c r="H97" s="4" t="n"/>
      <c r="I97" s="4" t="n"/>
      <c r="J97" s="5">
        <f>_xlfn.TEXTJOIN(CHAR(10),TRUE,IF(G97="","","• "&amp;G97),IF(H97="","","• "&amp;H97),IF(I97="","","• "&amp;I97))</f>
        <v/>
      </c>
      <c r="K97" s="4" t="n"/>
      <c r="L97" s="4" t="n"/>
      <c r="M97" s="4" t="n"/>
      <c r="N97" s="16" t="n"/>
      <c r="O97" s="4" t="n"/>
      <c r="P97" s="16" t="n"/>
      <c r="Q97" s="4" t="n"/>
      <c r="R97" s="16" t="n"/>
      <c r="S97" s="20">
        <f>IF(OR(N97="",P97="",R97=""),"",(--TRIM(LEFT(N97,2)))*(--TRIM(LEFT(P97,2)))*(--TRIM(LEFT(R97,2))))</f>
        <v/>
      </c>
      <c r="T97" s="20">
        <f>IF(OR(N97="",P97="",R97=""),"",INDEX(APGrid,COUNTIF(APS,"&gt;"&amp;(--TRIM(LEFT(N97,2))))*5+COUNTIF(APO,"&gt;"&amp;(--TRIM(LEFT(P97,2))))+1,COUNTIF(APD,"&gt;"&amp;(--TRIM(LEFT(R97,2))))+1))</f>
        <v/>
      </c>
      <c r="U97" s="20">
        <f>IF(S97="","",IF(OR((--TRIM(LEFT(N97,2)))&gt;=SThr,S97&gt;=RPNThr,T97="H"),"Yes","No"))</f>
        <v/>
      </c>
      <c r="V97" s="4" t="n"/>
      <c r="W97" s="4" t="n"/>
      <c r="X97" s="4" t="n"/>
      <c r="Y97" s="29" t="n"/>
      <c r="Z97" s="16" t="n"/>
      <c r="AA97" s="16" t="n"/>
      <c r="AB97" s="16" t="n"/>
      <c r="AC97" s="20">
        <f>IF(OR(Z97="",AA97="",AB97=""),"",(--TRIM(LEFT(Z97,2)))*(--TRIM(LEFT(AA97,2)))*(--TRIM(LEFT(AB97,2))))</f>
        <v/>
      </c>
      <c r="AD97" s="20">
        <f>IF(OR(Z97="",AA97="",AB97=""),"",INDEX(APGrid,COUNTIF(APS,"&gt;"&amp;(--TRIM(LEFT(Z97,2))))*5+COUNTIF(APO,"&gt;"&amp;(--TRIM(LEFT(AA97,2))))+1,COUNTIF(APD,"&gt;"&amp;(--TRIM(LEFT(AB97,2))))+1))</f>
        <v/>
      </c>
      <c r="AE97" s="4" t="n"/>
      <c r="AF97" s="4" t="n"/>
      <c r="AH97">
        <f>IFERROR(INDEX(EqTag,_xlfn.AGGREGATE(15,6,(ROW(EqTag)-4)/((EqSys=$D$3)*(EqTag&lt;&gt;"")),ROWS($AH$14:AH97))),"")</f>
        <v/>
      </c>
    </row>
    <row r="98">
      <c r="A98" s="20">
        <f>IF(F98="","",LEFT($D$3,3)&amp;"-"&amp;TEXT(COUNTIF(F$14:F98,"?*"),"00"))</f>
        <v/>
      </c>
      <c r="B98" s="4" t="n"/>
      <c r="C98" s="5">
        <f>IF(B98="","",IFERROR(INDEX(EqTypeCol,MATCH(B98,EqTag,0)),"Tag not in register"))</f>
        <v/>
      </c>
      <c r="D98" s="4" t="n"/>
      <c r="E98" s="4" t="n"/>
      <c r="F98" s="4" t="n"/>
      <c r="G98" s="4" t="n"/>
      <c r="H98" s="4" t="n"/>
      <c r="I98" s="4" t="n"/>
      <c r="J98" s="5">
        <f>_xlfn.TEXTJOIN(CHAR(10),TRUE,IF(G98="","","• "&amp;G98),IF(H98="","","• "&amp;H98),IF(I98="","","• "&amp;I98))</f>
        <v/>
      </c>
      <c r="K98" s="4" t="n"/>
      <c r="L98" s="4" t="n"/>
      <c r="M98" s="4" t="n"/>
      <c r="N98" s="16" t="n"/>
      <c r="O98" s="4" t="n"/>
      <c r="P98" s="16" t="n"/>
      <c r="Q98" s="4" t="n"/>
      <c r="R98" s="16" t="n"/>
      <c r="S98" s="20">
        <f>IF(OR(N98="",P98="",R98=""),"",(--TRIM(LEFT(N98,2)))*(--TRIM(LEFT(P98,2)))*(--TRIM(LEFT(R98,2))))</f>
        <v/>
      </c>
      <c r="T98" s="20">
        <f>IF(OR(N98="",P98="",R98=""),"",INDEX(APGrid,COUNTIF(APS,"&gt;"&amp;(--TRIM(LEFT(N98,2))))*5+COUNTIF(APO,"&gt;"&amp;(--TRIM(LEFT(P98,2))))+1,COUNTIF(APD,"&gt;"&amp;(--TRIM(LEFT(R98,2))))+1))</f>
        <v/>
      </c>
      <c r="U98" s="20">
        <f>IF(S98="","",IF(OR((--TRIM(LEFT(N98,2)))&gt;=SThr,S98&gt;=RPNThr,T98="H"),"Yes","No"))</f>
        <v/>
      </c>
      <c r="V98" s="4" t="n"/>
      <c r="W98" s="4" t="n"/>
      <c r="X98" s="4" t="n"/>
      <c r="Y98" s="29" t="n"/>
      <c r="Z98" s="16" t="n"/>
      <c r="AA98" s="16" t="n"/>
      <c r="AB98" s="16" t="n"/>
      <c r="AC98" s="20">
        <f>IF(OR(Z98="",AA98="",AB98=""),"",(--TRIM(LEFT(Z98,2)))*(--TRIM(LEFT(AA98,2)))*(--TRIM(LEFT(AB98,2))))</f>
        <v/>
      </c>
      <c r="AD98" s="20">
        <f>IF(OR(Z98="",AA98="",AB98=""),"",INDEX(APGrid,COUNTIF(APS,"&gt;"&amp;(--TRIM(LEFT(Z98,2))))*5+COUNTIF(APO,"&gt;"&amp;(--TRIM(LEFT(AA98,2))))+1,COUNTIF(APD,"&gt;"&amp;(--TRIM(LEFT(AB98,2))))+1))</f>
        <v/>
      </c>
      <c r="AE98" s="4" t="n"/>
      <c r="AF98" s="4" t="n"/>
      <c r="AH98">
        <f>IFERROR(INDEX(EqTag,_xlfn.AGGREGATE(15,6,(ROW(EqTag)-4)/((EqSys=$D$3)*(EqTag&lt;&gt;"")),ROWS($AH$14:AH98))),"")</f>
        <v/>
      </c>
    </row>
    <row r="99">
      <c r="A99" s="20">
        <f>IF(F99="","",LEFT($D$3,3)&amp;"-"&amp;TEXT(COUNTIF(F$14:F99,"?*"),"00"))</f>
        <v/>
      </c>
      <c r="B99" s="4" t="n"/>
      <c r="C99" s="5">
        <f>IF(B99="","",IFERROR(INDEX(EqTypeCol,MATCH(B99,EqTag,0)),"Tag not in register"))</f>
        <v/>
      </c>
      <c r="D99" s="4" t="n"/>
      <c r="E99" s="4" t="n"/>
      <c r="F99" s="4" t="n"/>
      <c r="G99" s="4" t="n"/>
      <c r="H99" s="4" t="n"/>
      <c r="I99" s="4" t="n"/>
      <c r="J99" s="5">
        <f>_xlfn.TEXTJOIN(CHAR(10),TRUE,IF(G99="","","• "&amp;G99),IF(H99="","","• "&amp;H99),IF(I99="","","• "&amp;I99))</f>
        <v/>
      </c>
      <c r="K99" s="4" t="n"/>
      <c r="L99" s="4" t="n"/>
      <c r="M99" s="4" t="n"/>
      <c r="N99" s="16" t="n"/>
      <c r="O99" s="4" t="n"/>
      <c r="P99" s="16" t="n"/>
      <c r="Q99" s="4" t="n"/>
      <c r="R99" s="16" t="n"/>
      <c r="S99" s="20">
        <f>IF(OR(N99="",P99="",R99=""),"",(--TRIM(LEFT(N99,2)))*(--TRIM(LEFT(P99,2)))*(--TRIM(LEFT(R99,2))))</f>
        <v/>
      </c>
      <c r="T99" s="20">
        <f>IF(OR(N99="",P99="",R99=""),"",INDEX(APGrid,COUNTIF(APS,"&gt;"&amp;(--TRIM(LEFT(N99,2))))*5+COUNTIF(APO,"&gt;"&amp;(--TRIM(LEFT(P99,2))))+1,COUNTIF(APD,"&gt;"&amp;(--TRIM(LEFT(R99,2))))+1))</f>
        <v/>
      </c>
      <c r="U99" s="20">
        <f>IF(S99="","",IF(OR((--TRIM(LEFT(N99,2)))&gt;=SThr,S99&gt;=RPNThr,T99="H"),"Yes","No"))</f>
        <v/>
      </c>
      <c r="V99" s="4" t="n"/>
      <c r="W99" s="4" t="n"/>
      <c r="X99" s="4" t="n"/>
      <c r="Y99" s="29" t="n"/>
      <c r="Z99" s="16" t="n"/>
      <c r="AA99" s="16" t="n"/>
      <c r="AB99" s="16" t="n"/>
      <c r="AC99" s="20">
        <f>IF(OR(Z99="",AA99="",AB99=""),"",(--TRIM(LEFT(Z99,2)))*(--TRIM(LEFT(AA99,2)))*(--TRIM(LEFT(AB99,2))))</f>
        <v/>
      </c>
      <c r="AD99" s="20">
        <f>IF(OR(Z99="",AA99="",AB99=""),"",INDEX(APGrid,COUNTIF(APS,"&gt;"&amp;(--TRIM(LEFT(Z99,2))))*5+COUNTIF(APO,"&gt;"&amp;(--TRIM(LEFT(AA99,2))))+1,COUNTIF(APD,"&gt;"&amp;(--TRIM(LEFT(AB99,2))))+1))</f>
        <v/>
      </c>
      <c r="AE99" s="4" t="n"/>
      <c r="AF99" s="4" t="n"/>
      <c r="AH99">
        <f>IFERROR(INDEX(EqTag,_xlfn.AGGREGATE(15,6,(ROW(EqTag)-4)/((EqSys=$D$3)*(EqTag&lt;&gt;"")),ROWS($AH$14:AH99))),"")</f>
        <v/>
      </c>
    </row>
    <row r="100">
      <c r="A100" s="20">
        <f>IF(F100="","",LEFT($D$3,3)&amp;"-"&amp;TEXT(COUNTIF(F$14:F100,"?*"),"00"))</f>
        <v/>
      </c>
      <c r="B100" s="4" t="n"/>
      <c r="C100" s="5">
        <f>IF(B100="","",IFERROR(INDEX(EqTypeCol,MATCH(B100,EqTag,0)),"Tag not in register"))</f>
        <v/>
      </c>
      <c r="D100" s="4" t="n"/>
      <c r="E100" s="4" t="n"/>
      <c r="F100" s="4" t="n"/>
      <c r="G100" s="4" t="n"/>
      <c r="H100" s="4" t="n"/>
      <c r="I100" s="4" t="n"/>
      <c r="J100" s="5">
        <f>_xlfn.TEXTJOIN(CHAR(10),TRUE,IF(G100="","","• "&amp;G100),IF(H100="","","• "&amp;H100),IF(I100="","","• "&amp;I100))</f>
        <v/>
      </c>
      <c r="K100" s="4" t="n"/>
      <c r="L100" s="4" t="n"/>
      <c r="M100" s="4" t="n"/>
      <c r="N100" s="16" t="n"/>
      <c r="O100" s="4" t="n"/>
      <c r="P100" s="16" t="n"/>
      <c r="Q100" s="4" t="n"/>
      <c r="R100" s="16" t="n"/>
      <c r="S100" s="20">
        <f>IF(OR(N100="",P100="",R100=""),"",(--TRIM(LEFT(N100,2)))*(--TRIM(LEFT(P100,2)))*(--TRIM(LEFT(R100,2))))</f>
        <v/>
      </c>
      <c r="T100" s="20">
        <f>IF(OR(N100="",P100="",R100=""),"",INDEX(APGrid,COUNTIF(APS,"&gt;"&amp;(--TRIM(LEFT(N100,2))))*5+COUNTIF(APO,"&gt;"&amp;(--TRIM(LEFT(P100,2))))+1,COUNTIF(APD,"&gt;"&amp;(--TRIM(LEFT(R100,2))))+1))</f>
        <v/>
      </c>
      <c r="U100" s="20">
        <f>IF(S100="","",IF(OR((--TRIM(LEFT(N100,2)))&gt;=SThr,S100&gt;=RPNThr,T100="H"),"Yes","No"))</f>
        <v/>
      </c>
      <c r="V100" s="4" t="n"/>
      <c r="W100" s="4" t="n"/>
      <c r="X100" s="4" t="n"/>
      <c r="Y100" s="29" t="n"/>
      <c r="Z100" s="16" t="n"/>
      <c r="AA100" s="16" t="n"/>
      <c r="AB100" s="16" t="n"/>
      <c r="AC100" s="20">
        <f>IF(OR(Z100="",AA100="",AB100=""),"",(--TRIM(LEFT(Z100,2)))*(--TRIM(LEFT(AA100,2)))*(--TRIM(LEFT(AB100,2))))</f>
        <v/>
      </c>
      <c r="AD100" s="20">
        <f>IF(OR(Z100="",AA100="",AB100=""),"",INDEX(APGrid,COUNTIF(APS,"&gt;"&amp;(--TRIM(LEFT(Z100,2))))*5+COUNTIF(APO,"&gt;"&amp;(--TRIM(LEFT(AA100,2))))+1,COUNTIF(APD,"&gt;"&amp;(--TRIM(LEFT(AB100,2))))+1))</f>
        <v/>
      </c>
      <c r="AE100" s="4" t="n"/>
      <c r="AF100" s="4" t="n"/>
      <c r="AH100">
        <f>IFERROR(INDEX(EqTag,_xlfn.AGGREGATE(15,6,(ROW(EqTag)-4)/((EqSys=$D$3)*(EqTag&lt;&gt;"")),ROWS($AH$14:AH100))),"")</f>
        <v/>
      </c>
    </row>
    <row r="101">
      <c r="A101" s="20">
        <f>IF(F101="","",LEFT($D$3,3)&amp;"-"&amp;TEXT(COUNTIF(F$14:F101,"?*"),"00"))</f>
        <v/>
      </c>
      <c r="B101" s="4" t="n"/>
      <c r="C101" s="5">
        <f>IF(B101="","",IFERROR(INDEX(EqTypeCol,MATCH(B101,EqTag,0)),"Tag not in register"))</f>
        <v/>
      </c>
      <c r="D101" s="4" t="n"/>
      <c r="E101" s="4" t="n"/>
      <c r="F101" s="4" t="n"/>
      <c r="G101" s="4" t="n"/>
      <c r="H101" s="4" t="n"/>
      <c r="I101" s="4" t="n"/>
      <c r="J101" s="5">
        <f>_xlfn.TEXTJOIN(CHAR(10),TRUE,IF(G101="","","• "&amp;G101),IF(H101="","","• "&amp;H101),IF(I101="","","• "&amp;I101))</f>
        <v/>
      </c>
      <c r="K101" s="4" t="n"/>
      <c r="L101" s="4" t="n"/>
      <c r="M101" s="4" t="n"/>
      <c r="N101" s="16" t="n"/>
      <c r="O101" s="4" t="n"/>
      <c r="P101" s="16" t="n"/>
      <c r="Q101" s="4" t="n"/>
      <c r="R101" s="16" t="n"/>
      <c r="S101" s="20">
        <f>IF(OR(N101="",P101="",R101=""),"",(--TRIM(LEFT(N101,2)))*(--TRIM(LEFT(P101,2)))*(--TRIM(LEFT(R101,2))))</f>
        <v/>
      </c>
      <c r="T101" s="20">
        <f>IF(OR(N101="",P101="",R101=""),"",INDEX(APGrid,COUNTIF(APS,"&gt;"&amp;(--TRIM(LEFT(N101,2))))*5+COUNTIF(APO,"&gt;"&amp;(--TRIM(LEFT(P101,2))))+1,COUNTIF(APD,"&gt;"&amp;(--TRIM(LEFT(R101,2))))+1))</f>
        <v/>
      </c>
      <c r="U101" s="20">
        <f>IF(S101="","",IF(OR((--TRIM(LEFT(N101,2)))&gt;=SThr,S101&gt;=RPNThr,T101="H"),"Yes","No"))</f>
        <v/>
      </c>
      <c r="V101" s="4" t="n"/>
      <c r="W101" s="4" t="n"/>
      <c r="X101" s="4" t="n"/>
      <c r="Y101" s="29" t="n"/>
      <c r="Z101" s="16" t="n"/>
      <c r="AA101" s="16" t="n"/>
      <c r="AB101" s="16" t="n"/>
      <c r="AC101" s="20">
        <f>IF(OR(Z101="",AA101="",AB101=""),"",(--TRIM(LEFT(Z101,2)))*(--TRIM(LEFT(AA101,2)))*(--TRIM(LEFT(AB101,2))))</f>
        <v/>
      </c>
      <c r="AD101" s="20">
        <f>IF(OR(Z101="",AA101="",AB101=""),"",INDEX(APGrid,COUNTIF(APS,"&gt;"&amp;(--TRIM(LEFT(Z101,2))))*5+COUNTIF(APO,"&gt;"&amp;(--TRIM(LEFT(AA101,2))))+1,COUNTIF(APD,"&gt;"&amp;(--TRIM(LEFT(AB101,2))))+1))</f>
        <v/>
      </c>
      <c r="AE101" s="4" t="n"/>
      <c r="AF101" s="4" t="n"/>
      <c r="AH101">
        <f>IFERROR(INDEX(EqTag,_xlfn.AGGREGATE(15,6,(ROW(EqTag)-4)/((EqSys=$D$3)*(EqTag&lt;&gt;"")),ROWS($AH$14:AH101))),"")</f>
        <v/>
      </c>
    </row>
    <row r="102">
      <c r="A102" s="20">
        <f>IF(F102="","",LEFT($D$3,3)&amp;"-"&amp;TEXT(COUNTIF(F$14:F102,"?*"),"00"))</f>
        <v/>
      </c>
      <c r="B102" s="4" t="n"/>
      <c r="C102" s="5">
        <f>IF(B102="","",IFERROR(INDEX(EqTypeCol,MATCH(B102,EqTag,0)),"Tag not in register"))</f>
        <v/>
      </c>
      <c r="D102" s="4" t="n"/>
      <c r="E102" s="4" t="n"/>
      <c r="F102" s="4" t="n"/>
      <c r="G102" s="4" t="n"/>
      <c r="H102" s="4" t="n"/>
      <c r="I102" s="4" t="n"/>
      <c r="J102" s="5">
        <f>_xlfn.TEXTJOIN(CHAR(10),TRUE,IF(G102="","","• "&amp;G102),IF(H102="","","• "&amp;H102),IF(I102="","","• "&amp;I102))</f>
        <v/>
      </c>
      <c r="K102" s="4" t="n"/>
      <c r="L102" s="4" t="n"/>
      <c r="M102" s="4" t="n"/>
      <c r="N102" s="16" t="n"/>
      <c r="O102" s="4" t="n"/>
      <c r="P102" s="16" t="n"/>
      <c r="Q102" s="4" t="n"/>
      <c r="R102" s="16" t="n"/>
      <c r="S102" s="20">
        <f>IF(OR(N102="",P102="",R102=""),"",(--TRIM(LEFT(N102,2)))*(--TRIM(LEFT(P102,2)))*(--TRIM(LEFT(R102,2))))</f>
        <v/>
      </c>
      <c r="T102" s="20">
        <f>IF(OR(N102="",P102="",R102=""),"",INDEX(APGrid,COUNTIF(APS,"&gt;"&amp;(--TRIM(LEFT(N102,2))))*5+COUNTIF(APO,"&gt;"&amp;(--TRIM(LEFT(P102,2))))+1,COUNTIF(APD,"&gt;"&amp;(--TRIM(LEFT(R102,2))))+1))</f>
        <v/>
      </c>
      <c r="U102" s="20">
        <f>IF(S102="","",IF(OR((--TRIM(LEFT(N102,2)))&gt;=SThr,S102&gt;=RPNThr,T102="H"),"Yes","No"))</f>
        <v/>
      </c>
      <c r="V102" s="4" t="n"/>
      <c r="W102" s="4" t="n"/>
      <c r="X102" s="4" t="n"/>
      <c r="Y102" s="29" t="n"/>
      <c r="Z102" s="16" t="n"/>
      <c r="AA102" s="16" t="n"/>
      <c r="AB102" s="16" t="n"/>
      <c r="AC102" s="20">
        <f>IF(OR(Z102="",AA102="",AB102=""),"",(--TRIM(LEFT(Z102,2)))*(--TRIM(LEFT(AA102,2)))*(--TRIM(LEFT(AB102,2))))</f>
        <v/>
      </c>
      <c r="AD102" s="20">
        <f>IF(OR(Z102="",AA102="",AB102=""),"",INDEX(APGrid,COUNTIF(APS,"&gt;"&amp;(--TRIM(LEFT(Z102,2))))*5+COUNTIF(APO,"&gt;"&amp;(--TRIM(LEFT(AA102,2))))+1,COUNTIF(APD,"&gt;"&amp;(--TRIM(LEFT(AB102,2))))+1))</f>
        <v/>
      </c>
      <c r="AE102" s="4" t="n"/>
      <c r="AF102" s="4" t="n"/>
      <c r="AH102">
        <f>IFERROR(INDEX(EqTag,_xlfn.AGGREGATE(15,6,(ROW(EqTag)-4)/((EqSys=$D$3)*(EqTag&lt;&gt;"")),ROWS($AH$14:AH102))),"")</f>
        <v/>
      </c>
    </row>
    <row r="103">
      <c r="A103" s="20">
        <f>IF(F103="","",LEFT($D$3,3)&amp;"-"&amp;TEXT(COUNTIF(F$14:F103,"?*"),"00"))</f>
        <v/>
      </c>
      <c r="B103" s="4" t="n"/>
      <c r="C103" s="5">
        <f>IF(B103="","",IFERROR(INDEX(EqTypeCol,MATCH(B103,EqTag,0)),"Tag not in register"))</f>
        <v/>
      </c>
      <c r="D103" s="4" t="n"/>
      <c r="E103" s="4" t="n"/>
      <c r="F103" s="4" t="n"/>
      <c r="G103" s="4" t="n"/>
      <c r="H103" s="4" t="n"/>
      <c r="I103" s="4" t="n"/>
      <c r="J103" s="5">
        <f>_xlfn.TEXTJOIN(CHAR(10),TRUE,IF(G103="","","• "&amp;G103),IF(H103="","","• "&amp;H103),IF(I103="","","• "&amp;I103))</f>
        <v/>
      </c>
      <c r="K103" s="4" t="n"/>
      <c r="L103" s="4" t="n"/>
      <c r="M103" s="4" t="n"/>
      <c r="N103" s="16" t="n"/>
      <c r="O103" s="4" t="n"/>
      <c r="P103" s="16" t="n"/>
      <c r="Q103" s="4" t="n"/>
      <c r="R103" s="16" t="n"/>
      <c r="S103" s="20">
        <f>IF(OR(N103="",P103="",R103=""),"",(--TRIM(LEFT(N103,2)))*(--TRIM(LEFT(P103,2)))*(--TRIM(LEFT(R103,2))))</f>
        <v/>
      </c>
      <c r="T103" s="20">
        <f>IF(OR(N103="",P103="",R103=""),"",INDEX(APGrid,COUNTIF(APS,"&gt;"&amp;(--TRIM(LEFT(N103,2))))*5+COUNTIF(APO,"&gt;"&amp;(--TRIM(LEFT(P103,2))))+1,COUNTIF(APD,"&gt;"&amp;(--TRIM(LEFT(R103,2))))+1))</f>
        <v/>
      </c>
      <c r="U103" s="20">
        <f>IF(S103="","",IF(OR((--TRIM(LEFT(N103,2)))&gt;=SThr,S103&gt;=RPNThr,T103="H"),"Yes","No"))</f>
        <v/>
      </c>
      <c r="V103" s="4" t="n"/>
      <c r="W103" s="4" t="n"/>
      <c r="X103" s="4" t="n"/>
      <c r="Y103" s="29" t="n"/>
      <c r="Z103" s="16" t="n"/>
      <c r="AA103" s="16" t="n"/>
      <c r="AB103" s="16" t="n"/>
      <c r="AC103" s="20">
        <f>IF(OR(Z103="",AA103="",AB103=""),"",(--TRIM(LEFT(Z103,2)))*(--TRIM(LEFT(AA103,2)))*(--TRIM(LEFT(AB103,2))))</f>
        <v/>
      </c>
      <c r="AD103" s="20">
        <f>IF(OR(Z103="",AA103="",AB103=""),"",INDEX(APGrid,COUNTIF(APS,"&gt;"&amp;(--TRIM(LEFT(Z103,2))))*5+COUNTIF(APO,"&gt;"&amp;(--TRIM(LEFT(AA103,2))))+1,COUNTIF(APD,"&gt;"&amp;(--TRIM(LEFT(AB103,2))))+1))</f>
        <v/>
      </c>
      <c r="AE103" s="4" t="n"/>
      <c r="AF103" s="4" t="n"/>
      <c r="AH103">
        <f>IFERROR(INDEX(EqTag,_xlfn.AGGREGATE(15,6,(ROW(EqTag)-4)/((EqSys=$D$3)*(EqTag&lt;&gt;"")),ROWS($AH$14:AH103))),"")</f>
        <v/>
      </c>
    </row>
    <row r="104">
      <c r="A104" s="20">
        <f>IF(F104="","",LEFT($D$3,3)&amp;"-"&amp;TEXT(COUNTIF(F$14:F104,"?*"),"00"))</f>
        <v/>
      </c>
      <c r="B104" s="4" t="n"/>
      <c r="C104" s="5">
        <f>IF(B104="","",IFERROR(INDEX(EqTypeCol,MATCH(B104,EqTag,0)),"Tag not in register"))</f>
        <v/>
      </c>
      <c r="D104" s="4" t="n"/>
      <c r="E104" s="4" t="n"/>
      <c r="F104" s="4" t="n"/>
      <c r="G104" s="4" t="n"/>
      <c r="H104" s="4" t="n"/>
      <c r="I104" s="4" t="n"/>
      <c r="J104" s="5">
        <f>_xlfn.TEXTJOIN(CHAR(10),TRUE,IF(G104="","","• "&amp;G104),IF(H104="","","• "&amp;H104),IF(I104="","","• "&amp;I104))</f>
        <v/>
      </c>
      <c r="K104" s="4" t="n"/>
      <c r="L104" s="4" t="n"/>
      <c r="M104" s="4" t="n"/>
      <c r="N104" s="16" t="n"/>
      <c r="O104" s="4" t="n"/>
      <c r="P104" s="16" t="n"/>
      <c r="Q104" s="4" t="n"/>
      <c r="R104" s="16" t="n"/>
      <c r="S104" s="20">
        <f>IF(OR(N104="",P104="",R104=""),"",(--TRIM(LEFT(N104,2)))*(--TRIM(LEFT(P104,2)))*(--TRIM(LEFT(R104,2))))</f>
        <v/>
      </c>
      <c r="T104" s="20">
        <f>IF(OR(N104="",P104="",R104=""),"",INDEX(APGrid,COUNTIF(APS,"&gt;"&amp;(--TRIM(LEFT(N104,2))))*5+COUNTIF(APO,"&gt;"&amp;(--TRIM(LEFT(P104,2))))+1,COUNTIF(APD,"&gt;"&amp;(--TRIM(LEFT(R104,2))))+1))</f>
        <v/>
      </c>
      <c r="U104" s="20">
        <f>IF(S104="","",IF(OR((--TRIM(LEFT(N104,2)))&gt;=SThr,S104&gt;=RPNThr,T104="H"),"Yes","No"))</f>
        <v/>
      </c>
      <c r="V104" s="4" t="n"/>
      <c r="W104" s="4" t="n"/>
      <c r="X104" s="4" t="n"/>
      <c r="Y104" s="29" t="n"/>
      <c r="Z104" s="16" t="n"/>
      <c r="AA104" s="16" t="n"/>
      <c r="AB104" s="16" t="n"/>
      <c r="AC104" s="20">
        <f>IF(OR(Z104="",AA104="",AB104=""),"",(--TRIM(LEFT(Z104,2)))*(--TRIM(LEFT(AA104,2)))*(--TRIM(LEFT(AB104,2))))</f>
        <v/>
      </c>
      <c r="AD104" s="20">
        <f>IF(OR(Z104="",AA104="",AB104=""),"",INDEX(APGrid,COUNTIF(APS,"&gt;"&amp;(--TRIM(LEFT(Z104,2))))*5+COUNTIF(APO,"&gt;"&amp;(--TRIM(LEFT(AA104,2))))+1,COUNTIF(APD,"&gt;"&amp;(--TRIM(LEFT(AB104,2))))+1))</f>
        <v/>
      </c>
      <c r="AE104" s="4" t="n"/>
      <c r="AF104" s="4" t="n"/>
      <c r="AH104">
        <f>IFERROR(INDEX(EqTag,_xlfn.AGGREGATE(15,6,(ROW(EqTag)-4)/((EqSys=$D$3)*(EqTag&lt;&gt;"")),ROWS($AH$14:AH104))),"")</f>
        <v/>
      </c>
    </row>
    <row r="105">
      <c r="A105" s="20">
        <f>IF(F105="","",LEFT($D$3,3)&amp;"-"&amp;TEXT(COUNTIF(F$14:F105,"?*"),"00"))</f>
        <v/>
      </c>
      <c r="B105" s="4" t="n"/>
      <c r="C105" s="5">
        <f>IF(B105="","",IFERROR(INDEX(EqTypeCol,MATCH(B105,EqTag,0)),"Tag not in register"))</f>
        <v/>
      </c>
      <c r="D105" s="4" t="n"/>
      <c r="E105" s="4" t="n"/>
      <c r="F105" s="4" t="n"/>
      <c r="G105" s="4" t="n"/>
      <c r="H105" s="4" t="n"/>
      <c r="I105" s="4" t="n"/>
      <c r="J105" s="5">
        <f>_xlfn.TEXTJOIN(CHAR(10),TRUE,IF(G105="","","• "&amp;G105),IF(H105="","","• "&amp;H105),IF(I105="","","• "&amp;I105))</f>
        <v/>
      </c>
      <c r="K105" s="4" t="n"/>
      <c r="L105" s="4" t="n"/>
      <c r="M105" s="4" t="n"/>
      <c r="N105" s="16" t="n"/>
      <c r="O105" s="4" t="n"/>
      <c r="P105" s="16" t="n"/>
      <c r="Q105" s="4" t="n"/>
      <c r="R105" s="16" t="n"/>
      <c r="S105" s="20">
        <f>IF(OR(N105="",P105="",R105=""),"",(--TRIM(LEFT(N105,2)))*(--TRIM(LEFT(P105,2)))*(--TRIM(LEFT(R105,2))))</f>
        <v/>
      </c>
      <c r="T105" s="20">
        <f>IF(OR(N105="",P105="",R105=""),"",INDEX(APGrid,COUNTIF(APS,"&gt;"&amp;(--TRIM(LEFT(N105,2))))*5+COUNTIF(APO,"&gt;"&amp;(--TRIM(LEFT(P105,2))))+1,COUNTIF(APD,"&gt;"&amp;(--TRIM(LEFT(R105,2))))+1))</f>
        <v/>
      </c>
      <c r="U105" s="20">
        <f>IF(S105="","",IF(OR((--TRIM(LEFT(N105,2)))&gt;=SThr,S105&gt;=RPNThr,T105="H"),"Yes","No"))</f>
        <v/>
      </c>
      <c r="V105" s="4" t="n"/>
      <c r="W105" s="4" t="n"/>
      <c r="X105" s="4" t="n"/>
      <c r="Y105" s="29" t="n"/>
      <c r="Z105" s="16" t="n"/>
      <c r="AA105" s="16" t="n"/>
      <c r="AB105" s="16" t="n"/>
      <c r="AC105" s="20">
        <f>IF(OR(Z105="",AA105="",AB105=""),"",(--TRIM(LEFT(Z105,2)))*(--TRIM(LEFT(AA105,2)))*(--TRIM(LEFT(AB105,2))))</f>
        <v/>
      </c>
      <c r="AD105" s="20">
        <f>IF(OR(Z105="",AA105="",AB105=""),"",INDEX(APGrid,COUNTIF(APS,"&gt;"&amp;(--TRIM(LEFT(Z105,2))))*5+COUNTIF(APO,"&gt;"&amp;(--TRIM(LEFT(AA105,2))))+1,COUNTIF(APD,"&gt;"&amp;(--TRIM(LEFT(AB105,2))))+1))</f>
        <v/>
      </c>
      <c r="AE105" s="4" t="n"/>
      <c r="AF105" s="4" t="n"/>
      <c r="AH105">
        <f>IFERROR(INDEX(EqTag,_xlfn.AGGREGATE(15,6,(ROW(EqTag)-4)/((EqSys=$D$3)*(EqTag&lt;&gt;"")),ROWS($AH$14:AH105))),"")</f>
        <v/>
      </c>
    </row>
    <row r="106">
      <c r="A106" s="20">
        <f>IF(F106="","",LEFT($D$3,3)&amp;"-"&amp;TEXT(COUNTIF(F$14:F106,"?*"),"00"))</f>
        <v/>
      </c>
      <c r="B106" s="4" t="n"/>
      <c r="C106" s="5">
        <f>IF(B106="","",IFERROR(INDEX(EqTypeCol,MATCH(B106,EqTag,0)),"Tag not in register"))</f>
        <v/>
      </c>
      <c r="D106" s="4" t="n"/>
      <c r="E106" s="4" t="n"/>
      <c r="F106" s="4" t="n"/>
      <c r="G106" s="4" t="n"/>
      <c r="H106" s="4" t="n"/>
      <c r="I106" s="4" t="n"/>
      <c r="J106" s="5">
        <f>_xlfn.TEXTJOIN(CHAR(10),TRUE,IF(G106="","","• "&amp;G106),IF(H106="","","• "&amp;H106),IF(I106="","","• "&amp;I106))</f>
        <v/>
      </c>
      <c r="K106" s="4" t="n"/>
      <c r="L106" s="4" t="n"/>
      <c r="M106" s="4" t="n"/>
      <c r="N106" s="16" t="n"/>
      <c r="O106" s="4" t="n"/>
      <c r="P106" s="16" t="n"/>
      <c r="Q106" s="4" t="n"/>
      <c r="R106" s="16" t="n"/>
      <c r="S106" s="20">
        <f>IF(OR(N106="",P106="",R106=""),"",(--TRIM(LEFT(N106,2)))*(--TRIM(LEFT(P106,2)))*(--TRIM(LEFT(R106,2))))</f>
        <v/>
      </c>
      <c r="T106" s="20">
        <f>IF(OR(N106="",P106="",R106=""),"",INDEX(APGrid,COUNTIF(APS,"&gt;"&amp;(--TRIM(LEFT(N106,2))))*5+COUNTIF(APO,"&gt;"&amp;(--TRIM(LEFT(P106,2))))+1,COUNTIF(APD,"&gt;"&amp;(--TRIM(LEFT(R106,2))))+1))</f>
        <v/>
      </c>
      <c r="U106" s="20">
        <f>IF(S106="","",IF(OR((--TRIM(LEFT(N106,2)))&gt;=SThr,S106&gt;=RPNThr,T106="H"),"Yes","No"))</f>
        <v/>
      </c>
      <c r="V106" s="4" t="n"/>
      <c r="W106" s="4" t="n"/>
      <c r="X106" s="4" t="n"/>
      <c r="Y106" s="29" t="n"/>
      <c r="Z106" s="16" t="n"/>
      <c r="AA106" s="16" t="n"/>
      <c r="AB106" s="16" t="n"/>
      <c r="AC106" s="20">
        <f>IF(OR(Z106="",AA106="",AB106=""),"",(--TRIM(LEFT(Z106,2)))*(--TRIM(LEFT(AA106,2)))*(--TRIM(LEFT(AB106,2))))</f>
        <v/>
      </c>
      <c r="AD106" s="20">
        <f>IF(OR(Z106="",AA106="",AB106=""),"",INDEX(APGrid,COUNTIF(APS,"&gt;"&amp;(--TRIM(LEFT(Z106,2))))*5+COUNTIF(APO,"&gt;"&amp;(--TRIM(LEFT(AA106,2))))+1,COUNTIF(APD,"&gt;"&amp;(--TRIM(LEFT(AB106,2))))+1))</f>
        <v/>
      </c>
      <c r="AE106" s="4" t="n"/>
      <c r="AF106" s="4" t="n"/>
      <c r="AH106">
        <f>IFERROR(INDEX(EqTag,_xlfn.AGGREGATE(15,6,(ROW(EqTag)-4)/((EqSys=$D$3)*(EqTag&lt;&gt;"")),ROWS($AH$14:AH106))),"")</f>
        <v/>
      </c>
    </row>
    <row r="107">
      <c r="A107" s="20">
        <f>IF(F107="","",LEFT($D$3,3)&amp;"-"&amp;TEXT(COUNTIF(F$14:F107,"?*"),"00"))</f>
        <v/>
      </c>
      <c r="B107" s="4" t="n"/>
      <c r="C107" s="5">
        <f>IF(B107="","",IFERROR(INDEX(EqTypeCol,MATCH(B107,EqTag,0)),"Tag not in register"))</f>
        <v/>
      </c>
      <c r="D107" s="4" t="n"/>
      <c r="E107" s="4" t="n"/>
      <c r="F107" s="4" t="n"/>
      <c r="G107" s="4" t="n"/>
      <c r="H107" s="4" t="n"/>
      <c r="I107" s="4" t="n"/>
      <c r="J107" s="5">
        <f>_xlfn.TEXTJOIN(CHAR(10),TRUE,IF(G107="","","• "&amp;G107),IF(H107="","","• "&amp;H107),IF(I107="","","• "&amp;I107))</f>
        <v/>
      </c>
      <c r="K107" s="4" t="n"/>
      <c r="L107" s="4" t="n"/>
      <c r="M107" s="4" t="n"/>
      <c r="N107" s="16" t="n"/>
      <c r="O107" s="4" t="n"/>
      <c r="P107" s="16" t="n"/>
      <c r="Q107" s="4" t="n"/>
      <c r="R107" s="16" t="n"/>
      <c r="S107" s="20">
        <f>IF(OR(N107="",P107="",R107=""),"",(--TRIM(LEFT(N107,2)))*(--TRIM(LEFT(P107,2)))*(--TRIM(LEFT(R107,2))))</f>
        <v/>
      </c>
      <c r="T107" s="20">
        <f>IF(OR(N107="",P107="",R107=""),"",INDEX(APGrid,COUNTIF(APS,"&gt;"&amp;(--TRIM(LEFT(N107,2))))*5+COUNTIF(APO,"&gt;"&amp;(--TRIM(LEFT(P107,2))))+1,COUNTIF(APD,"&gt;"&amp;(--TRIM(LEFT(R107,2))))+1))</f>
        <v/>
      </c>
      <c r="U107" s="20">
        <f>IF(S107="","",IF(OR((--TRIM(LEFT(N107,2)))&gt;=SThr,S107&gt;=RPNThr,T107="H"),"Yes","No"))</f>
        <v/>
      </c>
      <c r="V107" s="4" t="n"/>
      <c r="W107" s="4" t="n"/>
      <c r="X107" s="4" t="n"/>
      <c r="Y107" s="29" t="n"/>
      <c r="Z107" s="16" t="n"/>
      <c r="AA107" s="16" t="n"/>
      <c r="AB107" s="16" t="n"/>
      <c r="AC107" s="20">
        <f>IF(OR(Z107="",AA107="",AB107=""),"",(--TRIM(LEFT(Z107,2)))*(--TRIM(LEFT(AA107,2)))*(--TRIM(LEFT(AB107,2))))</f>
        <v/>
      </c>
      <c r="AD107" s="20">
        <f>IF(OR(Z107="",AA107="",AB107=""),"",INDEX(APGrid,COUNTIF(APS,"&gt;"&amp;(--TRIM(LEFT(Z107,2))))*5+COUNTIF(APO,"&gt;"&amp;(--TRIM(LEFT(AA107,2))))+1,COUNTIF(APD,"&gt;"&amp;(--TRIM(LEFT(AB107,2))))+1))</f>
        <v/>
      </c>
      <c r="AE107" s="4" t="n"/>
      <c r="AF107" s="4" t="n"/>
      <c r="AH107">
        <f>IFERROR(INDEX(EqTag,_xlfn.AGGREGATE(15,6,(ROW(EqTag)-4)/((EqSys=$D$3)*(EqTag&lt;&gt;"")),ROWS($AH$14:AH107))),"")</f>
        <v/>
      </c>
    </row>
    <row r="108">
      <c r="A108" s="20">
        <f>IF(F108="","",LEFT($D$3,3)&amp;"-"&amp;TEXT(COUNTIF(F$14:F108,"?*"),"00"))</f>
        <v/>
      </c>
      <c r="B108" s="4" t="n"/>
      <c r="C108" s="5">
        <f>IF(B108="","",IFERROR(INDEX(EqTypeCol,MATCH(B108,EqTag,0)),"Tag not in register"))</f>
        <v/>
      </c>
      <c r="D108" s="4" t="n"/>
      <c r="E108" s="4" t="n"/>
      <c r="F108" s="4" t="n"/>
      <c r="G108" s="4" t="n"/>
      <c r="H108" s="4" t="n"/>
      <c r="I108" s="4" t="n"/>
      <c r="J108" s="5">
        <f>_xlfn.TEXTJOIN(CHAR(10),TRUE,IF(G108="","","• "&amp;G108),IF(H108="","","• "&amp;H108),IF(I108="","","• "&amp;I108))</f>
        <v/>
      </c>
      <c r="K108" s="4" t="n"/>
      <c r="L108" s="4" t="n"/>
      <c r="M108" s="4" t="n"/>
      <c r="N108" s="16" t="n"/>
      <c r="O108" s="4" t="n"/>
      <c r="P108" s="16" t="n"/>
      <c r="Q108" s="4" t="n"/>
      <c r="R108" s="16" t="n"/>
      <c r="S108" s="20">
        <f>IF(OR(N108="",P108="",R108=""),"",(--TRIM(LEFT(N108,2)))*(--TRIM(LEFT(P108,2)))*(--TRIM(LEFT(R108,2))))</f>
        <v/>
      </c>
      <c r="T108" s="20">
        <f>IF(OR(N108="",P108="",R108=""),"",INDEX(APGrid,COUNTIF(APS,"&gt;"&amp;(--TRIM(LEFT(N108,2))))*5+COUNTIF(APO,"&gt;"&amp;(--TRIM(LEFT(P108,2))))+1,COUNTIF(APD,"&gt;"&amp;(--TRIM(LEFT(R108,2))))+1))</f>
        <v/>
      </c>
      <c r="U108" s="20">
        <f>IF(S108="","",IF(OR((--TRIM(LEFT(N108,2)))&gt;=SThr,S108&gt;=RPNThr,T108="H"),"Yes","No"))</f>
        <v/>
      </c>
      <c r="V108" s="4" t="n"/>
      <c r="W108" s="4" t="n"/>
      <c r="X108" s="4" t="n"/>
      <c r="Y108" s="29" t="n"/>
      <c r="Z108" s="16" t="n"/>
      <c r="AA108" s="16" t="n"/>
      <c r="AB108" s="16" t="n"/>
      <c r="AC108" s="20">
        <f>IF(OR(Z108="",AA108="",AB108=""),"",(--TRIM(LEFT(Z108,2)))*(--TRIM(LEFT(AA108,2)))*(--TRIM(LEFT(AB108,2))))</f>
        <v/>
      </c>
      <c r="AD108" s="20">
        <f>IF(OR(Z108="",AA108="",AB108=""),"",INDEX(APGrid,COUNTIF(APS,"&gt;"&amp;(--TRIM(LEFT(Z108,2))))*5+COUNTIF(APO,"&gt;"&amp;(--TRIM(LEFT(AA108,2))))+1,COUNTIF(APD,"&gt;"&amp;(--TRIM(LEFT(AB108,2))))+1))</f>
        <v/>
      </c>
      <c r="AE108" s="4" t="n"/>
      <c r="AF108" s="4" t="n"/>
      <c r="AH108">
        <f>IFERROR(INDEX(EqTag,_xlfn.AGGREGATE(15,6,(ROW(EqTag)-4)/((EqSys=$D$3)*(EqTag&lt;&gt;"")),ROWS($AH$14:AH108))),"")</f>
        <v/>
      </c>
    </row>
    <row r="109">
      <c r="A109" s="20">
        <f>IF(F109="","",LEFT($D$3,3)&amp;"-"&amp;TEXT(COUNTIF(F$14:F109,"?*"),"00"))</f>
        <v/>
      </c>
      <c r="B109" s="4" t="n"/>
      <c r="C109" s="5">
        <f>IF(B109="","",IFERROR(INDEX(EqTypeCol,MATCH(B109,EqTag,0)),"Tag not in register"))</f>
        <v/>
      </c>
      <c r="D109" s="4" t="n"/>
      <c r="E109" s="4" t="n"/>
      <c r="F109" s="4" t="n"/>
      <c r="G109" s="4" t="n"/>
      <c r="H109" s="4" t="n"/>
      <c r="I109" s="4" t="n"/>
      <c r="J109" s="5">
        <f>_xlfn.TEXTJOIN(CHAR(10),TRUE,IF(G109="","","• "&amp;G109),IF(H109="","","• "&amp;H109),IF(I109="","","• "&amp;I109))</f>
        <v/>
      </c>
      <c r="K109" s="4" t="n"/>
      <c r="L109" s="4" t="n"/>
      <c r="M109" s="4" t="n"/>
      <c r="N109" s="16" t="n"/>
      <c r="O109" s="4" t="n"/>
      <c r="P109" s="16" t="n"/>
      <c r="Q109" s="4" t="n"/>
      <c r="R109" s="16" t="n"/>
      <c r="S109" s="20">
        <f>IF(OR(N109="",P109="",R109=""),"",(--TRIM(LEFT(N109,2)))*(--TRIM(LEFT(P109,2)))*(--TRIM(LEFT(R109,2))))</f>
        <v/>
      </c>
      <c r="T109" s="20">
        <f>IF(OR(N109="",P109="",R109=""),"",INDEX(APGrid,COUNTIF(APS,"&gt;"&amp;(--TRIM(LEFT(N109,2))))*5+COUNTIF(APO,"&gt;"&amp;(--TRIM(LEFT(P109,2))))+1,COUNTIF(APD,"&gt;"&amp;(--TRIM(LEFT(R109,2))))+1))</f>
        <v/>
      </c>
      <c r="U109" s="20">
        <f>IF(S109="","",IF(OR((--TRIM(LEFT(N109,2)))&gt;=SThr,S109&gt;=RPNThr,T109="H"),"Yes","No"))</f>
        <v/>
      </c>
      <c r="V109" s="4" t="n"/>
      <c r="W109" s="4" t="n"/>
      <c r="X109" s="4" t="n"/>
      <c r="Y109" s="29" t="n"/>
      <c r="Z109" s="16" t="n"/>
      <c r="AA109" s="16" t="n"/>
      <c r="AB109" s="16" t="n"/>
      <c r="AC109" s="20">
        <f>IF(OR(Z109="",AA109="",AB109=""),"",(--TRIM(LEFT(Z109,2)))*(--TRIM(LEFT(AA109,2)))*(--TRIM(LEFT(AB109,2))))</f>
        <v/>
      </c>
      <c r="AD109" s="20">
        <f>IF(OR(Z109="",AA109="",AB109=""),"",INDEX(APGrid,COUNTIF(APS,"&gt;"&amp;(--TRIM(LEFT(Z109,2))))*5+COUNTIF(APO,"&gt;"&amp;(--TRIM(LEFT(AA109,2))))+1,COUNTIF(APD,"&gt;"&amp;(--TRIM(LEFT(AB109,2))))+1))</f>
        <v/>
      </c>
      <c r="AE109" s="4" t="n"/>
      <c r="AF109" s="4" t="n"/>
      <c r="AH109">
        <f>IFERROR(INDEX(EqTag,_xlfn.AGGREGATE(15,6,(ROW(EqTag)-4)/((EqSys=$D$3)*(EqTag&lt;&gt;"")),ROWS($AH$14:AH109))),"")</f>
        <v/>
      </c>
    </row>
    <row r="110">
      <c r="A110" s="20">
        <f>IF(F110="","",LEFT($D$3,3)&amp;"-"&amp;TEXT(COUNTIF(F$14:F110,"?*"),"00"))</f>
        <v/>
      </c>
      <c r="B110" s="4" t="n"/>
      <c r="C110" s="5">
        <f>IF(B110="","",IFERROR(INDEX(EqTypeCol,MATCH(B110,EqTag,0)),"Tag not in register"))</f>
        <v/>
      </c>
      <c r="D110" s="4" t="n"/>
      <c r="E110" s="4" t="n"/>
      <c r="F110" s="4" t="n"/>
      <c r="G110" s="4" t="n"/>
      <c r="H110" s="4" t="n"/>
      <c r="I110" s="4" t="n"/>
      <c r="J110" s="5">
        <f>_xlfn.TEXTJOIN(CHAR(10),TRUE,IF(G110="","","• "&amp;G110),IF(H110="","","• "&amp;H110),IF(I110="","","• "&amp;I110))</f>
        <v/>
      </c>
      <c r="K110" s="4" t="n"/>
      <c r="L110" s="4" t="n"/>
      <c r="M110" s="4" t="n"/>
      <c r="N110" s="16" t="n"/>
      <c r="O110" s="4" t="n"/>
      <c r="P110" s="16" t="n"/>
      <c r="Q110" s="4" t="n"/>
      <c r="R110" s="16" t="n"/>
      <c r="S110" s="20">
        <f>IF(OR(N110="",P110="",R110=""),"",(--TRIM(LEFT(N110,2)))*(--TRIM(LEFT(P110,2)))*(--TRIM(LEFT(R110,2))))</f>
        <v/>
      </c>
      <c r="T110" s="20">
        <f>IF(OR(N110="",P110="",R110=""),"",INDEX(APGrid,COUNTIF(APS,"&gt;"&amp;(--TRIM(LEFT(N110,2))))*5+COUNTIF(APO,"&gt;"&amp;(--TRIM(LEFT(P110,2))))+1,COUNTIF(APD,"&gt;"&amp;(--TRIM(LEFT(R110,2))))+1))</f>
        <v/>
      </c>
      <c r="U110" s="20">
        <f>IF(S110="","",IF(OR((--TRIM(LEFT(N110,2)))&gt;=SThr,S110&gt;=RPNThr,T110="H"),"Yes","No"))</f>
        <v/>
      </c>
      <c r="V110" s="4" t="n"/>
      <c r="W110" s="4" t="n"/>
      <c r="X110" s="4" t="n"/>
      <c r="Y110" s="29" t="n"/>
      <c r="Z110" s="16" t="n"/>
      <c r="AA110" s="16" t="n"/>
      <c r="AB110" s="16" t="n"/>
      <c r="AC110" s="20">
        <f>IF(OR(Z110="",AA110="",AB110=""),"",(--TRIM(LEFT(Z110,2)))*(--TRIM(LEFT(AA110,2)))*(--TRIM(LEFT(AB110,2))))</f>
        <v/>
      </c>
      <c r="AD110" s="20">
        <f>IF(OR(Z110="",AA110="",AB110=""),"",INDEX(APGrid,COUNTIF(APS,"&gt;"&amp;(--TRIM(LEFT(Z110,2))))*5+COUNTIF(APO,"&gt;"&amp;(--TRIM(LEFT(AA110,2))))+1,COUNTIF(APD,"&gt;"&amp;(--TRIM(LEFT(AB110,2))))+1))</f>
        <v/>
      </c>
      <c r="AE110" s="4" t="n"/>
      <c r="AF110" s="4" t="n"/>
      <c r="AH110">
        <f>IFERROR(INDEX(EqTag,_xlfn.AGGREGATE(15,6,(ROW(EqTag)-4)/((EqSys=$D$3)*(EqTag&lt;&gt;"")),ROWS($AH$14:AH110))),"")</f>
        <v/>
      </c>
    </row>
    <row r="111">
      <c r="A111" s="20">
        <f>IF(F111="","",LEFT($D$3,3)&amp;"-"&amp;TEXT(COUNTIF(F$14:F111,"?*"),"00"))</f>
        <v/>
      </c>
      <c r="B111" s="4" t="n"/>
      <c r="C111" s="5">
        <f>IF(B111="","",IFERROR(INDEX(EqTypeCol,MATCH(B111,EqTag,0)),"Tag not in register"))</f>
        <v/>
      </c>
      <c r="D111" s="4" t="n"/>
      <c r="E111" s="4" t="n"/>
      <c r="F111" s="4" t="n"/>
      <c r="G111" s="4" t="n"/>
      <c r="H111" s="4" t="n"/>
      <c r="I111" s="4" t="n"/>
      <c r="J111" s="5">
        <f>_xlfn.TEXTJOIN(CHAR(10),TRUE,IF(G111="","","• "&amp;G111),IF(H111="","","• "&amp;H111),IF(I111="","","• "&amp;I111))</f>
        <v/>
      </c>
      <c r="K111" s="4" t="n"/>
      <c r="L111" s="4" t="n"/>
      <c r="M111" s="4" t="n"/>
      <c r="N111" s="16" t="n"/>
      <c r="O111" s="4" t="n"/>
      <c r="P111" s="16" t="n"/>
      <c r="Q111" s="4" t="n"/>
      <c r="R111" s="16" t="n"/>
      <c r="S111" s="20">
        <f>IF(OR(N111="",P111="",R111=""),"",(--TRIM(LEFT(N111,2)))*(--TRIM(LEFT(P111,2)))*(--TRIM(LEFT(R111,2))))</f>
        <v/>
      </c>
      <c r="T111" s="20">
        <f>IF(OR(N111="",P111="",R111=""),"",INDEX(APGrid,COUNTIF(APS,"&gt;"&amp;(--TRIM(LEFT(N111,2))))*5+COUNTIF(APO,"&gt;"&amp;(--TRIM(LEFT(P111,2))))+1,COUNTIF(APD,"&gt;"&amp;(--TRIM(LEFT(R111,2))))+1))</f>
        <v/>
      </c>
      <c r="U111" s="20">
        <f>IF(S111="","",IF(OR((--TRIM(LEFT(N111,2)))&gt;=SThr,S111&gt;=RPNThr,T111="H"),"Yes","No"))</f>
        <v/>
      </c>
      <c r="V111" s="4" t="n"/>
      <c r="W111" s="4" t="n"/>
      <c r="X111" s="4" t="n"/>
      <c r="Y111" s="29" t="n"/>
      <c r="Z111" s="16" t="n"/>
      <c r="AA111" s="16" t="n"/>
      <c r="AB111" s="16" t="n"/>
      <c r="AC111" s="20">
        <f>IF(OR(Z111="",AA111="",AB111=""),"",(--TRIM(LEFT(Z111,2)))*(--TRIM(LEFT(AA111,2)))*(--TRIM(LEFT(AB111,2))))</f>
        <v/>
      </c>
      <c r="AD111" s="20">
        <f>IF(OR(Z111="",AA111="",AB111=""),"",INDEX(APGrid,COUNTIF(APS,"&gt;"&amp;(--TRIM(LEFT(Z111,2))))*5+COUNTIF(APO,"&gt;"&amp;(--TRIM(LEFT(AA111,2))))+1,COUNTIF(APD,"&gt;"&amp;(--TRIM(LEFT(AB111,2))))+1))</f>
        <v/>
      </c>
      <c r="AE111" s="4" t="n"/>
      <c r="AF111" s="4" t="n"/>
      <c r="AH111">
        <f>IFERROR(INDEX(EqTag,_xlfn.AGGREGATE(15,6,(ROW(EqTag)-4)/((EqSys=$D$3)*(EqTag&lt;&gt;"")),ROWS($AH$14:AH111))),"")</f>
        <v/>
      </c>
    </row>
    <row r="112">
      <c r="A112" s="20">
        <f>IF(F112="","",LEFT($D$3,3)&amp;"-"&amp;TEXT(COUNTIF(F$14:F112,"?*"),"00"))</f>
        <v/>
      </c>
      <c r="B112" s="4" t="n"/>
      <c r="C112" s="5">
        <f>IF(B112="","",IFERROR(INDEX(EqTypeCol,MATCH(B112,EqTag,0)),"Tag not in register"))</f>
        <v/>
      </c>
      <c r="D112" s="4" t="n"/>
      <c r="E112" s="4" t="n"/>
      <c r="F112" s="4" t="n"/>
      <c r="G112" s="4" t="n"/>
      <c r="H112" s="4" t="n"/>
      <c r="I112" s="4" t="n"/>
      <c r="J112" s="5">
        <f>_xlfn.TEXTJOIN(CHAR(10),TRUE,IF(G112="","","• "&amp;G112),IF(H112="","","• "&amp;H112),IF(I112="","","• "&amp;I112))</f>
        <v/>
      </c>
      <c r="K112" s="4" t="n"/>
      <c r="L112" s="4" t="n"/>
      <c r="M112" s="4" t="n"/>
      <c r="N112" s="16" t="n"/>
      <c r="O112" s="4" t="n"/>
      <c r="P112" s="16" t="n"/>
      <c r="Q112" s="4" t="n"/>
      <c r="R112" s="16" t="n"/>
      <c r="S112" s="20">
        <f>IF(OR(N112="",P112="",R112=""),"",(--TRIM(LEFT(N112,2)))*(--TRIM(LEFT(P112,2)))*(--TRIM(LEFT(R112,2))))</f>
        <v/>
      </c>
      <c r="T112" s="20">
        <f>IF(OR(N112="",P112="",R112=""),"",INDEX(APGrid,COUNTIF(APS,"&gt;"&amp;(--TRIM(LEFT(N112,2))))*5+COUNTIF(APO,"&gt;"&amp;(--TRIM(LEFT(P112,2))))+1,COUNTIF(APD,"&gt;"&amp;(--TRIM(LEFT(R112,2))))+1))</f>
        <v/>
      </c>
      <c r="U112" s="20">
        <f>IF(S112="","",IF(OR((--TRIM(LEFT(N112,2)))&gt;=SThr,S112&gt;=RPNThr,T112="H"),"Yes","No"))</f>
        <v/>
      </c>
      <c r="V112" s="4" t="n"/>
      <c r="W112" s="4" t="n"/>
      <c r="X112" s="4" t="n"/>
      <c r="Y112" s="29" t="n"/>
      <c r="Z112" s="16" t="n"/>
      <c r="AA112" s="16" t="n"/>
      <c r="AB112" s="16" t="n"/>
      <c r="AC112" s="20">
        <f>IF(OR(Z112="",AA112="",AB112=""),"",(--TRIM(LEFT(Z112,2)))*(--TRIM(LEFT(AA112,2)))*(--TRIM(LEFT(AB112,2))))</f>
        <v/>
      </c>
      <c r="AD112" s="20">
        <f>IF(OR(Z112="",AA112="",AB112=""),"",INDEX(APGrid,COUNTIF(APS,"&gt;"&amp;(--TRIM(LEFT(Z112,2))))*5+COUNTIF(APO,"&gt;"&amp;(--TRIM(LEFT(AA112,2))))+1,COUNTIF(APD,"&gt;"&amp;(--TRIM(LEFT(AB112,2))))+1))</f>
        <v/>
      </c>
      <c r="AE112" s="4" t="n"/>
      <c r="AF112" s="4" t="n"/>
      <c r="AH112">
        <f>IFERROR(INDEX(EqTag,_xlfn.AGGREGATE(15,6,(ROW(EqTag)-4)/((EqSys=$D$3)*(EqTag&lt;&gt;"")),ROWS($AH$14:AH112))),"")</f>
        <v/>
      </c>
    </row>
    <row r="113">
      <c r="A113" s="20">
        <f>IF(F113="","",LEFT($D$3,3)&amp;"-"&amp;TEXT(COUNTIF(F$14:F113,"?*"),"00"))</f>
        <v/>
      </c>
      <c r="B113" s="4" t="n"/>
      <c r="C113" s="5">
        <f>IF(B113="","",IFERROR(INDEX(EqTypeCol,MATCH(B113,EqTag,0)),"Tag not in register"))</f>
        <v/>
      </c>
      <c r="D113" s="4" t="n"/>
      <c r="E113" s="4" t="n"/>
      <c r="F113" s="4" t="n"/>
      <c r="G113" s="4" t="n"/>
      <c r="H113" s="4" t="n"/>
      <c r="I113" s="4" t="n"/>
      <c r="J113" s="5">
        <f>_xlfn.TEXTJOIN(CHAR(10),TRUE,IF(G113="","","• "&amp;G113),IF(H113="","","• "&amp;H113),IF(I113="","","• "&amp;I113))</f>
        <v/>
      </c>
      <c r="K113" s="4" t="n"/>
      <c r="L113" s="4" t="n"/>
      <c r="M113" s="4" t="n"/>
      <c r="N113" s="16" t="n"/>
      <c r="O113" s="4" t="n"/>
      <c r="P113" s="16" t="n"/>
      <c r="Q113" s="4" t="n"/>
      <c r="R113" s="16" t="n"/>
      <c r="S113" s="20">
        <f>IF(OR(N113="",P113="",R113=""),"",(--TRIM(LEFT(N113,2)))*(--TRIM(LEFT(P113,2)))*(--TRIM(LEFT(R113,2))))</f>
        <v/>
      </c>
      <c r="T113" s="20">
        <f>IF(OR(N113="",P113="",R113=""),"",INDEX(APGrid,COUNTIF(APS,"&gt;"&amp;(--TRIM(LEFT(N113,2))))*5+COUNTIF(APO,"&gt;"&amp;(--TRIM(LEFT(P113,2))))+1,COUNTIF(APD,"&gt;"&amp;(--TRIM(LEFT(R113,2))))+1))</f>
        <v/>
      </c>
      <c r="U113" s="20">
        <f>IF(S113="","",IF(OR((--TRIM(LEFT(N113,2)))&gt;=SThr,S113&gt;=RPNThr,T113="H"),"Yes","No"))</f>
        <v/>
      </c>
      <c r="V113" s="4" t="n"/>
      <c r="W113" s="4" t="n"/>
      <c r="X113" s="4" t="n"/>
      <c r="Y113" s="29" t="n"/>
      <c r="Z113" s="16" t="n"/>
      <c r="AA113" s="16" t="n"/>
      <c r="AB113" s="16" t="n"/>
      <c r="AC113" s="20">
        <f>IF(OR(Z113="",AA113="",AB113=""),"",(--TRIM(LEFT(Z113,2)))*(--TRIM(LEFT(AA113,2)))*(--TRIM(LEFT(AB113,2))))</f>
        <v/>
      </c>
      <c r="AD113" s="20">
        <f>IF(OR(Z113="",AA113="",AB113=""),"",INDEX(APGrid,COUNTIF(APS,"&gt;"&amp;(--TRIM(LEFT(Z113,2))))*5+COUNTIF(APO,"&gt;"&amp;(--TRIM(LEFT(AA113,2))))+1,COUNTIF(APD,"&gt;"&amp;(--TRIM(LEFT(AB113,2))))+1))</f>
        <v/>
      </c>
      <c r="AE113" s="4" t="n"/>
      <c r="AF113" s="4" t="n"/>
      <c r="AH113">
        <f>IFERROR(INDEX(EqTag,_xlfn.AGGREGATE(15,6,(ROW(EqTag)-4)/((EqSys=$D$3)*(EqTag&lt;&gt;"")),ROWS($AH$14:AH113))),"")</f>
        <v/>
      </c>
    </row>
  </sheetData>
  <mergeCells count="23">
    <mergeCell ref="D3:J3"/>
    <mergeCell ref="J12:M12"/>
    <mergeCell ref="A3:C3"/>
    <mergeCell ref="A11:N11"/>
    <mergeCell ref="A12:F12"/>
    <mergeCell ref="L3:M3"/>
    <mergeCell ref="AE12:AF12"/>
    <mergeCell ref="D6:N6"/>
    <mergeCell ref="A5:C5"/>
    <mergeCell ref="N12:U12"/>
    <mergeCell ref="A8:C8"/>
    <mergeCell ref="V12:Y12"/>
    <mergeCell ref="A4:C4"/>
    <mergeCell ref="Z12:AD12"/>
    <mergeCell ref="D7:N7"/>
    <mergeCell ref="A9:C9"/>
    <mergeCell ref="G12:I12"/>
    <mergeCell ref="D4:N4"/>
    <mergeCell ref="D9:N9"/>
    <mergeCell ref="D8:N8"/>
    <mergeCell ref="A6:C6"/>
    <mergeCell ref="D5:N5"/>
    <mergeCell ref="A7:C7"/>
  </mergeCells>
  <conditionalFormatting sqref="T14:T113">
    <cfRule type="expression" priority="1" dxfId="0">
      <formula>T14="H"</formula>
    </cfRule>
    <cfRule type="expression" priority="3" dxfId="1">
      <formula>T14="M"</formula>
    </cfRule>
    <cfRule type="expression" priority="5" dxfId="2">
      <formula>T14="L"</formula>
    </cfRule>
  </conditionalFormatting>
  <conditionalFormatting sqref="AD14:AD113">
    <cfRule type="expression" priority="2" dxfId="0">
      <formula>AD14="H"</formula>
    </cfRule>
    <cfRule type="expression" priority="4" dxfId="1">
      <formula>AD14="M"</formula>
    </cfRule>
    <cfRule type="expression" priority="6" dxfId="2">
      <formula>AD14="L"</formula>
    </cfRule>
  </conditionalFormatting>
  <conditionalFormatting sqref="U14:U113">
    <cfRule type="expression" priority="7" dxfId="3">
      <formula>U14="Yes"</formula>
    </cfRule>
  </conditionalFormatting>
  <conditionalFormatting sqref="S14:S113">
    <cfRule type="expression" priority="8" dxfId="4">
      <formula>AND(ISNUMBER(S14),S14&gt;=RPNThr)</formula>
    </cfRule>
  </conditionalFormatting>
  <conditionalFormatting sqref="AC14:AC113">
    <cfRule type="expression" priority="9" dxfId="4">
      <formula>AND(ISNUMBER(AC14),AC14&gt;=RPNThr)</formula>
    </cfRule>
  </conditionalFormatting>
  <dataValidations count="13">
    <dataValidation sqref="D3" showDropDown="0" showInputMessage="1" showErrorMessage="1" allowBlank="1" promptTitle="Select" prompt="Choose the system analysed on this sheet" type="list">
      <formula1>=SystemList</formula1>
    </dataValidation>
    <dataValidation sqref="B14:B113" showDropDown="0" showInputMessage="1" showErrorMessage="1" allowBlank="1" errorTitle="Not in list" error="Entry is not in the list – it will be accepted as free text." promptTitle="Select" prompt="Equipment tags of the selected system (from the Equipment Register)" type="list" errorStyle="information">
      <formula1>=OFFSET($AH$14,0,0,MAX(1,COUNTIFS(EqSys,$D$3,EqTag,"?*")),1)</formula1>
    </dataValidation>
    <dataValidation sqref="D14:D113" showDropDown="0" showInputMessage="1" showErrorMessage="1" allowBlank="1" errorTitle="Not in list" error="Entry is not in the list – it will be accepted as free text." promptTitle="Select" prompt="Components for this equipment type – or type your own" type="list" errorStyle="information">
      <formula1>=OFFSET(CompStart,MATCH($C14,CompType,0)-1,0,MAX(1,COUNTIF(CompType,$C14)),1)</formula1>
    </dataValidation>
    <dataValidation sqref="F14:F113" showDropDown="0" showInputMessage="1" showErrorMessage="1" allowBlank="1" errorTitle="Not in list" error="Entry is not in the list – it will be accepted as free text." promptTitle="Select" prompt="Failure modes for this equipment type – or type your own" type="list" errorStyle="information">
      <formula1>=OFFSET(FMStart,MATCH($C14,FMType,0)-1,0,MAX(1,COUNTIF(FMType,$C14)),1)</formula1>
    </dataValidation>
    <dataValidation sqref="G14:I113" showDropDown="0" showInputMessage="1" showErrorMessage="1" allowBlank="1" errorTitle="Not in list" error="Entry is not in the list – it will be accepted as free text." promptTitle="Select" prompt="Failure cause / mechanism – or type your own" type="list" errorStyle="information">
      <formula1>=MechList</formula1>
    </dataValidation>
    <dataValidation sqref="Q14:Q113" showDropDown="0" showInputMessage="1" showErrorMessage="1" allowBlank="1" errorTitle="Not in list" error="Entry is not in the list – it will be accepted as free text." promptTitle="Select" prompt="Detection method – or type your own" type="list" errorStyle="information">
      <formula1>=DetList</formula1>
    </dataValidation>
    <dataValidation sqref="W14:W113" showDropDown="0" showInputMessage="0" showErrorMessage="1" allowBlank="1" errorTitle="Not in list" error="Entry is not in the list – it will be accepted as free text." type="list" errorStyle="information">
      <formula1>=TaskList</formula1>
    </dataValidation>
    <dataValidation sqref="N14:N113" showDropDown="0" showInputMessage="0" showErrorMessage="1" allowBlank="1" type="list">
      <formula1>=SevList</formula1>
    </dataValidation>
    <dataValidation sqref="P14:P113" showDropDown="0" showInputMessage="0" showErrorMessage="1" allowBlank="1" type="list">
      <formula1>=OccList</formula1>
    </dataValidation>
    <dataValidation sqref="R14:R113" showDropDown="0" showInputMessage="0" showErrorMessage="1" allowBlank="1" type="list">
      <formula1>=DetScaleList</formula1>
    </dataValidation>
    <dataValidation sqref="Z14:Z113" showDropDown="0" showInputMessage="0" showErrorMessage="1" allowBlank="1" type="list">
      <formula1>=SevList</formula1>
    </dataValidation>
    <dataValidation sqref="AA14:AA113" showDropDown="0" showInputMessage="0" showErrorMessage="1" allowBlank="1" type="list">
      <formula1>=OccList</formula1>
    </dataValidation>
    <dataValidation sqref="AB14:AB113" showDropDown="0" showInputMessage="0" showErrorMessage="1" allowBlank="1" type="list">
      <formula1>=DetScaleList</formula1>
    </dataValidation>
  </dataValidations>
  <pageMargins left="0.75" right="0.75" top="1" bottom="1" header="0.5" footer="0.5"/>
  <pageSetup orientation="landscape" paperSize="8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AH113"/>
  <sheetViews>
    <sheetView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22" customWidth="1" min="4" max="4"/>
    <col width="26" customWidth="1" min="5" max="5"/>
    <col width="26" customWidth="1" min="6" max="6"/>
    <col outlineLevel="1" width="26" customWidth="1" min="7" max="9"/>
    <col width="38" customWidth="1" min="10" max="10"/>
    <col width="28" customWidth="1" min="11" max="11"/>
    <col width="28" customWidth="1" min="12" max="12"/>
    <col width="32" customWidth="1" min="13" max="13"/>
    <col width="18" customWidth="1" min="14" max="14"/>
    <col width="30" customWidth="1" min="15" max="15"/>
    <col width="18" customWidth="1" min="16" max="16"/>
    <col width="28" customWidth="1" min="17" max="17"/>
    <col width="18" customWidth="1" min="18" max="18"/>
    <col width="7" customWidth="1" min="19" max="19"/>
    <col width="6" customWidth="1" min="20" max="20"/>
    <col width="9" customWidth="1" min="21" max="21"/>
    <col width="34" customWidth="1" min="22" max="22"/>
    <col width="22" customWidth="1" min="23" max="23"/>
    <col width="14" customWidth="1" min="24" max="24"/>
    <col width="12" customWidth="1" min="25" max="25"/>
    <col width="18" customWidth="1" min="26" max="26"/>
    <col width="18" customWidth="1" min="27" max="27"/>
    <col width="18" customWidth="1" min="28" max="28"/>
    <col width="7" customWidth="1" min="29" max="29"/>
    <col width="6" customWidth="1" min="30" max="30"/>
    <col width="12" customWidth="1" min="31" max="31"/>
    <col width="24" customWidth="1" min="32" max="32"/>
    <col hidden="1" width="13" customWidth="1" min="34" max="34"/>
  </cols>
  <sheetData>
    <row r="1">
      <c r="A1" s="22" t="inlineStr">
        <is>
          <t>FMECA WORKSHEET</t>
        </is>
      </c>
      <c r="F1" s="23">
        <f>Cover!B7</f>
        <v/>
      </c>
    </row>
    <row r="3">
      <c r="A3" s="24" t="inlineStr">
        <is>
          <t>Select system ▸</t>
        </is>
      </c>
      <c r="B3" s="8" t="n"/>
      <c r="C3" s="9" t="n"/>
      <c r="D3" s="25" t="n"/>
      <c r="K3" s="24" t="inlineStr">
        <is>
          <t>Session date</t>
        </is>
      </c>
      <c r="L3" s="13" t="n"/>
      <c r="N3" s="24" t="inlineStr">
        <is>
          <t>Equipment items</t>
        </is>
      </c>
      <c r="O3" s="20">
        <f>IF($D$3="","",COUNTIFS(EqSys,$D$3,EqTag,"?*"))</f>
        <v/>
      </c>
    </row>
    <row r="4" ht="16" customHeight="1">
      <c r="A4" s="10" t="inlineStr">
        <is>
          <t>System title</t>
        </is>
      </c>
      <c r="D4" s="6">
        <f>IF($D$3="","",IFERROR(INDEX(Systems!$B$5:$B$34,MATCH($D$3,Systems!$C$5:$C$34,0))&amp;"",""))</f>
        <v/>
      </c>
    </row>
    <row r="5" ht="30" customHeight="1">
      <c r="A5" s="10" t="inlineStr">
        <is>
          <t>Function / performance standard</t>
        </is>
      </c>
      <c r="D5" s="6">
        <f>IF($D$3="","",IFERROR(INDEX(Systems!$D$5:$D$34,MATCH($D$3,Systems!$C$5:$C$34,0))&amp;"",""))</f>
        <v/>
      </c>
    </row>
    <row r="6" ht="30" customHeight="1">
      <c r="A6" s="10" t="inlineStr">
        <is>
          <t>Operating context</t>
        </is>
      </c>
      <c r="D6" s="6">
        <f>IF($D$3="","",IFERROR(INDEX(Systems!$E$5:$E$34,MATCH($D$3,Systems!$C$5:$C$34,0))&amp;"",""))</f>
        <v/>
      </c>
    </row>
    <row r="7" ht="30" customHeight="1">
      <c r="A7" s="10" t="inlineStr">
        <is>
          <t>System boundaries</t>
        </is>
      </c>
      <c r="D7" s="6">
        <f>IF($D$3="","",IFERROR(INDEX(Systems!$F$5:$F$34,MATCH($D$3,Systems!$C$5:$C$34,0))&amp;"",""))</f>
        <v/>
      </c>
    </row>
    <row r="8" ht="16" customHeight="1">
      <c r="A8" s="10" t="inlineStr">
        <is>
          <t>P&amp;IDs / drawings</t>
        </is>
      </c>
      <c r="D8" s="6">
        <f>IF($D$3="","",IFERROR(INDEX(Systems!$G$5:$G$34,MATCH($D$3,Systems!$C$5:$C$34,0))&amp;"",""))</f>
        <v/>
      </c>
    </row>
    <row r="9" ht="16" customHeight="1">
      <c r="A9" s="10" t="inlineStr">
        <is>
          <t>Related HAZOP node(s)</t>
        </is>
      </c>
      <c r="D9" s="6">
        <f>IF($D$3="","",IFERROR(INDEX(Systems!$H$5:$H$34,MATCH($D$3,Systems!$C$5:$C$34,0))&amp;"",""))</f>
        <v/>
      </c>
    </row>
    <row r="11" ht="26" customHeight="1">
      <c r="A11" s="26" t="inlineStr">
        <is>
          <t>ONE ROW PER FAILURE MODE. Pick the equipment tag (tags of the selected system), component and failure mode; pick up to 3 causes (listed line by line in 'Failure causes / mechanisms'). Rate S, O, D – RPN, Action Priority and 'Action required?' are calculated. Rate again after the recommended action. Use the [–] button above the Cause columns to collapse them.</t>
        </is>
      </c>
    </row>
    <row r="12">
      <c r="A12" s="7" t="inlineStr">
        <is>
          <t>ITEM / FAILURE MODE</t>
        </is>
      </c>
      <c r="B12" s="27" t="n"/>
      <c r="C12" s="27" t="n"/>
      <c r="D12" s="27" t="n"/>
      <c r="E12" s="27" t="n"/>
      <c r="F12" s="27" t="n"/>
      <c r="G12" s="7" t="inlineStr">
        <is>
          <t>CAUSE PICK-LIST</t>
        </is>
      </c>
      <c r="H12" s="27" t="n"/>
      <c r="I12" s="27" t="n"/>
      <c r="J12" s="7" t="inlineStr">
        <is>
          <t>CAUSES &amp; EFFECTS</t>
        </is>
      </c>
      <c r="K12" s="27" t="n"/>
      <c r="L12" s="27" t="n"/>
      <c r="M12" s="27" t="n"/>
      <c r="N12" s="7" t="inlineStr">
        <is>
          <t>CRITICALITY – CURRENT</t>
        </is>
      </c>
      <c r="O12" s="27" t="n"/>
      <c r="P12" s="27" t="n"/>
      <c r="Q12" s="27" t="n"/>
      <c r="R12" s="27" t="n"/>
      <c r="S12" s="27" t="n"/>
      <c r="T12" s="27" t="n"/>
      <c r="U12" s="27" t="n"/>
      <c r="V12" s="7" t="inlineStr">
        <is>
          <t>RECOMMENDED ACTIONS</t>
        </is>
      </c>
      <c r="W12" s="27" t="n"/>
      <c r="X12" s="27" t="n"/>
      <c r="Y12" s="27" t="n"/>
      <c r="Z12" s="7" t="inlineStr">
        <is>
          <t>CRITICALITY – AFTER ACTION</t>
        </is>
      </c>
      <c r="AA12" s="27" t="n"/>
      <c r="AB12" s="27" t="n"/>
      <c r="AC12" s="27" t="n"/>
      <c r="AD12" s="27" t="n"/>
      <c r="AE12" s="7" t="inlineStr">
        <is>
          <t>LINKS</t>
        </is>
      </c>
      <c r="AF12" s="27" t="n"/>
    </row>
    <row r="13" ht="42" customHeight="1">
      <c r="A13" s="7" t="inlineStr">
        <is>
          <t>Ref</t>
        </is>
      </c>
      <c r="B13" s="7" t="inlineStr">
        <is>
          <t>Equipment tag</t>
        </is>
      </c>
      <c r="C13" s="7" t="inlineStr">
        <is>
          <t>Equipment type (auto)</t>
        </is>
      </c>
      <c r="D13" s="7" t="inlineStr">
        <is>
          <t>Component / maintainable item</t>
        </is>
      </c>
      <c r="E13" s="7" t="inlineStr">
        <is>
          <t>Function of item</t>
        </is>
      </c>
      <c r="F13" s="7" t="inlineStr">
        <is>
          <t>Failure mode</t>
        </is>
      </c>
      <c r="G13" s="28" t="inlineStr">
        <is>
          <t>Cause 1</t>
        </is>
      </c>
      <c r="H13" s="28" t="inlineStr">
        <is>
          <t>Cause 2</t>
        </is>
      </c>
      <c r="I13" s="28" t="inlineStr">
        <is>
          <t>Cause 3</t>
        </is>
      </c>
      <c r="J13" s="7" t="inlineStr">
        <is>
          <t>Failure causes / mechanisms</t>
        </is>
      </c>
      <c r="K13" s="7" t="inlineStr">
        <is>
          <t>Local effect</t>
        </is>
      </c>
      <c r="L13" s="7" t="inlineStr">
        <is>
          <t>System effect</t>
        </is>
      </c>
      <c r="M13" s="7" t="inlineStr">
        <is>
          <t>End effect (safety / environment / production)</t>
        </is>
      </c>
      <c r="N13" s="7" t="inlineStr">
        <is>
          <t>Severity (S)</t>
        </is>
      </c>
      <c r="O13" s="7" t="inlineStr">
        <is>
          <t>Current prevention controls</t>
        </is>
      </c>
      <c r="P13" s="7" t="inlineStr">
        <is>
          <t>Occurrence (O)</t>
        </is>
      </c>
      <c r="Q13" s="7" t="inlineStr">
        <is>
          <t>Current detection method</t>
        </is>
      </c>
      <c r="R13" s="7" t="inlineStr">
        <is>
          <t>Detection (D)</t>
        </is>
      </c>
      <c r="S13" s="7" t="inlineStr">
        <is>
          <t>RPN</t>
        </is>
      </c>
      <c r="T13" s="7" t="inlineStr">
        <is>
          <t>AP</t>
        </is>
      </c>
      <c r="U13" s="7" t="inlineStr">
        <is>
          <t>Action required?</t>
        </is>
      </c>
      <c r="V13" s="7" t="inlineStr">
        <is>
          <t>Recommended action</t>
        </is>
      </c>
      <c r="W13" s="7" t="inlineStr">
        <is>
          <t>Action / task type</t>
        </is>
      </c>
      <c r="X13" s="7" t="inlineStr">
        <is>
          <t>Action by</t>
        </is>
      </c>
      <c r="Y13" s="7" t="inlineStr">
        <is>
          <t>Due date</t>
        </is>
      </c>
      <c r="Z13" s="7" t="inlineStr">
        <is>
          <t>Severity (S)</t>
        </is>
      </c>
      <c r="AA13" s="7" t="inlineStr">
        <is>
          <t>Occurrence (O)</t>
        </is>
      </c>
      <c r="AB13" s="7" t="inlineStr">
        <is>
          <t>Detection (D)</t>
        </is>
      </c>
      <c r="AC13" s="7" t="inlineStr">
        <is>
          <t>RPN after</t>
        </is>
      </c>
      <c r="AD13" s="7" t="inlineStr">
        <is>
          <t>AP after</t>
        </is>
      </c>
      <c r="AE13" s="7" t="inlineStr">
        <is>
          <t>HAZOP ref.</t>
        </is>
      </c>
      <c r="AF13" s="7" t="inlineStr">
        <is>
          <t>Comments</t>
        </is>
      </c>
    </row>
    <row r="14">
      <c r="A14" s="20">
        <f>IF(F14="","",LEFT($D$3,3)&amp;"-"&amp;TEXT(COUNTIF(F$14:F14,"?*"),"00"))</f>
        <v/>
      </c>
      <c r="B14" s="4" t="n"/>
      <c r="C14" s="5">
        <f>IF(B14="","",IFERROR(INDEX(EqTypeCol,MATCH(B14,EqTag,0)),"Tag not in register"))</f>
        <v/>
      </c>
      <c r="D14" s="4" t="n"/>
      <c r="E14" s="4" t="n"/>
      <c r="F14" s="4" t="n"/>
      <c r="G14" s="4" t="n"/>
      <c r="H14" s="4" t="n"/>
      <c r="I14" s="4" t="n"/>
      <c r="J14" s="5">
        <f>_xlfn.TEXTJOIN(CHAR(10),TRUE,IF(G14="","","• "&amp;G14),IF(H14="","","• "&amp;H14),IF(I14="","","• "&amp;I14))</f>
        <v/>
      </c>
      <c r="K14" s="4" t="n"/>
      <c r="L14" s="4" t="n"/>
      <c r="M14" s="4" t="n"/>
      <c r="N14" s="16" t="n"/>
      <c r="O14" s="4" t="n"/>
      <c r="P14" s="16" t="n"/>
      <c r="Q14" s="4" t="n"/>
      <c r="R14" s="16" t="n"/>
      <c r="S14" s="20">
        <f>IF(OR(N14="",P14="",R14=""),"",(--TRIM(LEFT(N14,2)))*(--TRIM(LEFT(P14,2)))*(--TRIM(LEFT(R14,2))))</f>
        <v/>
      </c>
      <c r="T14" s="20">
        <f>IF(OR(N14="",P14="",R14=""),"",INDEX(APGrid,COUNTIF(APS,"&gt;"&amp;(--TRIM(LEFT(N14,2))))*5+COUNTIF(APO,"&gt;"&amp;(--TRIM(LEFT(P14,2))))+1,COUNTIF(APD,"&gt;"&amp;(--TRIM(LEFT(R14,2))))+1))</f>
        <v/>
      </c>
      <c r="U14" s="20">
        <f>IF(S14="","",IF(OR((--TRIM(LEFT(N14,2)))&gt;=SThr,S14&gt;=RPNThr,T14="H"),"Yes","No"))</f>
        <v/>
      </c>
      <c r="V14" s="4" t="n"/>
      <c r="W14" s="4" t="n"/>
      <c r="X14" s="4" t="n"/>
      <c r="Y14" s="29" t="n"/>
      <c r="Z14" s="16" t="n"/>
      <c r="AA14" s="16" t="n"/>
      <c r="AB14" s="16" t="n"/>
      <c r="AC14" s="20">
        <f>IF(OR(Z14="",AA14="",AB14=""),"",(--TRIM(LEFT(Z14,2)))*(--TRIM(LEFT(AA14,2)))*(--TRIM(LEFT(AB14,2))))</f>
        <v/>
      </c>
      <c r="AD14" s="20">
        <f>IF(OR(Z14="",AA14="",AB14=""),"",INDEX(APGrid,COUNTIF(APS,"&gt;"&amp;(--TRIM(LEFT(Z14,2))))*5+COUNTIF(APO,"&gt;"&amp;(--TRIM(LEFT(AA14,2))))+1,COUNTIF(APD,"&gt;"&amp;(--TRIM(LEFT(AB14,2))))+1))</f>
        <v/>
      </c>
      <c r="AE14" s="4" t="n"/>
      <c r="AF14" s="4" t="n"/>
      <c r="AH14">
        <f>IFERROR(INDEX(EqTag,_xlfn.AGGREGATE(15,6,(ROW(EqTag)-4)/((EqSys=$D$3)*(EqTag&lt;&gt;"")),ROWS($AH$14:AH14))),"")</f>
        <v/>
      </c>
    </row>
    <row r="15">
      <c r="A15" s="20">
        <f>IF(F15="","",LEFT($D$3,3)&amp;"-"&amp;TEXT(COUNTIF(F$14:F15,"?*"),"00"))</f>
        <v/>
      </c>
      <c r="B15" s="4" t="n"/>
      <c r="C15" s="5">
        <f>IF(B15="","",IFERROR(INDEX(EqTypeCol,MATCH(B15,EqTag,0)),"Tag not in register"))</f>
        <v/>
      </c>
      <c r="D15" s="4" t="n"/>
      <c r="E15" s="4" t="n"/>
      <c r="F15" s="4" t="n"/>
      <c r="G15" s="4" t="n"/>
      <c r="H15" s="4" t="n"/>
      <c r="I15" s="4" t="n"/>
      <c r="J15" s="5">
        <f>_xlfn.TEXTJOIN(CHAR(10),TRUE,IF(G15="","","• "&amp;G15),IF(H15="","","• "&amp;H15),IF(I15="","","• "&amp;I15))</f>
        <v/>
      </c>
      <c r="K15" s="4" t="n"/>
      <c r="L15" s="4" t="n"/>
      <c r="M15" s="4" t="n"/>
      <c r="N15" s="16" t="n"/>
      <c r="O15" s="4" t="n"/>
      <c r="P15" s="16" t="n"/>
      <c r="Q15" s="4" t="n"/>
      <c r="R15" s="16" t="n"/>
      <c r="S15" s="20">
        <f>IF(OR(N15="",P15="",R15=""),"",(--TRIM(LEFT(N15,2)))*(--TRIM(LEFT(P15,2)))*(--TRIM(LEFT(R15,2))))</f>
        <v/>
      </c>
      <c r="T15" s="20">
        <f>IF(OR(N15="",P15="",R15=""),"",INDEX(APGrid,COUNTIF(APS,"&gt;"&amp;(--TRIM(LEFT(N15,2))))*5+COUNTIF(APO,"&gt;"&amp;(--TRIM(LEFT(P15,2))))+1,COUNTIF(APD,"&gt;"&amp;(--TRIM(LEFT(R15,2))))+1))</f>
        <v/>
      </c>
      <c r="U15" s="20">
        <f>IF(S15="","",IF(OR((--TRIM(LEFT(N15,2)))&gt;=SThr,S15&gt;=RPNThr,T15="H"),"Yes","No"))</f>
        <v/>
      </c>
      <c r="V15" s="4" t="n"/>
      <c r="W15" s="4" t="n"/>
      <c r="X15" s="4" t="n"/>
      <c r="Y15" s="29" t="n"/>
      <c r="Z15" s="16" t="n"/>
      <c r="AA15" s="16" t="n"/>
      <c r="AB15" s="16" t="n"/>
      <c r="AC15" s="20">
        <f>IF(OR(Z15="",AA15="",AB15=""),"",(--TRIM(LEFT(Z15,2)))*(--TRIM(LEFT(AA15,2)))*(--TRIM(LEFT(AB15,2))))</f>
        <v/>
      </c>
      <c r="AD15" s="20">
        <f>IF(OR(Z15="",AA15="",AB15=""),"",INDEX(APGrid,COUNTIF(APS,"&gt;"&amp;(--TRIM(LEFT(Z15,2))))*5+COUNTIF(APO,"&gt;"&amp;(--TRIM(LEFT(AA15,2))))+1,COUNTIF(APD,"&gt;"&amp;(--TRIM(LEFT(AB15,2))))+1))</f>
        <v/>
      </c>
      <c r="AE15" s="4" t="n"/>
      <c r="AF15" s="4" t="n"/>
      <c r="AH15">
        <f>IFERROR(INDEX(EqTag,_xlfn.AGGREGATE(15,6,(ROW(EqTag)-4)/((EqSys=$D$3)*(EqTag&lt;&gt;"")),ROWS($AH$14:AH15))),"")</f>
        <v/>
      </c>
    </row>
    <row r="16">
      <c r="A16" s="20">
        <f>IF(F16="","",LEFT($D$3,3)&amp;"-"&amp;TEXT(COUNTIF(F$14:F16,"?*"),"00"))</f>
        <v/>
      </c>
      <c r="B16" s="4" t="n"/>
      <c r="C16" s="5">
        <f>IF(B16="","",IFERROR(INDEX(EqTypeCol,MATCH(B16,EqTag,0)),"Tag not in register"))</f>
        <v/>
      </c>
      <c r="D16" s="4" t="n"/>
      <c r="E16" s="4" t="n"/>
      <c r="F16" s="4" t="n"/>
      <c r="G16" s="4" t="n"/>
      <c r="H16" s="4" t="n"/>
      <c r="I16" s="4" t="n"/>
      <c r="J16" s="5">
        <f>_xlfn.TEXTJOIN(CHAR(10),TRUE,IF(G16="","","• "&amp;G16),IF(H16="","","• "&amp;H16),IF(I16="","","• "&amp;I16))</f>
        <v/>
      </c>
      <c r="K16" s="4" t="n"/>
      <c r="L16" s="4" t="n"/>
      <c r="M16" s="4" t="n"/>
      <c r="N16" s="16" t="n"/>
      <c r="O16" s="4" t="n"/>
      <c r="P16" s="16" t="n"/>
      <c r="Q16" s="4" t="n"/>
      <c r="R16" s="16" t="n"/>
      <c r="S16" s="20">
        <f>IF(OR(N16="",P16="",R16=""),"",(--TRIM(LEFT(N16,2)))*(--TRIM(LEFT(P16,2)))*(--TRIM(LEFT(R16,2))))</f>
        <v/>
      </c>
      <c r="T16" s="20">
        <f>IF(OR(N16="",P16="",R16=""),"",INDEX(APGrid,COUNTIF(APS,"&gt;"&amp;(--TRIM(LEFT(N16,2))))*5+COUNTIF(APO,"&gt;"&amp;(--TRIM(LEFT(P16,2))))+1,COUNTIF(APD,"&gt;"&amp;(--TRIM(LEFT(R16,2))))+1))</f>
        <v/>
      </c>
      <c r="U16" s="20">
        <f>IF(S16="","",IF(OR((--TRIM(LEFT(N16,2)))&gt;=SThr,S16&gt;=RPNThr,T16="H"),"Yes","No"))</f>
        <v/>
      </c>
      <c r="V16" s="4" t="n"/>
      <c r="W16" s="4" t="n"/>
      <c r="X16" s="4" t="n"/>
      <c r="Y16" s="29" t="n"/>
      <c r="Z16" s="16" t="n"/>
      <c r="AA16" s="16" t="n"/>
      <c r="AB16" s="16" t="n"/>
      <c r="AC16" s="20">
        <f>IF(OR(Z16="",AA16="",AB16=""),"",(--TRIM(LEFT(Z16,2)))*(--TRIM(LEFT(AA16,2)))*(--TRIM(LEFT(AB16,2))))</f>
        <v/>
      </c>
      <c r="AD16" s="20">
        <f>IF(OR(Z16="",AA16="",AB16=""),"",INDEX(APGrid,COUNTIF(APS,"&gt;"&amp;(--TRIM(LEFT(Z16,2))))*5+COUNTIF(APO,"&gt;"&amp;(--TRIM(LEFT(AA16,2))))+1,COUNTIF(APD,"&gt;"&amp;(--TRIM(LEFT(AB16,2))))+1))</f>
        <v/>
      </c>
      <c r="AE16" s="4" t="n"/>
      <c r="AF16" s="4" t="n"/>
      <c r="AH16">
        <f>IFERROR(INDEX(EqTag,_xlfn.AGGREGATE(15,6,(ROW(EqTag)-4)/((EqSys=$D$3)*(EqTag&lt;&gt;"")),ROWS($AH$14:AH16))),"")</f>
        <v/>
      </c>
    </row>
    <row r="17">
      <c r="A17" s="20">
        <f>IF(F17="","",LEFT($D$3,3)&amp;"-"&amp;TEXT(COUNTIF(F$14:F17,"?*"),"00"))</f>
        <v/>
      </c>
      <c r="B17" s="4" t="n"/>
      <c r="C17" s="5">
        <f>IF(B17="","",IFERROR(INDEX(EqTypeCol,MATCH(B17,EqTag,0)),"Tag not in register"))</f>
        <v/>
      </c>
      <c r="D17" s="4" t="n"/>
      <c r="E17" s="4" t="n"/>
      <c r="F17" s="4" t="n"/>
      <c r="G17" s="4" t="n"/>
      <c r="H17" s="4" t="n"/>
      <c r="I17" s="4" t="n"/>
      <c r="J17" s="5">
        <f>_xlfn.TEXTJOIN(CHAR(10),TRUE,IF(G17="","","• "&amp;G17),IF(H17="","","• "&amp;H17),IF(I17="","","• "&amp;I17))</f>
        <v/>
      </c>
      <c r="K17" s="4" t="n"/>
      <c r="L17" s="4" t="n"/>
      <c r="M17" s="4" t="n"/>
      <c r="N17" s="16" t="n"/>
      <c r="O17" s="4" t="n"/>
      <c r="P17" s="16" t="n"/>
      <c r="Q17" s="4" t="n"/>
      <c r="R17" s="16" t="n"/>
      <c r="S17" s="20">
        <f>IF(OR(N17="",P17="",R17=""),"",(--TRIM(LEFT(N17,2)))*(--TRIM(LEFT(P17,2)))*(--TRIM(LEFT(R17,2))))</f>
        <v/>
      </c>
      <c r="T17" s="20">
        <f>IF(OR(N17="",P17="",R17=""),"",INDEX(APGrid,COUNTIF(APS,"&gt;"&amp;(--TRIM(LEFT(N17,2))))*5+COUNTIF(APO,"&gt;"&amp;(--TRIM(LEFT(P17,2))))+1,COUNTIF(APD,"&gt;"&amp;(--TRIM(LEFT(R17,2))))+1))</f>
        <v/>
      </c>
      <c r="U17" s="20">
        <f>IF(S17="","",IF(OR((--TRIM(LEFT(N17,2)))&gt;=SThr,S17&gt;=RPNThr,T17="H"),"Yes","No"))</f>
        <v/>
      </c>
      <c r="V17" s="4" t="n"/>
      <c r="W17" s="4" t="n"/>
      <c r="X17" s="4" t="n"/>
      <c r="Y17" s="29" t="n"/>
      <c r="Z17" s="16" t="n"/>
      <c r="AA17" s="16" t="n"/>
      <c r="AB17" s="16" t="n"/>
      <c r="AC17" s="20">
        <f>IF(OR(Z17="",AA17="",AB17=""),"",(--TRIM(LEFT(Z17,2)))*(--TRIM(LEFT(AA17,2)))*(--TRIM(LEFT(AB17,2))))</f>
        <v/>
      </c>
      <c r="AD17" s="20">
        <f>IF(OR(Z17="",AA17="",AB17=""),"",INDEX(APGrid,COUNTIF(APS,"&gt;"&amp;(--TRIM(LEFT(Z17,2))))*5+COUNTIF(APO,"&gt;"&amp;(--TRIM(LEFT(AA17,2))))+1,COUNTIF(APD,"&gt;"&amp;(--TRIM(LEFT(AB17,2))))+1))</f>
        <v/>
      </c>
      <c r="AE17" s="4" t="n"/>
      <c r="AF17" s="4" t="n"/>
      <c r="AH17">
        <f>IFERROR(INDEX(EqTag,_xlfn.AGGREGATE(15,6,(ROW(EqTag)-4)/((EqSys=$D$3)*(EqTag&lt;&gt;"")),ROWS($AH$14:AH17))),"")</f>
        <v/>
      </c>
    </row>
    <row r="18">
      <c r="A18" s="20">
        <f>IF(F18="","",LEFT($D$3,3)&amp;"-"&amp;TEXT(COUNTIF(F$14:F18,"?*"),"00"))</f>
        <v/>
      </c>
      <c r="B18" s="4" t="n"/>
      <c r="C18" s="5">
        <f>IF(B18="","",IFERROR(INDEX(EqTypeCol,MATCH(B18,EqTag,0)),"Tag not in register"))</f>
        <v/>
      </c>
      <c r="D18" s="4" t="n"/>
      <c r="E18" s="4" t="n"/>
      <c r="F18" s="4" t="n"/>
      <c r="G18" s="4" t="n"/>
      <c r="H18" s="4" t="n"/>
      <c r="I18" s="4" t="n"/>
      <c r="J18" s="5">
        <f>_xlfn.TEXTJOIN(CHAR(10),TRUE,IF(G18="","","• "&amp;G18),IF(H18="","","• "&amp;H18),IF(I18="","","• "&amp;I18))</f>
        <v/>
      </c>
      <c r="K18" s="4" t="n"/>
      <c r="L18" s="4" t="n"/>
      <c r="M18" s="4" t="n"/>
      <c r="N18" s="16" t="n"/>
      <c r="O18" s="4" t="n"/>
      <c r="P18" s="16" t="n"/>
      <c r="Q18" s="4" t="n"/>
      <c r="R18" s="16" t="n"/>
      <c r="S18" s="20">
        <f>IF(OR(N18="",P18="",R18=""),"",(--TRIM(LEFT(N18,2)))*(--TRIM(LEFT(P18,2)))*(--TRIM(LEFT(R18,2))))</f>
        <v/>
      </c>
      <c r="T18" s="20">
        <f>IF(OR(N18="",P18="",R18=""),"",INDEX(APGrid,COUNTIF(APS,"&gt;"&amp;(--TRIM(LEFT(N18,2))))*5+COUNTIF(APO,"&gt;"&amp;(--TRIM(LEFT(P18,2))))+1,COUNTIF(APD,"&gt;"&amp;(--TRIM(LEFT(R18,2))))+1))</f>
        <v/>
      </c>
      <c r="U18" s="20">
        <f>IF(S18="","",IF(OR((--TRIM(LEFT(N18,2)))&gt;=SThr,S18&gt;=RPNThr,T18="H"),"Yes","No"))</f>
        <v/>
      </c>
      <c r="V18" s="4" t="n"/>
      <c r="W18" s="4" t="n"/>
      <c r="X18" s="4" t="n"/>
      <c r="Y18" s="29" t="n"/>
      <c r="Z18" s="16" t="n"/>
      <c r="AA18" s="16" t="n"/>
      <c r="AB18" s="16" t="n"/>
      <c r="AC18" s="20">
        <f>IF(OR(Z18="",AA18="",AB18=""),"",(--TRIM(LEFT(Z18,2)))*(--TRIM(LEFT(AA18,2)))*(--TRIM(LEFT(AB18,2))))</f>
        <v/>
      </c>
      <c r="AD18" s="20">
        <f>IF(OR(Z18="",AA18="",AB18=""),"",INDEX(APGrid,COUNTIF(APS,"&gt;"&amp;(--TRIM(LEFT(Z18,2))))*5+COUNTIF(APO,"&gt;"&amp;(--TRIM(LEFT(AA18,2))))+1,COUNTIF(APD,"&gt;"&amp;(--TRIM(LEFT(AB18,2))))+1))</f>
        <v/>
      </c>
      <c r="AE18" s="4" t="n"/>
      <c r="AF18" s="4" t="n"/>
      <c r="AH18">
        <f>IFERROR(INDEX(EqTag,_xlfn.AGGREGATE(15,6,(ROW(EqTag)-4)/((EqSys=$D$3)*(EqTag&lt;&gt;"")),ROWS($AH$14:AH18))),"")</f>
        <v/>
      </c>
    </row>
    <row r="19">
      <c r="A19" s="20">
        <f>IF(F19="","",LEFT($D$3,3)&amp;"-"&amp;TEXT(COUNTIF(F$14:F19,"?*"),"00"))</f>
        <v/>
      </c>
      <c r="B19" s="4" t="n"/>
      <c r="C19" s="5">
        <f>IF(B19="","",IFERROR(INDEX(EqTypeCol,MATCH(B19,EqTag,0)),"Tag not in register"))</f>
        <v/>
      </c>
      <c r="D19" s="4" t="n"/>
      <c r="E19" s="4" t="n"/>
      <c r="F19" s="4" t="n"/>
      <c r="G19" s="4" t="n"/>
      <c r="H19" s="4" t="n"/>
      <c r="I19" s="4" t="n"/>
      <c r="J19" s="5">
        <f>_xlfn.TEXTJOIN(CHAR(10),TRUE,IF(G19="","","• "&amp;G19),IF(H19="","","• "&amp;H19),IF(I19="","","• "&amp;I19))</f>
        <v/>
      </c>
      <c r="K19" s="4" t="n"/>
      <c r="L19" s="4" t="n"/>
      <c r="M19" s="4" t="n"/>
      <c r="N19" s="16" t="n"/>
      <c r="O19" s="4" t="n"/>
      <c r="P19" s="16" t="n"/>
      <c r="Q19" s="4" t="n"/>
      <c r="R19" s="16" t="n"/>
      <c r="S19" s="20">
        <f>IF(OR(N19="",P19="",R19=""),"",(--TRIM(LEFT(N19,2)))*(--TRIM(LEFT(P19,2)))*(--TRIM(LEFT(R19,2))))</f>
        <v/>
      </c>
      <c r="T19" s="20">
        <f>IF(OR(N19="",P19="",R19=""),"",INDEX(APGrid,COUNTIF(APS,"&gt;"&amp;(--TRIM(LEFT(N19,2))))*5+COUNTIF(APO,"&gt;"&amp;(--TRIM(LEFT(P19,2))))+1,COUNTIF(APD,"&gt;"&amp;(--TRIM(LEFT(R19,2))))+1))</f>
        <v/>
      </c>
      <c r="U19" s="20">
        <f>IF(S19="","",IF(OR((--TRIM(LEFT(N19,2)))&gt;=SThr,S19&gt;=RPNThr,T19="H"),"Yes","No"))</f>
        <v/>
      </c>
      <c r="V19" s="4" t="n"/>
      <c r="W19" s="4" t="n"/>
      <c r="X19" s="4" t="n"/>
      <c r="Y19" s="29" t="n"/>
      <c r="Z19" s="16" t="n"/>
      <c r="AA19" s="16" t="n"/>
      <c r="AB19" s="16" t="n"/>
      <c r="AC19" s="20">
        <f>IF(OR(Z19="",AA19="",AB19=""),"",(--TRIM(LEFT(Z19,2)))*(--TRIM(LEFT(AA19,2)))*(--TRIM(LEFT(AB19,2))))</f>
        <v/>
      </c>
      <c r="AD19" s="20">
        <f>IF(OR(Z19="",AA19="",AB19=""),"",INDEX(APGrid,COUNTIF(APS,"&gt;"&amp;(--TRIM(LEFT(Z19,2))))*5+COUNTIF(APO,"&gt;"&amp;(--TRIM(LEFT(AA19,2))))+1,COUNTIF(APD,"&gt;"&amp;(--TRIM(LEFT(AB19,2))))+1))</f>
        <v/>
      </c>
      <c r="AE19" s="4" t="n"/>
      <c r="AF19" s="4" t="n"/>
      <c r="AH19">
        <f>IFERROR(INDEX(EqTag,_xlfn.AGGREGATE(15,6,(ROW(EqTag)-4)/((EqSys=$D$3)*(EqTag&lt;&gt;"")),ROWS($AH$14:AH19))),"")</f>
        <v/>
      </c>
    </row>
    <row r="20">
      <c r="A20" s="20">
        <f>IF(F20="","",LEFT($D$3,3)&amp;"-"&amp;TEXT(COUNTIF(F$14:F20,"?*"),"00"))</f>
        <v/>
      </c>
      <c r="B20" s="4" t="n"/>
      <c r="C20" s="5">
        <f>IF(B20="","",IFERROR(INDEX(EqTypeCol,MATCH(B20,EqTag,0)),"Tag not in register"))</f>
        <v/>
      </c>
      <c r="D20" s="4" t="n"/>
      <c r="E20" s="4" t="n"/>
      <c r="F20" s="4" t="n"/>
      <c r="G20" s="4" t="n"/>
      <c r="H20" s="4" t="n"/>
      <c r="I20" s="4" t="n"/>
      <c r="J20" s="5">
        <f>_xlfn.TEXTJOIN(CHAR(10),TRUE,IF(G20="","","• "&amp;G20),IF(H20="","","• "&amp;H20),IF(I20="","","• "&amp;I20))</f>
        <v/>
      </c>
      <c r="K20" s="4" t="n"/>
      <c r="L20" s="4" t="n"/>
      <c r="M20" s="4" t="n"/>
      <c r="N20" s="16" t="n"/>
      <c r="O20" s="4" t="n"/>
      <c r="P20" s="16" t="n"/>
      <c r="Q20" s="4" t="n"/>
      <c r="R20" s="16" t="n"/>
      <c r="S20" s="20">
        <f>IF(OR(N20="",P20="",R20=""),"",(--TRIM(LEFT(N20,2)))*(--TRIM(LEFT(P20,2)))*(--TRIM(LEFT(R20,2))))</f>
        <v/>
      </c>
      <c r="T20" s="20">
        <f>IF(OR(N20="",P20="",R20=""),"",INDEX(APGrid,COUNTIF(APS,"&gt;"&amp;(--TRIM(LEFT(N20,2))))*5+COUNTIF(APO,"&gt;"&amp;(--TRIM(LEFT(P20,2))))+1,COUNTIF(APD,"&gt;"&amp;(--TRIM(LEFT(R20,2))))+1))</f>
        <v/>
      </c>
      <c r="U20" s="20">
        <f>IF(S20="","",IF(OR((--TRIM(LEFT(N20,2)))&gt;=SThr,S20&gt;=RPNThr,T20="H"),"Yes","No"))</f>
        <v/>
      </c>
      <c r="V20" s="4" t="n"/>
      <c r="W20" s="4" t="n"/>
      <c r="X20" s="4" t="n"/>
      <c r="Y20" s="29" t="n"/>
      <c r="Z20" s="16" t="n"/>
      <c r="AA20" s="16" t="n"/>
      <c r="AB20" s="16" t="n"/>
      <c r="AC20" s="20">
        <f>IF(OR(Z20="",AA20="",AB20=""),"",(--TRIM(LEFT(Z20,2)))*(--TRIM(LEFT(AA20,2)))*(--TRIM(LEFT(AB20,2))))</f>
        <v/>
      </c>
      <c r="AD20" s="20">
        <f>IF(OR(Z20="",AA20="",AB20=""),"",INDEX(APGrid,COUNTIF(APS,"&gt;"&amp;(--TRIM(LEFT(Z20,2))))*5+COUNTIF(APO,"&gt;"&amp;(--TRIM(LEFT(AA20,2))))+1,COUNTIF(APD,"&gt;"&amp;(--TRIM(LEFT(AB20,2))))+1))</f>
        <v/>
      </c>
      <c r="AE20" s="4" t="n"/>
      <c r="AF20" s="4" t="n"/>
      <c r="AH20">
        <f>IFERROR(INDEX(EqTag,_xlfn.AGGREGATE(15,6,(ROW(EqTag)-4)/((EqSys=$D$3)*(EqTag&lt;&gt;"")),ROWS($AH$14:AH20))),"")</f>
        <v/>
      </c>
    </row>
    <row r="21">
      <c r="A21" s="20">
        <f>IF(F21="","",LEFT($D$3,3)&amp;"-"&amp;TEXT(COUNTIF(F$14:F21,"?*"),"00"))</f>
        <v/>
      </c>
      <c r="B21" s="4" t="n"/>
      <c r="C21" s="5">
        <f>IF(B21="","",IFERROR(INDEX(EqTypeCol,MATCH(B21,EqTag,0)),"Tag not in register"))</f>
        <v/>
      </c>
      <c r="D21" s="4" t="n"/>
      <c r="E21" s="4" t="n"/>
      <c r="F21" s="4" t="n"/>
      <c r="G21" s="4" t="n"/>
      <c r="H21" s="4" t="n"/>
      <c r="I21" s="4" t="n"/>
      <c r="J21" s="5">
        <f>_xlfn.TEXTJOIN(CHAR(10),TRUE,IF(G21="","","• "&amp;G21),IF(H21="","","• "&amp;H21),IF(I21="","","• "&amp;I21))</f>
        <v/>
      </c>
      <c r="K21" s="4" t="n"/>
      <c r="L21" s="4" t="n"/>
      <c r="M21" s="4" t="n"/>
      <c r="N21" s="16" t="n"/>
      <c r="O21" s="4" t="n"/>
      <c r="P21" s="16" t="n"/>
      <c r="Q21" s="4" t="n"/>
      <c r="R21" s="16" t="n"/>
      <c r="S21" s="20">
        <f>IF(OR(N21="",P21="",R21=""),"",(--TRIM(LEFT(N21,2)))*(--TRIM(LEFT(P21,2)))*(--TRIM(LEFT(R21,2))))</f>
        <v/>
      </c>
      <c r="T21" s="20">
        <f>IF(OR(N21="",P21="",R21=""),"",INDEX(APGrid,COUNTIF(APS,"&gt;"&amp;(--TRIM(LEFT(N21,2))))*5+COUNTIF(APO,"&gt;"&amp;(--TRIM(LEFT(P21,2))))+1,COUNTIF(APD,"&gt;"&amp;(--TRIM(LEFT(R21,2))))+1))</f>
        <v/>
      </c>
      <c r="U21" s="20">
        <f>IF(S21="","",IF(OR((--TRIM(LEFT(N21,2)))&gt;=SThr,S21&gt;=RPNThr,T21="H"),"Yes","No"))</f>
        <v/>
      </c>
      <c r="V21" s="4" t="n"/>
      <c r="W21" s="4" t="n"/>
      <c r="X21" s="4" t="n"/>
      <c r="Y21" s="29" t="n"/>
      <c r="Z21" s="16" t="n"/>
      <c r="AA21" s="16" t="n"/>
      <c r="AB21" s="16" t="n"/>
      <c r="AC21" s="20">
        <f>IF(OR(Z21="",AA21="",AB21=""),"",(--TRIM(LEFT(Z21,2)))*(--TRIM(LEFT(AA21,2)))*(--TRIM(LEFT(AB21,2))))</f>
        <v/>
      </c>
      <c r="AD21" s="20">
        <f>IF(OR(Z21="",AA21="",AB21=""),"",INDEX(APGrid,COUNTIF(APS,"&gt;"&amp;(--TRIM(LEFT(Z21,2))))*5+COUNTIF(APO,"&gt;"&amp;(--TRIM(LEFT(AA21,2))))+1,COUNTIF(APD,"&gt;"&amp;(--TRIM(LEFT(AB21,2))))+1))</f>
        <v/>
      </c>
      <c r="AE21" s="4" t="n"/>
      <c r="AF21" s="4" t="n"/>
      <c r="AH21">
        <f>IFERROR(INDEX(EqTag,_xlfn.AGGREGATE(15,6,(ROW(EqTag)-4)/((EqSys=$D$3)*(EqTag&lt;&gt;"")),ROWS($AH$14:AH21))),"")</f>
        <v/>
      </c>
    </row>
    <row r="22">
      <c r="A22" s="20">
        <f>IF(F22="","",LEFT($D$3,3)&amp;"-"&amp;TEXT(COUNTIF(F$14:F22,"?*"),"00"))</f>
        <v/>
      </c>
      <c r="B22" s="4" t="n"/>
      <c r="C22" s="5">
        <f>IF(B22="","",IFERROR(INDEX(EqTypeCol,MATCH(B22,EqTag,0)),"Tag not in register"))</f>
        <v/>
      </c>
      <c r="D22" s="4" t="n"/>
      <c r="E22" s="4" t="n"/>
      <c r="F22" s="4" t="n"/>
      <c r="G22" s="4" t="n"/>
      <c r="H22" s="4" t="n"/>
      <c r="I22" s="4" t="n"/>
      <c r="J22" s="5">
        <f>_xlfn.TEXTJOIN(CHAR(10),TRUE,IF(G22="","","• "&amp;G22),IF(H22="","","• "&amp;H22),IF(I22="","","• "&amp;I22))</f>
        <v/>
      </c>
      <c r="K22" s="4" t="n"/>
      <c r="L22" s="4" t="n"/>
      <c r="M22" s="4" t="n"/>
      <c r="N22" s="16" t="n"/>
      <c r="O22" s="4" t="n"/>
      <c r="P22" s="16" t="n"/>
      <c r="Q22" s="4" t="n"/>
      <c r="R22" s="16" t="n"/>
      <c r="S22" s="20">
        <f>IF(OR(N22="",P22="",R22=""),"",(--TRIM(LEFT(N22,2)))*(--TRIM(LEFT(P22,2)))*(--TRIM(LEFT(R22,2))))</f>
        <v/>
      </c>
      <c r="T22" s="20">
        <f>IF(OR(N22="",P22="",R22=""),"",INDEX(APGrid,COUNTIF(APS,"&gt;"&amp;(--TRIM(LEFT(N22,2))))*5+COUNTIF(APO,"&gt;"&amp;(--TRIM(LEFT(P22,2))))+1,COUNTIF(APD,"&gt;"&amp;(--TRIM(LEFT(R22,2))))+1))</f>
        <v/>
      </c>
      <c r="U22" s="20">
        <f>IF(S22="","",IF(OR((--TRIM(LEFT(N22,2)))&gt;=SThr,S22&gt;=RPNThr,T22="H"),"Yes","No"))</f>
        <v/>
      </c>
      <c r="V22" s="4" t="n"/>
      <c r="W22" s="4" t="n"/>
      <c r="X22" s="4" t="n"/>
      <c r="Y22" s="29" t="n"/>
      <c r="Z22" s="16" t="n"/>
      <c r="AA22" s="16" t="n"/>
      <c r="AB22" s="16" t="n"/>
      <c r="AC22" s="20">
        <f>IF(OR(Z22="",AA22="",AB22=""),"",(--TRIM(LEFT(Z22,2)))*(--TRIM(LEFT(AA22,2)))*(--TRIM(LEFT(AB22,2))))</f>
        <v/>
      </c>
      <c r="AD22" s="20">
        <f>IF(OR(Z22="",AA22="",AB22=""),"",INDEX(APGrid,COUNTIF(APS,"&gt;"&amp;(--TRIM(LEFT(Z22,2))))*5+COUNTIF(APO,"&gt;"&amp;(--TRIM(LEFT(AA22,2))))+1,COUNTIF(APD,"&gt;"&amp;(--TRIM(LEFT(AB22,2))))+1))</f>
        <v/>
      </c>
      <c r="AE22" s="4" t="n"/>
      <c r="AF22" s="4" t="n"/>
      <c r="AH22">
        <f>IFERROR(INDEX(EqTag,_xlfn.AGGREGATE(15,6,(ROW(EqTag)-4)/((EqSys=$D$3)*(EqTag&lt;&gt;"")),ROWS($AH$14:AH22))),"")</f>
        <v/>
      </c>
    </row>
    <row r="23">
      <c r="A23" s="20">
        <f>IF(F23="","",LEFT($D$3,3)&amp;"-"&amp;TEXT(COUNTIF(F$14:F23,"?*"),"00"))</f>
        <v/>
      </c>
      <c r="B23" s="4" t="n"/>
      <c r="C23" s="5">
        <f>IF(B23="","",IFERROR(INDEX(EqTypeCol,MATCH(B23,EqTag,0)),"Tag not in register"))</f>
        <v/>
      </c>
      <c r="D23" s="4" t="n"/>
      <c r="E23" s="4" t="n"/>
      <c r="F23" s="4" t="n"/>
      <c r="G23" s="4" t="n"/>
      <c r="H23" s="4" t="n"/>
      <c r="I23" s="4" t="n"/>
      <c r="J23" s="5">
        <f>_xlfn.TEXTJOIN(CHAR(10),TRUE,IF(G23="","","• "&amp;G23),IF(H23="","","• "&amp;H23),IF(I23="","","• "&amp;I23))</f>
        <v/>
      </c>
      <c r="K23" s="4" t="n"/>
      <c r="L23" s="4" t="n"/>
      <c r="M23" s="4" t="n"/>
      <c r="N23" s="16" t="n"/>
      <c r="O23" s="4" t="n"/>
      <c r="P23" s="16" t="n"/>
      <c r="Q23" s="4" t="n"/>
      <c r="R23" s="16" t="n"/>
      <c r="S23" s="20">
        <f>IF(OR(N23="",P23="",R23=""),"",(--TRIM(LEFT(N23,2)))*(--TRIM(LEFT(P23,2)))*(--TRIM(LEFT(R23,2))))</f>
        <v/>
      </c>
      <c r="T23" s="20">
        <f>IF(OR(N23="",P23="",R23=""),"",INDEX(APGrid,COUNTIF(APS,"&gt;"&amp;(--TRIM(LEFT(N23,2))))*5+COUNTIF(APO,"&gt;"&amp;(--TRIM(LEFT(P23,2))))+1,COUNTIF(APD,"&gt;"&amp;(--TRIM(LEFT(R23,2))))+1))</f>
        <v/>
      </c>
      <c r="U23" s="20">
        <f>IF(S23="","",IF(OR((--TRIM(LEFT(N23,2)))&gt;=SThr,S23&gt;=RPNThr,T23="H"),"Yes","No"))</f>
        <v/>
      </c>
      <c r="V23" s="4" t="n"/>
      <c r="W23" s="4" t="n"/>
      <c r="X23" s="4" t="n"/>
      <c r="Y23" s="29" t="n"/>
      <c r="Z23" s="16" t="n"/>
      <c r="AA23" s="16" t="n"/>
      <c r="AB23" s="16" t="n"/>
      <c r="AC23" s="20">
        <f>IF(OR(Z23="",AA23="",AB23=""),"",(--TRIM(LEFT(Z23,2)))*(--TRIM(LEFT(AA23,2)))*(--TRIM(LEFT(AB23,2))))</f>
        <v/>
      </c>
      <c r="AD23" s="20">
        <f>IF(OR(Z23="",AA23="",AB23=""),"",INDEX(APGrid,COUNTIF(APS,"&gt;"&amp;(--TRIM(LEFT(Z23,2))))*5+COUNTIF(APO,"&gt;"&amp;(--TRIM(LEFT(AA23,2))))+1,COUNTIF(APD,"&gt;"&amp;(--TRIM(LEFT(AB23,2))))+1))</f>
        <v/>
      </c>
      <c r="AE23" s="4" t="n"/>
      <c r="AF23" s="4" t="n"/>
      <c r="AH23">
        <f>IFERROR(INDEX(EqTag,_xlfn.AGGREGATE(15,6,(ROW(EqTag)-4)/((EqSys=$D$3)*(EqTag&lt;&gt;"")),ROWS($AH$14:AH23))),"")</f>
        <v/>
      </c>
    </row>
    <row r="24">
      <c r="A24" s="20">
        <f>IF(F24="","",LEFT($D$3,3)&amp;"-"&amp;TEXT(COUNTIF(F$14:F24,"?*"),"00"))</f>
        <v/>
      </c>
      <c r="B24" s="4" t="n"/>
      <c r="C24" s="5">
        <f>IF(B24="","",IFERROR(INDEX(EqTypeCol,MATCH(B24,EqTag,0)),"Tag not in register"))</f>
        <v/>
      </c>
      <c r="D24" s="4" t="n"/>
      <c r="E24" s="4" t="n"/>
      <c r="F24" s="4" t="n"/>
      <c r="G24" s="4" t="n"/>
      <c r="H24" s="4" t="n"/>
      <c r="I24" s="4" t="n"/>
      <c r="J24" s="5">
        <f>_xlfn.TEXTJOIN(CHAR(10),TRUE,IF(G24="","","• "&amp;G24),IF(H24="","","• "&amp;H24),IF(I24="","","• "&amp;I24))</f>
        <v/>
      </c>
      <c r="K24" s="4" t="n"/>
      <c r="L24" s="4" t="n"/>
      <c r="M24" s="4" t="n"/>
      <c r="N24" s="16" t="n"/>
      <c r="O24" s="4" t="n"/>
      <c r="P24" s="16" t="n"/>
      <c r="Q24" s="4" t="n"/>
      <c r="R24" s="16" t="n"/>
      <c r="S24" s="20">
        <f>IF(OR(N24="",P24="",R24=""),"",(--TRIM(LEFT(N24,2)))*(--TRIM(LEFT(P24,2)))*(--TRIM(LEFT(R24,2))))</f>
        <v/>
      </c>
      <c r="T24" s="20">
        <f>IF(OR(N24="",P24="",R24=""),"",INDEX(APGrid,COUNTIF(APS,"&gt;"&amp;(--TRIM(LEFT(N24,2))))*5+COUNTIF(APO,"&gt;"&amp;(--TRIM(LEFT(P24,2))))+1,COUNTIF(APD,"&gt;"&amp;(--TRIM(LEFT(R24,2))))+1))</f>
        <v/>
      </c>
      <c r="U24" s="20">
        <f>IF(S24="","",IF(OR((--TRIM(LEFT(N24,2)))&gt;=SThr,S24&gt;=RPNThr,T24="H"),"Yes","No"))</f>
        <v/>
      </c>
      <c r="V24" s="4" t="n"/>
      <c r="W24" s="4" t="n"/>
      <c r="X24" s="4" t="n"/>
      <c r="Y24" s="29" t="n"/>
      <c r="Z24" s="16" t="n"/>
      <c r="AA24" s="16" t="n"/>
      <c r="AB24" s="16" t="n"/>
      <c r="AC24" s="20">
        <f>IF(OR(Z24="",AA24="",AB24=""),"",(--TRIM(LEFT(Z24,2)))*(--TRIM(LEFT(AA24,2)))*(--TRIM(LEFT(AB24,2))))</f>
        <v/>
      </c>
      <c r="AD24" s="20">
        <f>IF(OR(Z24="",AA24="",AB24=""),"",INDEX(APGrid,COUNTIF(APS,"&gt;"&amp;(--TRIM(LEFT(Z24,2))))*5+COUNTIF(APO,"&gt;"&amp;(--TRIM(LEFT(AA24,2))))+1,COUNTIF(APD,"&gt;"&amp;(--TRIM(LEFT(AB24,2))))+1))</f>
        <v/>
      </c>
      <c r="AE24" s="4" t="n"/>
      <c r="AF24" s="4" t="n"/>
      <c r="AH24">
        <f>IFERROR(INDEX(EqTag,_xlfn.AGGREGATE(15,6,(ROW(EqTag)-4)/((EqSys=$D$3)*(EqTag&lt;&gt;"")),ROWS($AH$14:AH24))),"")</f>
        <v/>
      </c>
    </row>
    <row r="25">
      <c r="A25" s="20">
        <f>IF(F25="","",LEFT($D$3,3)&amp;"-"&amp;TEXT(COUNTIF(F$14:F25,"?*"),"00"))</f>
        <v/>
      </c>
      <c r="B25" s="4" t="n"/>
      <c r="C25" s="5">
        <f>IF(B25="","",IFERROR(INDEX(EqTypeCol,MATCH(B25,EqTag,0)),"Tag not in register"))</f>
        <v/>
      </c>
      <c r="D25" s="4" t="n"/>
      <c r="E25" s="4" t="n"/>
      <c r="F25" s="4" t="n"/>
      <c r="G25" s="4" t="n"/>
      <c r="H25" s="4" t="n"/>
      <c r="I25" s="4" t="n"/>
      <c r="J25" s="5">
        <f>_xlfn.TEXTJOIN(CHAR(10),TRUE,IF(G25="","","• "&amp;G25),IF(H25="","","• "&amp;H25),IF(I25="","","• "&amp;I25))</f>
        <v/>
      </c>
      <c r="K25" s="4" t="n"/>
      <c r="L25" s="4" t="n"/>
      <c r="M25" s="4" t="n"/>
      <c r="N25" s="16" t="n"/>
      <c r="O25" s="4" t="n"/>
      <c r="P25" s="16" t="n"/>
      <c r="Q25" s="4" t="n"/>
      <c r="R25" s="16" t="n"/>
      <c r="S25" s="20">
        <f>IF(OR(N25="",P25="",R25=""),"",(--TRIM(LEFT(N25,2)))*(--TRIM(LEFT(P25,2)))*(--TRIM(LEFT(R25,2))))</f>
        <v/>
      </c>
      <c r="T25" s="20">
        <f>IF(OR(N25="",P25="",R25=""),"",INDEX(APGrid,COUNTIF(APS,"&gt;"&amp;(--TRIM(LEFT(N25,2))))*5+COUNTIF(APO,"&gt;"&amp;(--TRIM(LEFT(P25,2))))+1,COUNTIF(APD,"&gt;"&amp;(--TRIM(LEFT(R25,2))))+1))</f>
        <v/>
      </c>
      <c r="U25" s="20">
        <f>IF(S25="","",IF(OR((--TRIM(LEFT(N25,2)))&gt;=SThr,S25&gt;=RPNThr,T25="H"),"Yes","No"))</f>
        <v/>
      </c>
      <c r="V25" s="4" t="n"/>
      <c r="W25" s="4" t="n"/>
      <c r="X25" s="4" t="n"/>
      <c r="Y25" s="29" t="n"/>
      <c r="Z25" s="16" t="n"/>
      <c r="AA25" s="16" t="n"/>
      <c r="AB25" s="16" t="n"/>
      <c r="AC25" s="20">
        <f>IF(OR(Z25="",AA25="",AB25=""),"",(--TRIM(LEFT(Z25,2)))*(--TRIM(LEFT(AA25,2)))*(--TRIM(LEFT(AB25,2))))</f>
        <v/>
      </c>
      <c r="AD25" s="20">
        <f>IF(OR(Z25="",AA25="",AB25=""),"",INDEX(APGrid,COUNTIF(APS,"&gt;"&amp;(--TRIM(LEFT(Z25,2))))*5+COUNTIF(APO,"&gt;"&amp;(--TRIM(LEFT(AA25,2))))+1,COUNTIF(APD,"&gt;"&amp;(--TRIM(LEFT(AB25,2))))+1))</f>
        <v/>
      </c>
      <c r="AE25" s="4" t="n"/>
      <c r="AF25" s="4" t="n"/>
      <c r="AH25">
        <f>IFERROR(INDEX(EqTag,_xlfn.AGGREGATE(15,6,(ROW(EqTag)-4)/((EqSys=$D$3)*(EqTag&lt;&gt;"")),ROWS($AH$14:AH25))),"")</f>
        <v/>
      </c>
    </row>
    <row r="26">
      <c r="A26" s="20">
        <f>IF(F26="","",LEFT($D$3,3)&amp;"-"&amp;TEXT(COUNTIF(F$14:F26,"?*"),"00"))</f>
        <v/>
      </c>
      <c r="B26" s="4" t="n"/>
      <c r="C26" s="5">
        <f>IF(B26="","",IFERROR(INDEX(EqTypeCol,MATCH(B26,EqTag,0)),"Tag not in register"))</f>
        <v/>
      </c>
      <c r="D26" s="4" t="n"/>
      <c r="E26" s="4" t="n"/>
      <c r="F26" s="4" t="n"/>
      <c r="G26" s="4" t="n"/>
      <c r="H26" s="4" t="n"/>
      <c r="I26" s="4" t="n"/>
      <c r="J26" s="5">
        <f>_xlfn.TEXTJOIN(CHAR(10),TRUE,IF(G26="","","• "&amp;G26),IF(H26="","","• "&amp;H26),IF(I26="","","• "&amp;I26))</f>
        <v/>
      </c>
      <c r="K26" s="4" t="n"/>
      <c r="L26" s="4" t="n"/>
      <c r="M26" s="4" t="n"/>
      <c r="N26" s="16" t="n"/>
      <c r="O26" s="4" t="n"/>
      <c r="P26" s="16" t="n"/>
      <c r="Q26" s="4" t="n"/>
      <c r="R26" s="16" t="n"/>
      <c r="S26" s="20">
        <f>IF(OR(N26="",P26="",R26=""),"",(--TRIM(LEFT(N26,2)))*(--TRIM(LEFT(P26,2)))*(--TRIM(LEFT(R26,2))))</f>
        <v/>
      </c>
      <c r="T26" s="20">
        <f>IF(OR(N26="",P26="",R26=""),"",INDEX(APGrid,COUNTIF(APS,"&gt;"&amp;(--TRIM(LEFT(N26,2))))*5+COUNTIF(APO,"&gt;"&amp;(--TRIM(LEFT(P26,2))))+1,COUNTIF(APD,"&gt;"&amp;(--TRIM(LEFT(R26,2))))+1))</f>
        <v/>
      </c>
      <c r="U26" s="20">
        <f>IF(S26="","",IF(OR((--TRIM(LEFT(N26,2)))&gt;=SThr,S26&gt;=RPNThr,T26="H"),"Yes","No"))</f>
        <v/>
      </c>
      <c r="V26" s="4" t="n"/>
      <c r="W26" s="4" t="n"/>
      <c r="X26" s="4" t="n"/>
      <c r="Y26" s="29" t="n"/>
      <c r="Z26" s="16" t="n"/>
      <c r="AA26" s="16" t="n"/>
      <c r="AB26" s="16" t="n"/>
      <c r="AC26" s="20">
        <f>IF(OR(Z26="",AA26="",AB26=""),"",(--TRIM(LEFT(Z26,2)))*(--TRIM(LEFT(AA26,2)))*(--TRIM(LEFT(AB26,2))))</f>
        <v/>
      </c>
      <c r="AD26" s="20">
        <f>IF(OR(Z26="",AA26="",AB26=""),"",INDEX(APGrid,COUNTIF(APS,"&gt;"&amp;(--TRIM(LEFT(Z26,2))))*5+COUNTIF(APO,"&gt;"&amp;(--TRIM(LEFT(AA26,2))))+1,COUNTIF(APD,"&gt;"&amp;(--TRIM(LEFT(AB26,2))))+1))</f>
        <v/>
      </c>
      <c r="AE26" s="4" t="n"/>
      <c r="AF26" s="4" t="n"/>
      <c r="AH26">
        <f>IFERROR(INDEX(EqTag,_xlfn.AGGREGATE(15,6,(ROW(EqTag)-4)/((EqSys=$D$3)*(EqTag&lt;&gt;"")),ROWS($AH$14:AH26))),"")</f>
        <v/>
      </c>
    </row>
    <row r="27">
      <c r="A27" s="20">
        <f>IF(F27="","",LEFT($D$3,3)&amp;"-"&amp;TEXT(COUNTIF(F$14:F27,"?*"),"00"))</f>
        <v/>
      </c>
      <c r="B27" s="4" t="n"/>
      <c r="C27" s="5">
        <f>IF(B27="","",IFERROR(INDEX(EqTypeCol,MATCH(B27,EqTag,0)),"Tag not in register"))</f>
        <v/>
      </c>
      <c r="D27" s="4" t="n"/>
      <c r="E27" s="4" t="n"/>
      <c r="F27" s="4" t="n"/>
      <c r="G27" s="4" t="n"/>
      <c r="H27" s="4" t="n"/>
      <c r="I27" s="4" t="n"/>
      <c r="J27" s="5">
        <f>_xlfn.TEXTJOIN(CHAR(10),TRUE,IF(G27="","","• "&amp;G27),IF(H27="","","• "&amp;H27),IF(I27="","","• "&amp;I27))</f>
        <v/>
      </c>
      <c r="K27" s="4" t="n"/>
      <c r="L27" s="4" t="n"/>
      <c r="M27" s="4" t="n"/>
      <c r="N27" s="16" t="n"/>
      <c r="O27" s="4" t="n"/>
      <c r="P27" s="16" t="n"/>
      <c r="Q27" s="4" t="n"/>
      <c r="R27" s="16" t="n"/>
      <c r="S27" s="20">
        <f>IF(OR(N27="",P27="",R27=""),"",(--TRIM(LEFT(N27,2)))*(--TRIM(LEFT(P27,2)))*(--TRIM(LEFT(R27,2))))</f>
        <v/>
      </c>
      <c r="T27" s="20">
        <f>IF(OR(N27="",P27="",R27=""),"",INDEX(APGrid,COUNTIF(APS,"&gt;"&amp;(--TRIM(LEFT(N27,2))))*5+COUNTIF(APO,"&gt;"&amp;(--TRIM(LEFT(P27,2))))+1,COUNTIF(APD,"&gt;"&amp;(--TRIM(LEFT(R27,2))))+1))</f>
        <v/>
      </c>
      <c r="U27" s="20">
        <f>IF(S27="","",IF(OR((--TRIM(LEFT(N27,2)))&gt;=SThr,S27&gt;=RPNThr,T27="H"),"Yes","No"))</f>
        <v/>
      </c>
      <c r="V27" s="4" t="n"/>
      <c r="W27" s="4" t="n"/>
      <c r="X27" s="4" t="n"/>
      <c r="Y27" s="29" t="n"/>
      <c r="Z27" s="16" t="n"/>
      <c r="AA27" s="16" t="n"/>
      <c r="AB27" s="16" t="n"/>
      <c r="AC27" s="20">
        <f>IF(OR(Z27="",AA27="",AB27=""),"",(--TRIM(LEFT(Z27,2)))*(--TRIM(LEFT(AA27,2)))*(--TRIM(LEFT(AB27,2))))</f>
        <v/>
      </c>
      <c r="AD27" s="20">
        <f>IF(OR(Z27="",AA27="",AB27=""),"",INDEX(APGrid,COUNTIF(APS,"&gt;"&amp;(--TRIM(LEFT(Z27,2))))*5+COUNTIF(APO,"&gt;"&amp;(--TRIM(LEFT(AA27,2))))+1,COUNTIF(APD,"&gt;"&amp;(--TRIM(LEFT(AB27,2))))+1))</f>
        <v/>
      </c>
      <c r="AE27" s="4" t="n"/>
      <c r="AF27" s="4" t="n"/>
      <c r="AH27">
        <f>IFERROR(INDEX(EqTag,_xlfn.AGGREGATE(15,6,(ROW(EqTag)-4)/((EqSys=$D$3)*(EqTag&lt;&gt;"")),ROWS($AH$14:AH27))),"")</f>
        <v/>
      </c>
    </row>
    <row r="28">
      <c r="A28" s="20">
        <f>IF(F28="","",LEFT($D$3,3)&amp;"-"&amp;TEXT(COUNTIF(F$14:F28,"?*"),"00"))</f>
        <v/>
      </c>
      <c r="B28" s="4" t="n"/>
      <c r="C28" s="5">
        <f>IF(B28="","",IFERROR(INDEX(EqTypeCol,MATCH(B28,EqTag,0)),"Tag not in register"))</f>
        <v/>
      </c>
      <c r="D28" s="4" t="n"/>
      <c r="E28" s="4" t="n"/>
      <c r="F28" s="4" t="n"/>
      <c r="G28" s="4" t="n"/>
      <c r="H28" s="4" t="n"/>
      <c r="I28" s="4" t="n"/>
      <c r="J28" s="5">
        <f>_xlfn.TEXTJOIN(CHAR(10),TRUE,IF(G28="","","• "&amp;G28),IF(H28="","","• "&amp;H28),IF(I28="","","• "&amp;I28))</f>
        <v/>
      </c>
      <c r="K28" s="4" t="n"/>
      <c r="L28" s="4" t="n"/>
      <c r="M28" s="4" t="n"/>
      <c r="N28" s="16" t="n"/>
      <c r="O28" s="4" t="n"/>
      <c r="P28" s="16" t="n"/>
      <c r="Q28" s="4" t="n"/>
      <c r="R28" s="16" t="n"/>
      <c r="S28" s="20">
        <f>IF(OR(N28="",P28="",R28=""),"",(--TRIM(LEFT(N28,2)))*(--TRIM(LEFT(P28,2)))*(--TRIM(LEFT(R28,2))))</f>
        <v/>
      </c>
      <c r="T28" s="20">
        <f>IF(OR(N28="",P28="",R28=""),"",INDEX(APGrid,COUNTIF(APS,"&gt;"&amp;(--TRIM(LEFT(N28,2))))*5+COUNTIF(APO,"&gt;"&amp;(--TRIM(LEFT(P28,2))))+1,COUNTIF(APD,"&gt;"&amp;(--TRIM(LEFT(R28,2))))+1))</f>
        <v/>
      </c>
      <c r="U28" s="20">
        <f>IF(S28="","",IF(OR((--TRIM(LEFT(N28,2)))&gt;=SThr,S28&gt;=RPNThr,T28="H"),"Yes","No"))</f>
        <v/>
      </c>
      <c r="V28" s="4" t="n"/>
      <c r="W28" s="4" t="n"/>
      <c r="X28" s="4" t="n"/>
      <c r="Y28" s="29" t="n"/>
      <c r="Z28" s="16" t="n"/>
      <c r="AA28" s="16" t="n"/>
      <c r="AB28" s="16" t="n"/>
      <c r="AC28" s="20">
        <f>IF(OR(Z28="",AA28="",AB28=""),"",(--TRIM(LEFT(Z28,2)))*(--TRIM(LEFT(AA28,2)))*(--TRIM(LEFT(AB28,2))))</f>
        <v/>
      </c>
      <c r="AD28" s="20">
        <f>IF(OR(Z28="",AA28="",AB28=""),"",INDEX(APGrid,COUNTIF(APS,"&gt;"&amp;(--TRIM(LEFT(Z28,2))))*5+COUNTIF(APO,"&gt;"&amp;(--TRIM(LEFT(AA28,2))))+1,COUNTIF(APD,"&gt;"&amp;(--TRIM(LEFT(AB28,2))))+1))</f>
        <v/>
      </c>
      <c r="AE28" s="4" t="n"/>
      <c r="AF28" s="4" t="n"/>
      <c r="AH28">
        <f>IFERROR(INDEX(EqTag,_xlfn.AGGREGATE(15,6,(ROW(EqTag)-4)/((EqSys=$D$3)*(EqTag&lt;&gt;"")),ROWS($AH$14:AH28))),"")</f>
        <v/>
      </c>
    </row>
    <row r="29">
      <c r="A29" s="20">
        <f>IF(F29="","",LEFT($D$3,3)&amp;"-"&amp;TEXT(COUNTIF(F$14:F29,"?*"),"00"))</f>
        <v/>
      </c>
      <c r="B29" s="4" t="n"/>
      <c r="C29" s="5">
        <f>IF(B29="","",IFERROR(INDEX(EqTypeCol,MATCH(B29,EqTag,0)),"Tag not in register"))</f>
        <v/>
      </c>
      <c r="D29" s="4" t="n"/>
      <c r="E29" s="4" t="n"/>
      <c r="F29" s="4" t="n"/>
      <c r="G29" s="4" t="n"/>
      <c r="H29" s="4" t="n"/>
      <c r="I29" s="4" t="n"/>
      <c r="J29" s="5">
        <f>_xlfn.TEXTJOIN(CHAR(10),TRUE,IF(G29="","","• "&amp;G29),IF(H29="","","• "&amp;H29),IF(I29="","","• "&amp;I29))</f>
        <v/>
      </c>
      <c r="K29" s="4" t="n"/>
      <c r="L29" s="4" t="n"/>
      <c r="M29" s="4" t="n"/>
      <c r="N29" s="16" t="n"/>
      <c r="O29" s="4" t="n"/>
      <c r="P29" s="16" t="n"/>
      <c r="Q29" s="4" t="n"/>
      <c r="R29" s="16" t="n"/>
      <c r="S29" s="20">
        <f>IF(OR(N29="",P29="",R29=""),"",(--TRIM(LEFT(N29,2)))*(--TRIM(LEFT(P29,2)))*(--TRIM(LEFT(R29,2))))</f>
        <v/>
      </c>
      <c r="T29" s="20">
        <f>IF(OR(N29="",P29="",R29=""),"",INDEX(APGrid,COUNTIF(APS,"&gt;"&amp;(--TRIM(LEFT(N29,2))))*5+COUNTIF(APO,"&gt;"&amp;(--TRIM(LEFT(P29,2))))+1,COUNTIF(APD,"&gt;"&amp;(--TRIM(LEFT(R29,2))))+1))</f>
        <v/>
      </c>
      <c r="U29" s="20">
        <f>IF(S29="","",IF(OR((--TRIM(LEFT(N29,2)))&gt;=SThr,S29&gt;=RPNThr,T29="H"),"Yes","No"))</f>
        <v/>
      </c>
      <c r="V29" s="4" t="n"/>
      <c r="W29" s="4" t="n"/>
      <c r="X29" s="4" t="n"/>
      <c r="Y29" s="29" t="n"/>
      <c r="Z29" s="16" t="n"/>
      <c r="AA29" s="16" t="n"/>
      <c r="AB29" s="16" t="n"/>
      <c r="AC29" s="20">
        <f>IF(OR(Z29="",AA29="",AB29=""),"",(--TRIM(LEFT(Z29,2)))*(--TRIM(LEFT(AA29,2)))*(--TRIM(LEFT(AB29,2))))</f>
        <v/>
      </c>
      <c r="AD29" s="20">
        <f>IF(OR(Z29="",AA29="",AB29=""),"",INDEX(APGrid,COUNTIF(APS,"&gt;"&amp;(--TRIM(LEFT(Z29,2))))*5+COUNTIF(APO,"&gt;"&amp;(--TRIM(LEFT(AA29,2))))+1,COUNTIF(APD,"&gt;"&amp;(--TRIM(LEFT(AB29,2))))+1))</f>
        <v/>
      </c>
      <c r="AE29" s="4" t="n"/>
      <c r="AF29" s="4" t="n"/>
      <c r="AH29">
        <f>IFERROR(INDEX(EqTag,_xlfn.AGGREGATE(15,6,(ROW(EqTag)-4)/((EqSys=$D$3)*(EqTag&lt;&gt;"")),ROWS($AH$14:AH29))),"")</f>
        <v/>
      </c>
    </row>
    <row r="30">
      <c r="A30" s="20">
        <f>IF(F30="","",LEFT($D$3,3)&amp;"-"&amp;TEXT(COUNTIF(F$14:F30,"?*"),"00"))</f>
        <v/>
      </c>
      <c r="B30" s="4" t="n"/>
      <c r="C30" s="5">
        <f>IF(B30="","",IFERROR(INDEX(EqTypeCol,MATCH(B30,EqTag,0)),"Tag not in register"))</f>
        <v/>
      </c>
      <c r="D30" s="4" t="n"/>
      <c r="E30" s="4" t="n"/>
      <c r="F30" s="4" t="n"/>
      <c r="G30" s="4" t="n"/>
      <c r="H30" s="4" t="n"/>
      <c r="I30" s="4" t="n"/>
      <c r="J30" s="5">
        <f>_xlfn.TEXTJOIN(CHAR(10),TRUE,IF(G30="","","• "&amp;G30),IF(H30="","","• "&amp;H30),IF(I30="","","• "&amp;I30))</f>
        <v/>
      </c>
      <c r="K30" s="4" t="n"/>
      <c r="L30" s="4" t="n"/>
      <c r="M30" s="4" t="n"/>
      <c r="N30" s="16" t="n"/>
      <c r="O30" s="4" t="n"/>
      <c r="P30" s="16" t="n"/>
      <c r="Q30" s="4" t="n"/>
      <c r="R30" s="16" t="n"/>
      <c r="S30" s="20">
        <f>IF(OR(N30="",P30="",R30=""),"",(--TRIM(LEFT(N30,2)))*(--TRIM(LEFT(P30,2)))*(--TRIM(LEFT(R30,2))))</f>
        <v/>
      </c>
      <c r="T30" s="20">
        <f>IF(OR(N30="",P30="",R30=""),"",INDEX(APGrid,COUNTIF(APS,"&gt;"&amp;(--TRIM(LEFT(N30,2))))*5+COUNTIF(APO,"&gt;"&amp;(--TRIM(LEFT(P30,2))))+1,COUNTIF(APD,"&gt;"&amp;(--TRIM(LEFT(R30,2))))+1))</f>
        <v/>
      </c>
      <c r="U30" s="20">
        <f>IF(S30="","",IF(OR((--TRIM(LEFT(N30,2)))&gt;=SThr,S30&gt;=RPNThr,T30="H"),"Yes","No"))</f>
        <v/>
      </c>
      <c r="V30" s="4" t="n"/>
      <c r="W30" s="4" t="n"/>
      <c r="X30" s="4" t="n"/>
      <c r="Y30" s="29" t="n"/>
      <c r="Z30" s="16" t="n"/>
      <c r="AA30" s="16" t="n"/>
      <c r="AB30" s="16" t="n"/>
      <c r="AC30" s="20">
        <f>IF(OR(Z30="",AA30="",AB30=""),"",(--TRIM(LEFT(Z30,2)))*(--TRIM(LEFT(AA30,2)))*(--TRIM(LEFT(AB30,2))))</f>
        <v/>
      </c>
      <c r="AD30" s="20">
        <f>IF(OR(Z30="",AA30="",AB30=""),"",INDEX(APGrid,COUNTIF(APS,"&gt;"&amp;(--TRIM(LEFT(Z30,2))))*5+COUNTIF(APO,"&gt;"&amp;(--TRIM(LEFT(AA30,2))))+1,COUNTIF(APD,"&gt;"&amp;(--TRIM(LEFT(AB30,2))))+1))</f>
        <v/>
      </c>
      <c r="AE30" s="4" t="n"/>
      <c r="AF30" s="4" t="n"/>
      <c r="AH30">
        <f>IFERROR(INDEX(EqTag,_xlfn.AGGREGATE(15,6,(ROW(EqTag)-4)/((EqSys=$D$3)*(EqTag&lt;&gt;"")),ROWS($AH$14:AH30))),"")</f>
        <v/>
      </c>
    </row>
    <row r="31">
      <c r="A31" s="20">
        <f>IF(F31="","",LEFT($D$3,3)&amp;"-"&amp;TEXT(COUNTIF(F$14:F31,"?*"),"00"))</f>
        <v/>
      </c>
      <c r="B31" s="4" t="n"/>
      <c r="C31" s="5">
        <f>IF(B31="","",IFERROR(INDEX(EqTypeCol,MATCH(B31,EqTag,0)),"Tag not in register"))</f>
        <v/>
      </c>
      <c r="D31" s="4" t="n"/>
      <c r="E31" s="4" t="n"/>
      <c r="F31" s="4" t="n"/>
      <c r="G31" s="4" t="n"/>
      <c r="H31" s="4" t="n"/>
      <c r="I31" s="4" t="n"/>
      <c r="J31" s="5">
        <f>_xlfn.TEXTJOIN(CHAR(10),TRUE,IF(G31="","","• "&amp;G31),IF(H31="","","• "&amp;H31),IF(I31="","","• "&amp;I31))</f>
        <v/>
      </c>
      <c r="K31" s="4" t="n"/>
      <c r="L31" s="4" t="n"/>
      <c r="M31" s="4" t="n"/>
      <c r="N31" s="16" t="n"/>
      <c r="O31" s="4" t="n"/>
      <c r="P31" s="16" t="n"/>
      <c r="Q31" s="4" t="n"/>
      <c r="R31" s="16" t="n"/>
      <c r="S31" s="20">
        <f>IF(OR(N31="",P31="",R31=""),"",(--TRIM(LEFT(N31,2)))*(--TRIM(LEFT(P31,2)))*(--TRIM(LEFT(R31,2))))</f>
        <v/>
      </c>
      <c r="T31" s="20">
        <f>IF(OR(N31="",P31="",R31=""),"",INDEX(APGrid,COUNTIF(APS,"&gt;"&amp;(--TRIM(LEFT(N31,2))))*5+COUNTIF(APO,"&gt;"&amp;(--TRIM(LEFT(P31,2))))+1,COUNTIF(APD,"&gt;"&amp;(--TRIM(LEFT(R31,2))))+1))</f>
        <v/>
      </c>
      <c r="U31" s="20">
        <f>IF(S31="","",IF(OR((--TRIM(LEFT(N31,2)))&gt;=SThr,S31&gt;=RPNThr,T31="H"),"Yes","No"))</f>
        <v/>
      </c>
      <c r="V31" s="4" t="n"/>
      <c r="W31" s="4" t="n"/>
      <c r="X31" s="4" t="n"/>
      <c r="Y31" s="29" t="n"/>
      <c r="Z31" s="16" t="n"/>
      <c r="AA31" s="16" t="n"/>
      <c r="AB31" s="16" t="n"/>
      <c r="AC31" s="20">
        <f>IF(OR(Z31="",AA31="",AB31=""),"",(--TRIM(LEFT(Z31,2)))*(--TRIM(LEFT(AA31,2)))*(--TRIM(LEFT(AB31,2))))</f>
        <v/>
      </c>
      <c r="AD31" s="20">
        <f>IF(OR(Z31="",AA31="",AB31=""),"",INDEX(APGrid,COUNTIF(APS,"&gt;"&amp;(--TRIM(LEFT(Z31,2))))*5+COUNTIF(APO,"&gt;"&amp;(--TRIM(LEFT(AA31,2))))+1,COUNTIF(APD,"&gt;"&amp;(--TRIM(LEFT(AB31,2))))+1))</f>
        <v/>
      </c>
      <c r="AE31" s="4" t="n"/>
      <c r="AF31" s="4" t="n"/>
      <c r="AH31">
        <f>IFERROR(INDEX(EqTag,_xlfn.AGGREGATE(15,6,(ROW(EqTag)-4)/((EqSys=$D$3)*(EqTag&lt;&gt;"")),ROWS($AH$14:AH31))),"")</f>
        <v/>
      </c>
    </row>
    <row r="32">
      <c r="A32" s="20">
        <f>IF(F32="","",LEFT($D$3,3)&amp;"-"&amp;TEXT(COUNTIF(F$14:F32,"?*"),"00"))</f>
        <v/>
      </c>
      <c r="B32" s="4" t="n"/>
      <c r="C32" s="5">
        <f>IF(B32="","",IFERROR(INDEX(EqTypeCol,MATCH(B32,EqTag,0)),"Tag not in register"))</f>
        <v/>
      </c>
      <c r="D32" s="4" t="n"/>
      <c r="E32" s="4" t="n"/>
      <c r="F32" s="4" t="n"/>
      <c r="G32" s="4" t="n"/>
      <c r="H32" s="4" t="n"/>
      <c r="I32" s="4" t="n"/>
      <c r="J32" s="5">
        <f>_xlfn.TEXTJOIN(CHAR(10),TRUE,IF(G32="","","• "&amp;G32),IF(H32="","","• "&amp;H32),IF(I32="","","• "&amp;I32))</f>
        <v/>
      </c>
      <c r="K32" s="4" t="n"/>
      <c r="L32" s="4" t="n"/>
      <c r="M32" s="4" t="n"/>
      <c r="N32" s="16" t="n"/>
      <c r="O32" s="4" t="n"/>
      <c r="P32" s="16" t="n"/>
      <c r="Q32" s="4" t="n"/>
      <c r="R32" s="16" t="n"/>
      <c r="S32" s="20">
        <f>IF(OR(N32="",P32="",R32=""),"",(--TRIM(LEFT(N32,2)))*(--TRIM(LEFT(P32,2)))*(--TRIM(LEFT(R32,2))))</f>
        <v/>
      </c>
      <c r="T32" s="20">
        <f>IF(OR(N32="",P32="",R32=""),"",INDEX(APGrid,COUNTIF(APS,"&gt;"&amp;(--TRIM(LEFT(N32,2))))*5+COUNTIF(APO,"&gt;"&amp;(--TRIM(LEFT(P32,2))))+1,COUNTIF(APD,"&gt;"&amp;(--TRIM(LEFT(R32,2))))+1))</f>
        <v/>
      </c>
      <c r="U32" s="20">
        <f>IF(S32="","",IF(OR((--TRIM(LEFT(N32,2)))&gt;=SThr,S32&gt;=RPNThr,T32="H"),"Yes","No"))</f>
        <v/>
      </c>
      <c r="V32" s="4" t="n"/>
      <c r="W32" s="4" t="n"/>
      <c r="X32" s="4" t="n"/>
      <c r="Y32" s="29" t="n"/>
      <c r="Z32" s="16" t="n"/>
      <c r="AA32" s="16" t="n"/>
      <c r="AB32" s="16" t="n"/>
      <c r="AC32" s="20">
        <f>IF(OR(Z32="",AA32="",AB32=""),"",(--TRIM(LEFT(Z32,2)))*(--TRIM(LEFT(AA32,2)))*(--TRIM(LEFT(AB32,2))))</f>
        <v/>
      </c>
      <c r="AD32" s="20">
        <f>IF(OR(Z32="",AA32="",AB32=""),"",INDEX(APGrid,COUNTIF(APS,"&gt;"&amp;(--TRIM(LEFT(Z32,2))))*5+COUNTIF(APO,"&gt;"&amp;(--TRIM(LEFT(AA32,2))))+1,COUNTIF(APD,"&gt;"&amp;(--TRIM(LEFT(AB32,2))))+1))</f>
        <v/>
      </c>
      <c r="AE32" s="4" t="n"/>
      <c r="AF32" s="4" t="n"/>
      <c r="AH32">
        <f>IFERROR(INDEX(EqTag,_xlfn.AGGREGATE(15,6,(ROW(EqTag)-4)/((EqSys=$D$3)*(EqTag&lt;&gt;"")),ROWS($AH$14:AH32))),"")</f>
        <v/>
      </c>
    </row>
    <row r="33">
      <c r="A33" s="20">
        <f>IF(F33="","",LEFT($D$3,3)&amp;"-"&amp;TEXT(COUNTIF(F$14:F33,"?*"),"00"))</f>
        <v/>
      </c>
      <c r="B33" s="4" t="n"/>
      <c r="C33" s="5">
        <f>IF(B33="","",IFERROR(INDEX(EqTypeCol,MATCH(B33,EqTag,0)),"Tag not in register"))</f>
        <v/>
      </c>
      <c r="D33" s="4" t="n"/>
      <c r="E33" s="4" t="n"/>
      <c r="F33" s="4" t="n"/>
      <c r="G33" s="4" t="n"/>
      <c r="H33" s="4" t="n"/>
      <c r="I33" s="4" t="n"/>
      <c r="J33" s="5">
        <f>_xlfn.TEXTJOIN(CHAR(10),TRUE,IF(G33="","","• "&amp;G33),IF(H33="","","• "&amp;H33),IF(I33="","","• "&amp;I33))</f>
        <v/>
      </c>
      <c r="K33" s="4" t="n"/>
      <c r="L33" s="4" t="n"/>
      <c r="M33" s="4" t="n"/>
      <c r="N33" s="16" t="n"/>
      <c r="O33" s="4" t="n"/>
      <c r="P33" s="16" t="n"/>
      <c r="Q33" s="4" t="n"/>
      <c r="R33" s="16" t="n"/>
      <c r="S33" s="20">
        <f>IF(OR(N33="",P33="",R33=""),"",(--TRIM(LEFT(N33,2)))*(--TRIM(LEFT(P33,2)))*(--TRIM(LEFT(R33,2))))</f>
        <v/>
      </c>
      <c r="T33" s="20">
        <f>IF(OR(N33="",P33="",R33=""),"",INDEX(APGrid,COUNTIF(APS,"&gt;"&amp;(--TRIM(LEFT(N33,2))))*5+COUNTIF(APO,"&gt;"&amp;(--TRIM(LEFT(P33,2))))+1,COUNTIF(APD,"&gt;"&amp;(--TRIM(LEFT(R33,2))))+1))</f>
        <v/>
      </c>
      <c r="U33" s="20">
        <f>IF(S33="","",IF(OR((--TRIM(LEFT(N33,2)))&gt;=SThr,S33&gt;=RPNThr,T33="H"),"Yes","No"))</f>
        <v/>
      </c>
      <c r="V33" s="4" t="n"/>
      <c r="W33" s="4" t="n"/>
      <c r="X33" s="4" t="n"/>
      <c r="Y33" s="29" t="n"/>
      <c r="Z33" s="16" t="n"/>
      <c r="AA33" s="16" t="n"/>
      <c r="AB33" s="16" t="n"/>
      <c r="AC33" s="20">
        <f>IF(OR(Z33="",AA33="",AB33=""),"",(--TRIM(LEFT(Z33,2)))*(--TRIM(LEFT(AA33,2)))*(--TRIM(LEFT(AB33,2))))</f>
        <v/>
      </c>
      <c r="AD33" s="20">
        <f>IF(OR(Z33="",AA33="",AB33=""),"",INDEX(APGrid,COUNTIF(APS,"&gt;"&amp;(--TRIM(LEFT(Z33,2))))*5+COUNTIF(APO,"&gt;"&amp;(--TRIM(LEFT(AA33,2))))+1,COUNTIF(APD,"&gt;"&amp;(--TRIM(LEFT(AB33,2))))+1))</f>
        <v/>
      </c>
      <c r="AE33" s="4" t="n"/>
      <c r="AF33" s="4" t="n"/>
      <c r="AH33">
        <f>IFERROR(INDEX(EqTag,_xlfn.AGGREGATE(15,6,(ROW(EqTag)-4)/((EqSys=$D$3)*(EqTag&lt;&gt;"")),ROWS($AH$14:AH33))),"")</f>
        <v/>
      </c>
    </row>
    <row r="34">
      <c r="A34" s="20">
        <f>IF(F34="","",LEFT($D$3,3)&amp;"-"&amp;TEXT(COUNTIF(F$14:F34,"?*"),"00"))</f>
        <v/>
      </c>
      <c r="B34" s="4" t="n"/>
      <c r="C34" s="5">
        <f>IF(B34="","",IFERROR(INDEX(EqTypeCol,MATCH(B34,EqTag,0)),"Tag not in register"))</f>
        <v/>
      </c>
      <c r="D34" s="4" t="n"/>
      <c r="E34" s="4" t="n"/>
      <c r="F34" s="4" t="n"/>
      <c r="G34" s="4" t="n"/>
      <c r="H34" s="4" t="n"/>
      <c r="I34" s="4" t="n"/>
      <c r="J34" s="5">
        <f>_xlfn.TEXTJOIN(CHAR(10),TRUE,IF(G34="","","• "&amp;G34),IF(H34="","","• "&amp;H34),IF(I34="","","• "&amp;I34))</f>
        <v/>
      </c>
      <c r="K34" s="4" t="n"/>
      <c r="L34" s="4" t="n"/>
      <c r="M34" s="4" t="n"/>
      <c r="N34" s="16" t="n"/>
      <c r="O34" s="4" t="n"/>
      <c r="P34" s="16" t="n"/>
      <c r="Q34" s="4" t="n"/>
      <c r="R34" s="16" t="n"/>
      <c r="S34" s="20">
        <f>IF(OR(N34="",P34="",R34=""),"",(--TRIM(LEFT(N34,2)))*(--TRIM(LEFT(P34,2)))*(--TRIM(LEFT(R34,2))))</f>
        <v/>
      </c>
      <c r="T34" s="20">
        <f>IF(OR(N34="",P34="",R34=""),"",INDEX(APGrid,COUNTIF(APS,"&gt;"&amp;(--TRIM(LEFT(N34,2))))*5+COUNTIF(APO,"&gt;"&amp;(--TRIM(LEFT(P34,2))))+1,COUNTIF(APD,"&gt;"&amp;(--TRIM(LEFT(R34,2))))+1))</f>
        <v/>
      </c>
      <c r="U34" s="20">
        <f>IF(S34="","",IF(OR((--TRIM(LEFT(N34,2)))&gt;=SThr,S34&gt;=RPNThr,T34="H"),"Yes","No"))</f>
        <v/>
      </c>
      <c r="V34" s="4" t="n"/>
      <c r="W34" s="4" t="n"/>
      <c r="X34" s="4" t="n"/>
      <c r="Y34" s="29" t="n"/>
      <c r="Z34" s="16" t="n"/>
      <c r="AA34" s="16" t="n"/>
      <c r="AB34" s="16" t="n"/>
      <c r="AC34" s="20">
        <f>IF(OR(Z34="",AA34="",AB34=""),"",(--TRIM(LEFT(Z34,2)))*(--TRIM(LEFT(AA34,2)))*(--TRIM(LEFT(AB34,2))))</f>
        <v/>
      </c>
      <c r="AD34" s="20">
        <f>IF(OR(Z34="",AA34="",AB34=""),"",INDEX(APGrid,COUNTIF(APS,"&gt;"&amp;(--TRIM(LEFT(Z34,2))))*5+COUNTIF(APO,"&gt;"&amp;(--TRIM(LEFT(AA34,2))))+1,COUNTIF(APD,"&gt;"&amp;(--TRIM(LEFT(AB34,2))))+1))</f>
        <v/>
      </c>
      <c r="AE34" s="4" t="n"/>
      <c r="AF34" s="4" t="n"/>
      <c r="AH34">
        <f>IFERROR(INDEX(EqTag,_xlfn.AGGREGATE(15,6,(ROW(EqTag)-4)/((EqSys=$D$3)*(EqTag&lt;&gt;"")),ROWS($AH$14:AH34))),"")</f>
        <v/>
      </c>
    </row>
    <row r="35">
      <c r="A35" s="20">
        <f>IF(F35="","",LEFT($D$3,3)&amp;"-"&amp;TEXT(COUNTIF(F$14:F35,"?*"),"00"))</f>
        <v/>
      </c>
      <c r="B35" s="4" t="n"/>
      <c r="C35" s="5">
        <f>IF(B35="","",IFERROR(INDEX(EqTypeCol,MATCH(B35,EqTag,0)),"Tag not in register"))</f>
        <v/>
      </c>
      <c r="D35" s="4" t="n"/>
      <c r="E35" s="4" t="n"/>
      <c r="F35" s="4" t="n"/>
      <c r="G35" s="4" t="n"/>
      <c r="H35" s="4" t="n"/>
      <c r="I35" s="4" t="n"/>
      <c r="J35" s="5">
        <f>_xlfn.TEXTJOIN(CHAR(10),TRUE,IF(G35="","","• "&amp;G35),IF(H35="","","• "&amp;H35),IF(I35="","","• "&amp;I35))</f>
        <v/>
      </c>
      <c r="K35" s="4" t="n"/>
      <c r="L35" s="4" t="n"/>
      <c r="M35" s="4" t="n"/>
      <c r="N35" s="16" t="n"/>
      <c r="O35" s="4" t="n"/>
      <c r="P35" s="16" t="n"/>
      <c r="Q35" s="4" t="n"/>
      <c r="R35" s="16" t="n"/>
      <c r="S35" s="20">
        <f>IF(OR(N35="",P35="",R35=""),"",(--TRIM(LEFT(N35,2)))*(--TRIM(LEFT(P35,2)))*(--TRIM(LEFT(R35,2))))</f>
        <v/>
      </c>
      <c r="T35" s="20">
        <f>IF(OR(N35="",P35="",R35=""),"",INDEX(APGrid,COUNTIF(APS,"&gt;"&amp;(--TRIM(LEFT(N35,2))))*5+COUNTIF(APO,"&gt;"&amp;(--TRIM(LEFT(P35,2))))+1,COUNTIF(APD,"&gt;"&amp;(--TRIM(LEFT(R35,2))))+1))</f>
        <v/>
      </c>
      <c r="U35" s="20">
        <f>IF(S35="","",IF(OR((--TRIM(LEFT(N35,2)))&gt;=SThr,S35&gt;=RPNThr,T35="H"),"Yes","No"))</f>
        <v/>
      </c>
      <c r="V35" s="4" t="n"/>
      <c r="W35" s="4" t="n"/>
      <c r="X35" s="4" t="n"/>
      <c r="Y35" s="29" t="n"/>
      <c r="Z35" s="16" t="n"/>
      <c r="AA35" s="16" t="n"/>
      <c r="AB35" s="16" t="n"/>
      <c r="AC35" s="20">
        <f>IF(OR(Z35="",AA35="",AB35=""),"",(--TRIM(LEFT(Z35,2)))*(--TRIM(LEFT(AA35,2)))*(--TRIM(LEFT(AB35,2))))</f>
        <v/>
      </c>
      <c r="AD35" s="20">
        <f>IF(OR(Z35="",AA35="",AB35=""),"",INDEX(APGrid,COUNTIF(APS,"&gt;"&amp;(--TRIM(LEFT(Z35,2))))*5+COUNTIF(APO,"&gt;"&amp;(--TRIM(LEFT(AA35,2))))+1,COUNTIF(APD,"&gt;"&amp;(--TRIM(LEFT(AB35,2))))+1))</f>
        <v/>
      </c>
      <c r="AE35" s="4" t="n"/>
      <c r="AF35" s="4" t="n"/>
      <c r="AH35">
        <f>IFERROR(INDEX(EqTag,_xlfn.AGGREGATE(15,6,(ROW(EqTag)-4)/((EqSys=$D$3)*(EqTag&lt;&gt;"")),ROWS($AH$14:AH35))),"")</f>
        <v/>
      </c>
    </row>
    <row r="36">
      <c r="A36" s="20">
        <f>IF(F36="","",LEFT($D$3,3)&amp;"-"&amp;TEXT(COUNTIF(F$14:F36,"?*"),"00"))</f>
        <v/>
      </c>
      <c r="B36" s="4" t="n"/>
      <c r="C36" s="5">
        <f>IF(B36="","",IFERROR(INDEX(EqTypeCol,MATCH(B36,EqTag,0)),"Tag not in register"))</f>
        <v/>
      </c>
      <c r="D36" s="4" t="n"/>
      <c r="E36" s="4" t="n"/>
      <c r="F36" s="4" t="n"/>
      <c r="G36" s="4" t="n"/>
      <c r="H36" s="4" t="n"/>
      <c r="I36" s="4" t="n"/>
      <c r="J36" s="5">
        <f>_xlfn.TEXTJOIN(CHAR(10),TRUE,IF(G36="","","• "&amp;G36),IF(H36="","","• "&amp;H36),IF(I36="","","• "&amp;I36))</f>
        <v/>
      </c>
      <c r="K36" s="4" t="n"/>
      <c r="L36" s="4" t="n"/>
      <c r="M36" s="4" t="n"/>
      <c r="N36" s="16" t="n"/>
      <c r="O36" s="4" t="n"/>
      <c r="P36" s="16" t="n"/>
      <c r="Q36" s="4" t="n"/>
      <c r="R36" s="16" t="n"/>
      <c r="S36" s="20">
        <f>IF(OR(N36="",P36="",R36=""),"",(--TRIM(LEFT(N36,2)))*(--TRIM(LEFT(P36,2)))*(--TRIM(LEFT(R36,2))))</f>
        <v/>
      </c>
      <c r="T36" s="20">
        <f>IF(OR(N36="",P36="",R36=""),"",INDEX(APGrid,COUNTIF(APS,"&gt;"&amp;(--TRIM(LEFT(N36,2))))*5+COUNTIF(APO,"&gt;"&amp;(--TRIM(LEFT(P36,2))))+1,COUNTIF(APD,"&gt;"&amp;(--TRIM(LEFT(R36,2))))+1))</f>
        <v/>
      </c>
      <c r="U36" s="20">
        <f>IF(S36="","",IF(OR((--TRIM(LEFT(N36,2)))&gt;=SThr,S36&gt;=RPNThr,T36="H"),"Yes","No"))</f>
        <v/>
      </c>
      <c r="V36" s="4" t="n"/>
      <c r="W36" s="4" t="n"/>
      <c r="X36" s="4" t="n"/>
      <c r="Y36" s="29" t="n"/>
      <c r="Z36" s="16" t="n"/>
      <c r="AA36" s="16" t="n"/>
      <c r="AB36" s="16" t="n"/>
      <c r="AC36" s="20">
        <f>IF(OR(Z36="",AA36="",AB36=""),"",(--TRIM(LEFT(Z36,2)))*(--TRIM(LEFT(AA36,2)))*(--TRIM(LEFT(AB36,2))))</f>
        <v/>
      </c>
      <c r="AD36" s="20">
        <f>IF(OR(Z36="",AA36="",AB36=""),"",INDEX(APGrid,COUNTIF(APS,"&gt;"&amp;(--TRIM(LEFT(Z36,2))))*5+COUNTIF(APO,"&gt;"&amp;(--TRIM(LEFT(AA36,2))))+1,COUNTIF(APD,"&gt;"&amp;(--TRIM(LEFT(AB36,2))))+1))</f>
        <v/>
      </c>
      <c r="AE36" s="4" t="n"/>
      <c r="AF36" s="4" t="n"/>
      <c r="AH36">
        <f>IFERROR(INDEX(EqTag,_xlfn.AGGREGATE(15,6,(ROW(EqTag)-4)/((EqSys=$D$3)*(EqTag&lt;&gt;"")),ROWS($AH$14:AH36))),"")</f>
        <v/>
      </c>
    </row>
    <row r="37">
      <c r="A37" s="20">
        <f>IF(F37="","",LEFT($D$3,3)&amp;"-"&amp;TEXT(COUNTIF(F$14:F37,"?*"),"00"))</f>
        <v/>
      </c>
      <c r="B37" s="4" t="n"/>
      <c r="C37" s="5">
        <f>IF(B37="","",IFERROR(INDEX(EqTypeCol,MATCH(B37,EqTag,0)),"Tag not in register"))</f>
        <v/>
      </c>
      <c r="D37" s="4" t="n"/>
      <c r="E37" s="4" t="n"/>
      <c r="F37" s="4" t="n"/>
      <c r="G37" s="4" t="n"/>
      <c r="H37" s="4" t="n"/>
      <c r="I37" s="4" t="n"/>
      <c r="J37" s="5">
        <f>_xlfn.TEXTJOIN(CHAR(10),TRUE,IF(G37="","","• "&amp;G37),IF(H37="","","• "&amp;H37),IF(I37="","","• "&amp;I37))</f>
        <v/>
      </c>
      <c r="K37" s="4" t="n"/>
      <c r="L37" s="4" t="n"/>
      <c r="M37" s="4" t="n"/>
      <c r="N37" s="16" t="n"/>
      <c r="O37" s="4" t="n"/>
      <c r="P37" s="16" t="n"/>
      <c r="Q37" s="4" t="n"/>
      <c r="R37" s="16" t="n"/>
      <c r="S37" s="20">
        <f>IF(OR(N37="",P37="",R37=""),"",(--TRIM(LEFT(N37,2)))*(--TRIM(LEFT(P37,2)))*(--TRIM(LEFT(R37,2))))</f>
        <v/>
      </c>
      <c r="T37" s="20">
        <f>IF(OR(N37="",P37="",R37=""),"",INDEX(APGrid,COUNTIF(APS,"&gt;"&amp;(--TRIM(LEFT(N37,2))))*5+COUNTIF(APO,"&gt;"&amp;(--TRIM(LEFT(P37,2))))+1,COUNTIF(APD,"&gt;"&amp;(--TRIM(LEFT(R37,2))))+1))</f>
        <v/>
      </c>
      <c r="U37" s="20">
        <f>IF(S37="","",IF(OR((--TRIM(LEFT(N37,2)))&gt;=SThr,S37&gt;=RPNThr,T37="H"),"Yes","No"))</f>
        <v/>
      </c>
      <c r="V37" s="4" t="n"/>
      <c r="W37" s="4" t="n"/>
      <c r="X37" s="4" t="n"/>
      <c r="Y37" s="29" t="n"/>
      <c r="Z37" s="16" t="n"/>
      <c r="AA37" s="16" t="n"/>
      <c r="AB37" s="16" t="n"/>
      <c r="AC37" s="20">
        <f>IF(OR(Z37="",AA37="",AB37=""),"",(--TRIM(LEFT(Z37,2)))*(--TRIM(LEFT(AA37,2)))*(--TRIM(LEFT(AB37,2))))</f>
        <v/>
      </c>
      <c r="AD37" s="20">
        <f>IF(OR(Z37="",AA37="",AB37=""),"",INDEX(APGrid,COUNTIF(APS,"&gt;"&amp;(--TRIM(LEFT(Z37,2))))*5+COUNTIF(APO,"&gt;"&amp;(--TRIM(LEFT(AA37,2))))+1,COUNTIF(APD,"&gt;"&amp;(--TRIM(LEFT(AB37,2))))+1))</f>
        <v/>
      </c>
      <c r="AE37" s="4" t="n"/>
      <c r="AF37" s="4" t="n"/>
      <c r="AH37">
        <f>IFERROR(INDEX(EqTag,_xlfn.AGGREGATE(15,6,(ROW(EqTag)-4)/((EqSys=$D$3)*(EqTag&lt;&gt;"")),ROWS($AH$14:AH37))),"")</f>
        <v/>
      </c>
    </row>
    <row r="38">
      <c r="A38" s="20">
        <f>IF(F38="","",LEFT($D$3,3)&amp;"-"&amp;TEXT(COUNTIF(F$14:F38,"?*"),"00"))</f>
        <v/>
      </c>
      <c r="B38" s="4" t="n"/>
      <c r="C38" s="5">
        <f>IF(B38="","",IFERROR(INDEX(EqTypeCol,MATCH(B38,EqTag,0)),"Tag not in register"))</f>
        <v/>
      </c>
      <c r="D38" s="4" t="n"/>
      <c r="E38" s="4" t="n"/>
      <c r="F38" s="4" t="n"/>
      <c r="G38" s="4" t="n"/>
      <c r="H38" s="4" t="n"/>
      <c r="I38" s="4" t="n"/>
      <c r="J38" s="5">
        <f>_xlfn.TEXTJOIN(CHAR(10),TRUE,IF(G38="","","• "&amp;G38),IF(H38="","","• "&amp;H38),IF(I38="","","• "&amp;I38))</f>
        <v/>
      </c>
      <c r="K38" s="4" t="n"/>
      <c r="L38" s="4" t="n"/>
      <c r="M38" s="4" t="n"/>
      <c r="N38" s="16" t="n"/>
      <c r="O38" s="4" t="n"/>
      <c r="P38" s="16" t="n"/>
      <c r="Q38" s="4" t="n"/>
      <c r="R38" s="16" t="n"/>
      <c r="S38" s="20">
        <f>IF(OR(N38="",P38="",R38=""),"",(--TRIM(LEFT(N38,2)))*(--TRIM(LEFT(P38,2)))*(--TRIM(LEFT(R38,2))))</f>
        <v/>
      </c>
      <c r="T38" s="20">
        <f>IF(OR(N38="",P38="",R38=""),"",INDEX(APGrid,COUNTIF(APS,"&gt;"&amp;(--TRIM(LEFT(N38,2))))*5+COUNTIF(APO,"&gt;"&amp;(--TRIM(LEFT(P38,2))))+1,COUNTIF(APD,"&gt;"&amp;(--TRIM(LEFT(R38,2))))+1))</f>
        <v/>
      </c>
      <c r="U38" s="20">
        <f>IF(S38="","",IF(OR((--TRIM(LEFT(N38,2)))&gt;=SThr,S38&gt;=RPNThr,T38="H"),"Yes","No"))</f>
        <v/>
      </c>
      <c r="V38" s="4" t="n"/>
      <c r="W38" s="4" t="n"/>
      <c r="X38" s="4" t="n"/>
      <c r="Y38" s="29" t="n"/>
      <c r="Z38" s="16" t="n"/>
      <c r="AA38" s="16" t="n"/>
      <c r="AB38" s="16" t="n"/>
      <c r="AC38" s="20">
        <f>IF(OR(Z38="",AA38="",AB38=""),"",(--TRIM(LEFT(Z38,2)))*(--TRIM(LEFT(AA38,2)))*(--TRIM(LEFT(AB38,2))))</f>
        <v/>
      </c>
      <c r="AD38" s="20">
        <f>IF(OR(Z38="",AA38="",AB38=""),"",INDEX(APGrid,COUNTIF(APS,"&gt;"&amp;(--TRIM(LEFT(Z38,2))))*5+COUNTIF(APO,"&gt;"&amp;(--TRIM(LEFT(AA38,2))))+1,COUNTIF(APD,"&gt;"&amp;(--TRIM(LEFT(AB38,2))))+1))</f>
        <v/>
      </c>
      <c r="AE38" s="4" t="n"/>
      <c r="AF38" s="4" t="n"/>
      <c r="AH38">
        <f>IFERROR(INDEX(EqTag,_xlfn.AGGREGATE(15,6,(ROW(EqTag)-4)/((EqSys=$D$3)*(EqTag&lt;&gt;"")),ROWS($AH$14:AH38))),"")</f>
        <v/>
      </c>
    </row>
    <row r="39">
      <c r="A39" s="20">
        <f>IF(F39="","",LEFT($D$3,3)&amp;"-"&amp;TEXT(COUNTIF(F$14:F39,"?*"),"00"))</f>
        <v/>
      </c>
      <c r="B39" s="4" t="n"/>
      <c r="C39" s="5">
        <f>IF(B39="","",IFERROR(INDEX(EqTypeCol,MATCH(B39,EqTag,0)),"Tag not in register"))</f>
        <v/>
      </c>
      <c r="D39" s="4" t="n"/>
      <c r="E39" s="4" t="n"/>
      <c r="F39" s="4" t="n"/>
      <c r="G39" s="4" t="n"/>
      <c r="H39" s="4" t="n"/>
      <c r="I39" s="4" t="n"/>
      <c r="J39" s="5">
        <f>_xlfn.TEXTJOIN(CHAR(10),TRUE,IF(G39="","","• "&amp;G39),IF(H39="","","• "&amp;H39),IF(I39="","","• "&amp;I39))</f>
        <v/>
      </c>
      <c r="K39" s="4" t="n"/>
      <c r="L39" s="4" t="n"/>
      <c r="M39" s="4" t="n"/>
      <c r="N39" s="16" t="n"/>
      <c r="O39" s="4" t="n"/>
      <c r="P39" s="16" t="n"/>
      <c r="Q39" s="4" t="n"/>
      <c r="R39" s="16" t="n"/>
      <c r="S39" s="20">
        <f>IF(OR(N39="",P39="",R39=""),"",(--TRIM(LEFT(N39,2)))*(--TRIM(LEFT(P39,2)))*(--TRIM(LEFT(R39,2))))</f>
        <v/>
      </c>
      <c r="T39" s="20">
        <f>IF(OR(N39="",P39="",R39=""),"",INDEX(APGrid,COUNTIF(APS,"&gt;"&amp;(--TRIM(LEFT(N39,2))))*5+COUNTIF(APO,"&gt;"&amp;(--TRIM(LEFT(P39,2))))+1,COUNTIF(APD,"&gt;"&amp;(--TRIM(LEFT(R39,2))))+1))</f>
        <v/>
      </c>
      <c r="U39" s="20">
        <f>IF(S39="","",IF(OR((--TRIM(LEFT(N39,2)))&gt;=SThr,S39&gt;=RPNThr,T39="H"),"Yes","No"))</f>
        <v/>
      </c>
      <c r="V39" s="4" t="n"/>
      <c r="W39" s="4" t="n"/>
      <c r="X39" s="4" t="n"/>
      <c r="Y39" s="29" t="n"/>
      <c r="Z39" s="16" t="n"/>
      <c r="AA39" s="16" t="n"/>
      <c r="AB39" s="16" t="n"/>
      <c r="AC39" s="20">
        <f>IF(OR(Z39="",AA39="",AB39=""),"",(--TRIM(LEFT(Z39,2)))*(--TRIM(LEFT(AA39,2)))*(--TRIM(LEFT(AB39,2))))</f>
        <v/>
      </c>
      <c r="AD39" s="20">
        <f>IF(OR(Z39="",AA39="",AB39=""),"",INDEX(APGrid,COUNTIF(APS,"&gt;"&amp;(--TRIM(LEFT(Z39,2))))*5+COUNTIF(APO,"&gt;"&amp;(--TRIM(LEFT(AA39,2))))+1,COUNTIF(APD,"&gt;"&amp;(--TRIM(LEFT(AB39,2))))+1))</f>
        <v/>
      </c>
      <c r="AE39" s="4" t="n"/>
      <c r="AF39" s="4" t="n"/>
      <c r="AH39">
        <f>IFERROR(INDEX(EqTag,_xlfn.AGGREGATE(15,6,(ROW(EqTag)-4)/((EqSys=$D$3)*(EqTag&lt;&gt;"")),ROWS($AH$14:AH39))),"")</f>
        <v/>
      </c>
    </row>
    <row r="40">
      <c r="A40" s="20">
        <f>IF(F40="","",LEFT($D$3,3)&amp;"-"&amp;TEXT(COUNTIF(F$14:F40,"?*"),"00"))</f>
        <v/>
      </c>
      <c r="B40" s="4" t="n"/>
      <c r="C40" s="5">
        <f>IF(B40="","",IFERROR(INDEX(EqTypeCol,MATCH(B40,EqTag,0)),"Tag not in register"))</f>
        <v/>
      </c>
      <c r="D40" s="4" t="n"/>
      <c r="E40" s="4" t="n"/>
      <c r="F40" s="4" t="n"/>
      <c r="G40" s="4" t="n"/>
      <c r="H40" s="4" t="n"/>
      <c r="I40" s="4" t="n"/>
      <c r="J40" s="5">
        <f>_xlfn.TEXTJOIN(CHAR(10),TRUE,IF(G40="","","• "&amp;G40),IF(H40="","","• "&amp;H40),IF(I40="","","• "&amp;I40))</f>
        <v/>
      </c>
      <c r="K40" s="4" t="n"/>
      <c r="L40" s="4" t="n"/>
      <c r="M40" s="4" t="n"/>
      <c r="N40" s="16" t="n"/>
      <c r="O40" s="4" t="n"/>
      <c r="P40" s="16" t="n"/>
      <c r="Q40" s="4" t="n"/>
      <c r="R40" s="16" t="n"/>
      <c r="S40" s="20">
        <f>IF(OR(N40="",P40="",R40=""),"",(--TRIM(LEFT(N40,2)))*(--TRIM(LEFT(P40,2)))*(--TRIM(LEFT(R40,2))))</f>
        <v/>
      </c>
      <c r="T40" s="20">
        <f>IF(OR(N40="",P40="",R40=""),"",INDEX(APGrid,COUNTIF(APS,"&gt;"&amp;(--TRIM(LEFT(N40,2))))*5+COUNTIF(APO,"&gt;"&amp;(--TRIM(LEFT(P40,2))))+1,COUNTIF(APD,"&gt;"&amp;(--TRIM(LEFT(R40,2))))+1))</f>
        <v/>
      </c>
      <c r="U40" s="20">
        <f>IF(S40="","",IF(OR((--TRIM(LEFT(N40,2)))&gt;=SThr,S40&gt;=RPNThr,T40="H"),"Yes","No"))</f>
        <v/>
      </c>
      <c r="V40" s="4" t="n"/>
      <c r="W40" s="4" t="n"/>
      <c r="X40" s="4" t="n"/>
      <c r="Y40" s="29" t="n"/>
      <c r="Z40" s="16" t="n"/>
      <c r="AA40" s="16" t="n"/>
      <c r="AB40" s="16" t="n"/>
      <c r="AC40" s="20">
        <f>IF(OR(Z40="",AA40="",AB40=""),"",(--TRIM(LEFT(Z40,2)))*(--TRIM(LEFT(AA40,2)))*(--TRIM(LEFT(AB40,2))))</f>
        <v/>
      </c>
      <c r="AD40" s="20">
        <f>IF(OR(Z40="",AA40="",AB40=""),"",INDEX(APGrid,COUNTIF(APS,"&gt;"&amp;(--TRIM(LEFT(Z40,2))))*5+COUNTIF(APO,"&gt;"&amp;(--TRIM(LEFT(AA40,2))))+1,COUNTIF(APD,"&gt;"&amp;(--TRIM(LEFT(AB40,2))))+1))</f>
        <v/>
      </c>
      <c r="AE40" s="4" t="n"/>
      <c r="AF40" s="4" t="n"/>
      <c r="AH40">
        <f>IFERROR(INDEX(EqTag,_xlfn.AGGREGATE(15,6,(ROW(EqTag)-4)/((EqSys=$D$3)*(EqTag&lt;&gt;"")),ROWS($AH$14:AH40))),"")</f>
        <v/>
      </c>
    </row>
    <row r="41">
      <c r="A41" s="20">
        <f>IF(F41="","",LEFT($D$3,3)&amp;"-"&amp;TEXT(COUNTIF(F$14:F41,"?*"),"00"))</f>
        <v/>
      </c>
      <c r="B41" s="4" t="n"/>
      <c r="C41" s="5">
        <f>IF(B41="","",IFERROR(INDEX(EqTypeCol,MATCH(B41,EqTag,0)),"Tag not in register"))</f>
        <v/>
      </c>
      <c r="D41" s="4" t="n"/>
      <c r="E41" s="4" t="n"/>
      <c r="F41" s="4" t="n"/>
      <c r="G41" s="4" t="n"/>
      <c r="H41" s="4" t="n"/>
      <c r="I41" s="4" t="n"/>
      <c r="J41" s="5">
        <f>_xlfn.TEXTJOIN(CHAR(10),TRUE,IF(G41="","","• "&amp;G41),IF(H41="","","• "&amp;H41),IF(I41="","","• "&amp;I41))</f>
        <v/>
      </c>
      <c r="K41" s="4" t="n"/>
      <c r="L41" s="4" t="n"/>
      <c r="M41" s="4" t="n"/>
      <c r="N41" s="16" t="n"/>
      <c r="O41" s="4" t="n"/>
      <c r="P41" s="16" t="n"/>
      <c r="Q41" s="4" t="n"/>
      <c r="R41" s="16" t="n"/>
      <c r="S41" s="20">
        <f>IF(OR(N41="",P41="",R41=""),"",(--TRIM(LEFT(N41,2)))*(--TRIM(LEFT(P41,2)))*(--TRIM(LEFT(R41,2))))</f>
        <v/>
      </c>
      <c r="T41" s="20">
        <f>IF(OR(N41="",P41="",R41=""),"",INDEX(APGrid,COUNTIF(APS,"&gt;"&amp;(--TRIM(LEFT(N41,2))))*5+COUNTIF(APO,"&gt;"&amp;(--TRIM(LEFT(P41,2))))+1,COUNTIF(APD,"&gt;"&amp;(--TRIM(LEFT(R41,2))))+1))</f>
        <v/>
      </c>
      <c r="U41" s="20">
        <f>IF(S41="","",IF(OR((--TRIM(LEFT(N41,2)))&gt;=SThr,S41&gt;=RPNThr,T41="H"),"Yes","No"))</f>
        <v/>
      </c>
      <c r="V41" s="4" t="n"/>
      <c r="W41" s="4" t="n"/>
      <c r="X41" s="4" t="n"/>
      <c r="Y41" s="29" t="n"/>
      <c r="Z41" s="16" t="n"/>
      <c r="AA41" s="16" t="n"/>
      <c r="AB41" s="16" t="n"/>
      <c r="AC41" s="20">
        <f>IF(OR(Z41="",AA41="",AB41=""),"",(--TRIM(LEFT(Z41,2)))*(--TRIM(LEFT(AA41,2)))*(--TRIM(LEFT(AB41,2))))</f>
        <v/>
      </c>
      <c r="AD41" s="20">
        <f>IF(OR(Z41="",AA41="",AB41=""),"",INDEX(APGrid,COUNTIF(APS,"&gt;"&amp;(--TRIM(LEFT(Z41,2))))*5+COUNTIF(APO,"&gt;"&amp;(--TRIM(LEFT(AA41,2))))+1,COUNTIF(APD,"&gt;"&amp;(--TRIM(LEFT(AB41,2))))+1))</f>
        <v/>
      </c>
      <c r="AE41" s="4" t="n"/>
      <c r="AF41" s="4" t="n"/>
      <c r="AH41">
        <f>IFERROR(INDEX(EqTag,_xlfn.AGGREGATE(15,6,(ROW(EqTag)-4)/((EqSys=$D$3)*(EqTag&lt;&gt;"")),ROWS($AH$14:AH41))),"")</f>
        <v/>
      </c>
    </row>
    <row r="42">
      <c r="A42" s="20">
        <f>IF(F42="","",LEFT($D$3,3)&amp;"-"&amp;TEXT(COUNTIF(F$14:F42,"?*"),"00"))</f>
        <v/>
      </c>
      <c r="B42" s="4" t="n"/>
      <c r="C42" s="5">
        <f>IF(B42="","",IFERROR(INDEX(EqTypeCol,MATCH(B42,EqTag,0)),"Tag not in register"))</f>
        <v/>
      </c>
      <c r="D42" s="4" t="n"/>
      <c r="E42" s="4" t="n"/>
      <c r="F42" s="4" t="n"/>
      <c r="G42" s="4" t="n"/>
      <c r="H42" s="4" t="n"/>
      <c r="I42" s="4" t="n"/>
      <c r="J42" s="5">
        <f>_xlfn.TEXTJOIN(CHAR(10),TRUE,IF(G42="","","• "&amp;G42),IF(H42="","","• "&amp;H42),IF(I42="","","• "&amp;I42))</f>
        <v/>
      </c>
      <c r="K42" s="4" t="n"/>
      <c r="L42" s="4" t="n"/>
      <c r="M42" s="4" t="n"/>
      <c r="N42" s="16" t="n"/>
      <c r="O42" s="4" t="n"/>
      <c r="P42" s="16" t="n"/>
      <c r="Q42" s="4" t="n"/>
      <c r="R42" s="16" t="n"/>
      <c r="S42" s="20">
        <f>IF(OR(N42="",P42="",R42=""),"",(--TRIM(LEFT(N42,2)))*(--TRIM(LEFT(P42,2)))*(--TRIM(LEFT(R42,2))))</f>
        <v/>
      </c>
      <c r="T42" s="20">
        <f>IF(OR(N42="",P42="",R42=""),"",INDEX(APGrid,COUNTIF(APS,"&gt;"&amp;(--TRIM(LEFT(N42,2))))*5+COUNTIF(APO,"&gt;"&amp;(--TRIM(LEFT(P42,2))))+1,COUNTIF(APD,"&gt;"&amp;(--TRIM(LEFT(R42,2))))+1))</f>
        <v/>
      </c>
      <c r="U42" s="20">
        <f>IF(S42="","",IF(OR((--TRIM(LEFT(N42,2)))&gt;=SThr,S42&gt;=RPNThr,T42="H"),"Yes","No"))</f>
        <v/>
      </c>
      <c r="V42" s="4" t="n"/>
      <c r="W42" s="4" t="n"/>
      <c r="X42" s="4" t="n"/>
      <c r="Y42" s="29" t="n"/>
      <c r="Z42" s="16" t="n"/>
      <c r="AA42" s="16" t="n"/>
      <c r="AB42" s="16" t="n"/>
      <c r="AC42" s="20">
        <f>IF(OR(Z42="",AA42="",AB42=""),"",(--TRIM(LEFT(Z42,2)))*(--TRIM(LEFT(AA42,2)))*(--TRIM(LEFT(AB42,2))))</f>
        <v/>
      </c>
      <c r="AD42" s="20">
        <f>IF(OR(Z42="",AA42="",AB42=""),"",INDEX(APGrid,COUNTIF(APS,"&gt;"&amp;(--TRIM(LEFT(Z42,2))))*5+COUNTIF(APO,"&gt;"&amp;(--TRIM(LEFT(AA42,2))))+1,COUNTIF(APD,"&gt;"&amp;(--TRIM(LEFT(AB42,2))))+1))</f>
        <v/>
      </c>
      <c r="AE42" s="4" t="n"/>
      <c r="AF42" s="4" t="n"/>
      <c r="AH42">
        <f>IFERROR(INDEX(EqTag,_xlfn.AGGREGATE(15,6,(ROW(EqTag)-4)/((EqSys=$D$3)*(EqTag&lt;&gt;"")),ROWS($AH$14:AH42))),"")</f>
        <v/>
      </c>
    </row>
    <row r="43">
      <c r="A43" s="20">
        <f>IF(F43="","",LEFT($D$3,3)&amp;"-"&amp;TEXT(COUNTIF(F$14:F43,"?*"),"00"))</f>
        <v/>
      </c>
      <c r="B43" s="4" t="n"/>
      <c r="C43" s="5">
        <f>IF(B43="","",IFERROR(INDEX(EqTypeCol,MATCH(B43,EqTag,0)),"Tag not in register"))</f>
        <v/>
      </c>
      <c r="D43" s="4" t="n"/>
      <c r="E43" s="4" t="n"/>
      <c r="F43" s="4" t="n"/>
      <c r="G43" s="4" t="n"/>
      <c r="H43" s="4" t="n"/>
      <c r="I43" s="4" t="n"/>
      <c r="J43" s="5">
        <f>_xlfn.TEXTJOIN(CHAR(10),TRUE,IF(G43="","","• "&amp;G43),IF(H43="","","• "&amp;H43),IF(I43="","","• "&amp;I43))</f>
        <v/>
      </c>
      <c r="K43" s="4" t="n"/>
      <c r="L43" s="4" t="n"/>
      <c r="M43" s="4" t="n"/>
      <c r="N43" s="16" t="n"/>
      <c r="O43" s="4" t="n"/>
      <c r="P43" s="16" t="n"/>
      <c r="Q43" s="4" t="n"/>
      <c r="R43" s="16" t="n"/>
      <c r="S43" s="20">
        <f>IF(OR(N43="",P43="",R43=""),"",(--TRIM(LEFT(N43,2)))*(--TRIM(LEFT(P43,2)))*(--TRIM(LEFT(R43,2))))</f>
        <v/>
      </c>
      <c r="T43" s="20">
        <f>IF(OR(N43="",P43="",R43=""),"",INDEX(APGrid,COUNTIF(APS,"&gt;"&amp;(--TRIM(LEFT(N43,2))))*5+COUNTIF(APO,"&gt;"&amp;(--TRIM(LEFT(P43,2))))+1,COUNTIF(APD,"&gt;"&amp;(--TRIM(LEFT(R43,2))))+1))</f>
        <v/>
      </c>
      <c r="U43" s="20">
        <f>IF(S43="","",IF(OR((--TRIM(LEFT(N43,2)))&gt;=SThr,S43&gt;=RPNThr,T43="H"),"Yes","No"))</f>
        <v/>
      </c>
      <c r="V43" s="4" t="n"/>
      <c r="W43" s="4" t="n"/>
      <c r="X43" s="4" t="n"/>
      <c r="Y43" s="29" t="n"/>
      <c r="Z43" s="16" t="n"/>
      <c r="AA43" s="16" t="n"/>
      <c r="AB43" s="16" t="n"/>
      <c r="AC43" s="20">
        <f>IF(OR(Z43="",AA43="",AB43=""),"",(--TRIM(LEFT(Z43,2)))*(--TRIM(LEFT(AA43,2)))*(--TRIM(LEFT(AB43,2))))</f>
        <v/>
      </c>
      <c r="AD43" s="20">
        <f>IF(OR(Z43="",AA43="",AB43=""),"",INDEX(APGrid,COUNTIF(APS,"&gt;"&amp;(--TRIM(LEFT(Z43,2))))*5+COUNTIF(APO,"&gt;"&amp;(--TRIM(LEFT(AA43,2))))+1,COUNTIF(APD,"&gt;"&amp;(--TRIM(LEFT(AB43,2))))+1))</f>
        <v/>
      </c>
      <c r="AE43" s="4" t="n"/>
      <c r="AF43" s="4" t="n"/>
      <c r="AH43">
        <f>IFERROR(INDEX(EqTag,_xlfn.AGGREGATE(15,6,(ROW(EqTag)-4)/((EqSys=$D$3)*(EqTag&lt;&gt;"")),ROWS($AH$14:AH43))),"")</f>
        <v/>
      </c>
    </row>
    <row r="44">
      <c r="A44" s="20">
        <f>IF(F44="","",LEFT($D$3,3)&amp;"-"&amp;TEXT(COUNTIF(F$14:F44,"?*"),"00"))</f>
        <v/>
      </c>
      <c r="B44" s="4" t="n"/>
      <c r="C44" s="5">
        <f>IF(B44="","",IFERROR(INDEX(EqTypeCol,MATCH(B44,EqTag,0)),"Tag not in register"))</f>
        <v/>
      </c>
      <c r="D44" s="4" t="n"/>
      <c r="E44" s="4" t="n"/>
      <c r="F44" s="4" t="n"/>
      <c r="G44" s="4" t="n"/>
      <c r="H44" s="4" t="n"/>
      <c r="I44" s="4" t="n"/>
      <c r="J44" s="5">
        <f>_xlfn.TEXTJOIN(CHAR(10),TRUE,IF(G44="","","• "&amp;G44),IF(H44="","","• "&amp;H44),IF(I44="","","• "&amp;I44))</f>
        <v/>
      </c>
      <c r="K44" s="4" t="n"/>
      <c r="L44" s="4" t="n"/>
      <c r="M44" s="4" t="n"/>
      <c r="N44" s="16" t="n"/>
      <c r="O44" s="4" t="n"/>
      <c r="P44" s="16" t="n"/>
      <c r="Q44" s="4" t="n"/>
      <c r="R44" s="16" t="n"/>
      <c r="S44" s="20">
        <f>IF(OR(N44="",P44="",R44=""),"",(--TRIM(LEFT(N44,2)))*(--TRIM(LEFT(P44,2)))*(--TRIM(LEFT(R44,2))))</f>
        <v/>
      </c>
      <c r="T44" s="20">
        <f>IF(OR(N44="",P44="",R44=""),"",INDEX(APGrid,COUNTIF(APS,"&gt;"&amp;(--TRIM(LEFT(N44,2))))*5+COUNTIF(APO,"&gt;"&amp;(--TRIM(LEFT(P44,2))))+1,COUNTIF(APD,"&gt;"&amp;(--TRIM(LEFT(R44,2))))+1))</f>
        <v/>
      </c>
      <c r="U44" s="20">
        <f>IF(S44="","",IF(OR((--TRIM(LEFT(N44,2)))&gt;=SThr,S44&gt;=RPNThr,T44="H"),"Yes","No"))</f>
        <v/>
      </c>
      <c r="V44" s="4" t="n"/>
      <c r="W44" s="4" t="n"/>
      <c r="X44" s="4" t="n"/>
      <c r="Y44" s="29" t="n"/>
      <c r="Z44" s="16" t="n"/>
      <c r="AA44" s="16" t="n"/>
      <c r="AB44" s="16" t="n"/>
      <c r="AC44" s="20">
        <f>IF(OR(Z44="",AA44="",AB44=""),"",(--TRIM(LEFT(Z44,2)))*(--TRIM(LEFT(AA44,2)))*(--TRIM(LEFT(AB44,2))))</f>
        <v/>
      </c>
      <c r="AD44" s="20">
        <f>IF(OR(Z44="",AA44="",AB44=""),"",INDEX(APGrid,COUNTIF(APS,"&gt;"&amp;(--TRIM(LEFT(Z44,2))))*5+COUNTIF(APO,"&gt;"&amp;(--TRIM(LEFT(AA44,2))))+1,COUNTIF(APD,"&gt;"&amp;(--TRIM(LEFT(AB44,2))))+1))</f>
        <v/>
      </c>
      <c r="AE44" s="4" t="n"/>
      <c r="AF44" s="4" t="n"/>
      <c r="AH44">
        <f>IFERROR(INDEX(EqTag,_xlfn.AGGREGATE(15,6,(ROW(EqTag)-4)/((EqSys=$D$3)*(EqTag&lt;&gt;"")),ROWS($AH$14:AH44))),"")</f>
        <v/>
      </c>
    </row>
    <row r="45">
      <c r="A45" s="20">
        <f>IF(F45="","",LEFT($D$3,3)&amp;"-"&amp;TEXT(COUNTIF(F$14:F45,"?*"),"00"))</f>
        <v/>
      </c>
      <c r="B45" s="4" t="n"/>
      <c r="C45" s="5">
        <f>IF(B45="","",IFERROR(INDEX(EqTypeCol,MATCH(B45,EqTag,0)),"Tag not in register"))</f>
        <v/>
      </c>
      <c r="D45" s="4" t="n"/>
      <c r="E45" s="4" t="n"/>
      <c r="F45" s="4" t="n"/>
      <c r="G45" s="4" t="n"/>
      <c r="H45" s="4" t="n"/>
      <c r="I45" s="4" t="n"/>
      <c r="J45" s="5">
        <f>_xlfn.TEXTJOIN(CHAR(10),TRUE,IF(G45="","","• "&amp;G45),IF(H45="","","• "&amp;H45),IF(I45="","","• "&amp;I45))</f>
        <v/>
      </c>
      <c r="K45" s="4" t="n"/>
      <c r="L45" s="4" t="n"/>
      <c r="M45" s="4" t="n"/>
      <c r="N45" s="16" t="n"/>
      <c r="O45" s="4" t="n"/>
      <c r="P45" s="16" t="n"/>
      <c r="Q45" s="4" t="n"/>
      <c r="R45" s="16" t="n"/>
      <c r="S45" s="20">
        <f>IF(OR(N45="",P45="",R45=""),"",(--TRIM(LEFT(N45,2)))*(--TRIM(LEFT(P45,2)))*(--TRIM(LEFT(R45,2))))</f>
        <v/>
      </c>
      <c r="T45" s="20">
        <f>IF(OR(N45="",P45="",R45=""),"",INDEX(APGrid,COUNTIF(APS,"&gt;"&amp;(--TRIM(LEFT(N45,2))))*5+COUNTIF(APO,"&gt;"&amp;(--TRIM(LEFT(P45,2))))+1,COUNTIF(APD,"&gt;"&amp;(--TRIM(LEFT(R45,2))))+1))</f>
        <v/>
      </c>
      <c r="U45" s="20">
        <f>IF(S45="","",IF(OR((--TRIM(LEFT(N45,2)))&gt;=SThr,S45&gt;=RPNThr,T45="H"),"Yes","No"))</f>
        <v/>
      </c>
      <c r="V45" s="4" t="n"/>
      <c r="W45" s="4" t="n"/>
      <c r="X45" s="4" t="n"/>
      <c r="Y45" s="29" t="n"/>
      <c r="Z45" s="16" t="n"/>
      <c r="AA45" s="16" t="n"/>
      <c r="AB45" s="16" t="n"/>
      <c r="AC45" s="20">
        <f>IF(OR(Z45="",AA45="",AB45=""),"",(--TRIM(LEFT(Z45,2)))*(--TRIM(LEFT(AA45,2)))*(--TRIM(LEFT(AB45,2))))</f>
        <v/>
      </c>
      <c r="AD45" s="20">
        <f>IF(OR(Z45="",AA45="",AB45=""),"",INDEX(APGrid,COUNTIF(APS,"&gt;"&amp;(--TRIM(LEFT(Z45,2))))*5+COUNTIF(APO,"&gt;"&amp;(--TRIM(LEFT(AA45,2))))+1,COUNTIF(APD,"&gt;"&amp;(--TRIM(LEFT(AB45,2))))+1))</f>
        <v/>
      </c>
      <c r="AE45" s="4" t="n"/>
      <c r="AF45" s="4" t="n"/>
      <c r="AH45">
        <f>IFERROR(INDEX(EqTag,_xlfn.AGGREGATE(15,6,(ROW(EqTag)-4)/((EqSys=$D$3)*(EqTag&lt;&gt;"")),ROWS($AH$14:AH45))),"")</f>
        <v/>
      </c>
    </row>
    <row r="46">
      <c r="A46" s="20">
        <f>IF(F46="","",LEFT($D$3,3)&amp;"-"&amp;TEXT(COUNTIF(F$14:F46,"?*"),"00"))</f>
        <v/>
      </c>
      <c r="B46" s="4" t="n"/>
      <c r="C46" s="5">
        <f>IF(B46="","",IFERROR(INDEX(EqTypeCol,MATCH(B46,EqTag,0)),"Tag not in register"))</f>
        <v/>
      </c>
      <c r="D46" s="4" t="n"/>
      <c r="E46" s="4" t="n"/>
      <c r="F46" s="4" t="n"/>
      <c r="G46" s="4" t="n"/>
      <c r="H46" s="4" t="n"/>
      <c r="I46" s="4" t="n"/>
      <c r="J46" s="5">
        <f>_xlfn.TEXTJOIN(CHAR(10),TRUE,IF(G46="","","• "&amp;G46),IF(H46="","","• "&amp;H46),IF(I46="","","• "&amp;I46))</f>
        <v/>
      </c>
      <c r="K46" s="4" t="n"/>
      <c r="L46" s="4" t="n"/>
      <c r="M46" s="4" t="n"/>
      <c r="N46" s="16" t="n"/>
      <c r="O46" s="4" t="n"/>
      <c r="P46" s="16" t="n"/>
      <c r="Q46" s="4" t="n"/>
      <c r="R46" s="16" t="n"/>
      <c r="S46" s="20">
        <f>IF(OR(N46="",P46="",R46=""),"",(--TRIM(LEFT(N46,2)))*(--TRIM(LEFT(P46,2)))*(--TRIM(LEFT(R46,2))))</f>
        <v/>
      </c>
      <c r="T46" s="20">
        <f>IF(OR(N46="",P46="",R46=""),"",INDEX(APGrid,COUNTIF(APS,"&gt;"&amp;(--TRIM(LEFT(N46,2))))*5+COUNTIF(APO,"&gt;"&amp;(--TRIM(LEFT(P46,2))))+1,COUNTIF(APD,"&gt;"&amp;(--TRIM(LEFT(R46,2))))+1))</f>
        <v/>
      </c>
      <c r="U46" s="20">
        <f>IF(S46="","",IF(OR((--TRIM(LEFT(N46,2)))&gt;=SThr,S46&gt;=RPNThr,T46="H"),"Yes","No"))</f>
        <v/>
      </c>
      <c r="V46" s="4" t="n"/>
      <c r="W46" s="4" t="n"/>
      <c r="X46" s="4" t="n"/>
      <c r="Y46" s="29" t="n"/>
      <c r="Z46" s="16" t="n"/>
      <c r="AA46" s="16" t="n"/>
      <c r="AB46" s="16" t="n"/>
      <c r="AC46" s="20">
        <f>IF(OR(Z46="",AA46="",AB46=""),"",(--TRIM(LEFT(Z46,2)))*(--TRIM(LEFT(AA46,2)))*(--TRIM(LEFT(AB46,2))))</f>
        <v/>
      </c>
      <c r="AD46" s="20">
        <f>IF(OR(Z46="",AA46="",AB46=""),"",INDEX(APGrid,COUNTIF(APS,"&gt;"&amp;(--TRIM(LEFT(Z46,2))))*5+COUNTIF(APO,"&gt;"&amp;(--TRIM(LEFT(AA46,2))))+1,COUNTIF(APD,"&gt;"&amp;(--TRIM(LEFT(AB46,2))))+1))</f>
        <v/>
      </c>
      <c r="AE46" s="4" t="n"/>
      <c r="AF46" s="4" t="n"/>
      <c r="AH46">
        <f>IFERROR(INDEX(EqTag,_xlfn.AGGREGATE(15,6,(ROW(EqTag)-4)/((EqSys=$D$3)*(EqTag&lt;&gt;"")),ROWS($AH$14:AH46))),"")</f>
        <v/>
      </c>
    </row>
    <row r="47">
      <c r="A47" s="20">
        <f>IF(F47="","",LEFT($D$3,3)&amp;"-"&amp;TEXT(COUNTIF(F$14:F47,"?*"),"00"))</f>
        <v/>
      </c>
      <c r="B47" s="4" t="n"/>
      <c r="C47" s="5">
        <f>IF(B47="","",IFERROR(INDEX(EqTypeCol,MATCH(B47,EqTag,0)),"Tag not in register"))</f>
        <v/>
      </c>
      <c r="D47" s="4" t="n"/>
      <c r="E47" s="4" t="n"/>
      <c r="F47" s="4" t="n"/>
      <c r="G47" s="4" t="n"/>
      <c r="H47" s="4" t="n"/>
      <c r="I47" s="4" t="n"/>
      <c r="J47" s="5">
        <f>_xlfn.TEXTJOIN(CHAR(10),TRUE,IF(G47="","","• "&amp;G47),IF(H47="","","• "&amp;H47),IF(I47="","","• "&amp;I47))</f>
        <v/>
      </c>
      <c r="K47" s="4" t="n"/>
      <c r="L47" s="4" t="n"/>
      <c r="M47" s="4" t="n"/>
      <c r="N47" s="16" t="n"/>
      <c r="O47" s="4" t="n"/>
      <c r="P47" s="16" t="n"/>
      <c r="Q47" s="4" t="n"/>
      <c r="R47" s="16" t="n"/>
      <c r="S47" s="20">
        <f>IF(OR(N47="",P47="",R47=""),"",(--TRIM(LEFT(N47,2)))*(--TRIM(LEFT(P47,2)))*(--TRIM(LEFT(R47,2))))</f>
        <v/>
      </c>
      <c r="T47" s="20">
        <f>IF(OR(N47="",P47="",R47=""),"",INDEX(APGrid,COUNTIF(APS,"&gt;"&amp;(--TRIM(LEFT(N47,2))))*5+COUNTIF(APO,"&gt;"&amp;(--TRIM(LEFT(P47,2))))+1,COUNTIF(APD,"&gt;"&amp;(--TRIM(LEFT(R47,2))))+1))</f>
        <v/>
      </c>
      <c r="U47" s="20">
        <f>IF(S47="","",IF(OR((--TRIM(LEFT(N47,2)))&gt;=SThr,S47&gt;=RPNThr,T47="H"),"Yes","No"))</f>
        <v/>
      </c>
      <c r="V47" s="4" t="n"/>
      <c r="W47" s="4" t="n"/>
      <c r="X47" s="4" t="n"/>
      <c r="Y47" s="29" t="n"/>
      <c r="Z47" s="16" t="n"/>
      <c r="AA47" s="16" t="n"/>
      <c r="AB47" s="16" t="n"/>
      <c r="AC47" s="20">
        <f>IF(OR(Z47="",AA47="",AB47=""),"",(--TRIM(LEFT(Z47,2)))*(--TRIM(LEFT(AA47,2)))*(--TRIM(LEFT(AB47,2))))</f>
        <v/>
      </c>
      <c r="AD47" s="20">
        <f>IF(OR(Z47="",AA47="",AB47=""),"",INDEX(APGrid,COUNTIF(APS,"&gt;"&amp;(--TRIM(LEFT(Z47,2))))*5+COUNTIF(APO,"&gt;"&amp;(--TRIM(LEFT(AA47,2))))+1,COUNTIF(APD,"&gt;"&amp;(--TRIM(LEFT(AB47,2))))+1))</f>
        <v/>
      </c>
      <c r="AE47" s="4" t="n"/>
      <c r="AF47" s="4" t="n"/>
      <c r="AH47">
        <f>IFERROR(INDEX(EqTag,_xlfn.AGGREGATE(15,6,(ROW(EqTag)-4)/((EqSys=$D$3)*(EqTag&lt;&gt;"")),ROWS($AH$14:AH47))),"")</f>
        <v/>
      </c>
    </row>
    <row r="48">
      <c r="A48" s="20">
        <f>IF(F48="","",LEFT($D$3,3)&amp;"-"&amp;TEXT(COUNTIF(F$14:F48,"?*"),"00"))</f>
        <v/>
      </c>
      <c r="B48" s="4" t="n"/>
      <c r="C48" s="5">
        <f>IF(B48="","",IFERROR(INDEX(EqTypeCol,MATCH(B48,EqTag,0)),"Tag not in register"))</f>
        <v/>
      </c>
      <c r="D48" s="4" t="n"/>
      <c r="E48" s="4" t="n"/>
      <c r="F48" s="4" t="n"/>
      <c r="G48" s="4" t="n"/>
      <c r="H48" s="4" t="n"/>
      <c r="I48" s="4" t="n"/>
      <c r="J48" s="5">
        <f>_xlfn.TEXTJOIN(CHAR(10),TRUE,IF(G48="","","• "&amp;G48),IF(H48="","","• "&amp;H48),IF(I48="","","• "&amp;I48))</f>
        <v/>
      </c>
      <c r="K48" s="4" t="n"/>
      <c r="L48" s="4" t="n"/>
      <c r="M48" s="4" t="n"/>
      <c r="N48" s="16" t="n"/>
      <c r="O48" s="4" t="n"/>
      <c r="P48" s="16" t="n"/>
      <c r="Q48" s="4" t="n"/>
      <c r="R48" s="16" t="n"/>
      <c r="S48" s="20">
        <f>IF(OR(N48="",P48="",R48=""),"",(--TRIM(LEFT(N48,2)))*(--TRIM(LEFT(P48,2)))*(--TRIM(LEFT(R48,2))))</f>
        <v/>
      </c>
      <c r="T48" s="20">
        <f>IF(OR(N48="",P48="",R48=""),"",INDEX(APGrid,COUNTIF(APS,"&gt;"&amp;(--TRIM(LEFT(N48,2))))*5+COUNTIF(APO,"&gt;"&amp;(--TRIM(LEFT(P48,2))))+1,COUNTIF(APD,"&gt;"&amp;(--TRIM(LEFT(R48,2))))+1))</f>
        <v/>
      </c>
      <c r="U48" s="20">
        <f>IF(S48="","",IF(OR((--TRIM(LEFT(N48,2)))&gt;=SThr,S48&gt;=RPNThr,T48="H"),"Yes","No"))</f>
        <v/>
      </c>
      <c r="V48" s="4" t="n"/>
      <c r="W48" s="4" t="n"/>
      <c r="X48" s="4" t="n"/>
      <c r="Y48" s="29" t="n"/>
      <c r="Z48" s="16" t="n"/>
      <c r="AA48" s="16" t="n"/>
      <c r="AB48" s="16" t="n"/>
      <c r="AC48" s="20">
        <f>IF(OR(Z48="",AA48="",AB48=""),"",(--TRIM(LEFT(Z48,2)))*(--TRIM(LEFT(AA48,2)))*(--TRIM(LEFT(AB48,2))))</f>
        <v/>
      </c>
      <c r="AD48" s="20">
        <f>IF(OR(Z48="",AA48="",AB48=""),"",INDEX(APGrid,COUNTIF(APS,"&gt;"&amp;(--TRIM(LEFT(Z48,2))))*5+COUNTIF(APO,"&gt;"&amp;(--TRIM(LEFT(AA48,2))))+1,COUNTIF(APD,"&gt;"&amp;(--TRIM(LEFT(AB48,2))))+1))</f>
        <v/>
      </c>
      <c r="AE48" s="4" t="n"/>
      <c r="AF48" s="4" t="n"/>
      <c r="AH48">
        <f>IFERROR(INDEX(EqTag,_xlfn.AGGREGATE(15,6,(ROW(EqTag)-4)/((EqSys=$D$3)*(EqTag&lt;&gt;"")),ROWS($AH$14:AH48))),"")</f>
        <v/>
      </c>
    </row>
    <row r="49">
      <c r="A49" s="20">
        <f>IF(F49="","",LEFT($D$3,3)&amp;"-"&amp;TEXT(COUNTIF(F$14:F49,"?*"),"00"))</f>
        <v/>
      </c>
      <c r="B49" s="4" t="n"/>
      <c r="C49" s="5">
        <f>IF(B49="","",IFERROR(INDEX(EqTypeCol,MATCH(B49,EqTag,0)),"Tag not in register"))</f>
        <v/>
      </c>
      <c r="D49" s="4" t="n"/>
      <c r="E49" s="4" t="n"/>
      <c r="F49" s="4" t="n"/>
      <c r="G49" s="4" t="n"/>
      <c r="H49" s="4" t="n"/>
      <c r="I49" s="4" t="n"/>
      <c r="J49" s="5">
        <f>_xlfn.TEXTJOIN(CHAR(10),TRUE,IF(G49="","","• "&amp;G49),IF(H49="","","• "&amp;H49),IF(I49="","","• "&amp;I49))</f>
        <v/>
      </c>
      <c r="K49" s="4" t="n"/>
      <c r="L49" s="4" t="n"/>
      <c r="M49" s="4" t="n"/>
      <c r="N49" s="16" t="n"/>
      <c r="O49" s="4" t="n"/>
      <c r="P49" s="16" t="n"/>
      <c r="Q49" s="4" t="n"/>
      <c r="R49" s="16" t="n"/>
      <c r="S49" s="20">
        <f>IF(OR(N49="",P49="",R49=""),"",(--TRIM(LEFT(N49,2)))*(--TRIM(LEFT(P49,2)))*(--TRIM(LEFT(R49,2))))</f>
        <v/>
      </c>
      <c r="T49" s="20">
        <f>IF(OR(N49="",P49="",R49=""),"",INDEX(APGrid,COUNTIF(APS,"&gt;"&amp;(--TRIM(LEFT(N49,2))))*5+COUNTIF(APO,"&gt;"&amp;(--TRIM(LEFT(P49,2))))+1,COUNTIF(APD,"&gt;"&amp;(--TRIM(LEFT(R49,2))))+1))</f>
        <v/>
      </c>
      <c r="U49" s="20">
        <f>IF(S49="","",IF(OR((--TRIM(LEFT(N49,2)))&gt;=SThr,S49&gt;=RPNThr,T49="H"),"Yes","No"))</f>
        <v/>
      </c>
      <c r="V49" s="4" t="n"/>
      <c r="W49" s="4" t="n"/>
      <c r="X49" s="4" t="n"/>
      <c r="Y49" s="29" t="n"/>
      <c r="Z49" s="16" t="n"/>
      <c r="AA49" s="16" t="n"/>
      <c r="AB49" s="16" t="n"/>
      <c r="AC49" s="20">
        <f>IF(OR(Z49="",AA49="",AB49=""),"",(--TRIM(LEFT(Z49,2)))*(--TRIM(LEFT(AA49,2)))*(--TRIM(LEFT(AB49,2))))</f>
        <v/>
      </c>
      <c r="AD49" s="20">
        <f>IF(OR(Z49="",AA49="",AB49=""),"",INDEX(APGrid,COUNTIF(APS,"&gt;"&amp;(--TRIM(LEFT(Z49,2))))*5+COUNTIF(APO,"&gt;"&amp;(--TRIM(LEFT(AA49,2))))+1,COUNTIF(APD,"&gt;"&amp;(--TRIM(LEFT(AB49,2))))+1))</f>
        <v/>
      </c>
      <c r="AE49" s="4" t="n"/>
      <c r="AF49" s="4" t="n"/>
      <c r="AH49">
        <f>IFERROR(INDEX(EqTag,_xlfn.AGGREGATE(15,6,(ROW(EqTag)-4)/((EqSys=$D$3)*(EqTag&lt;&gt;"")),ROWS($AH$14:AH49))),"")</f>
        <v/>
      </c>
    </row>
    <row r="50">
      <c r="A50" s="20">
        <f>IF(F50="","",LEFT($D$3,3)&amp;"-"&amp;TEXT(COUNTIF(F$14:F50,"?*"),"00"))</f>
        <v/>
      </c>
      <c r="B50" s="4" t="n"/>
      <c r="C50" s="5">
        <f>IF(B50="","",IFERROR(INDEX(EqTypeCol,MATCH(B50,EqTag,0)),"Tag not in register"))</f>
        <v/>
      </c>
      <c r="D50" s="4" t="n"/>
      <c r="E50" s="4" t="n"/>
      <c r="F50" s="4" t="n"/>
      <c r="G50" s="4" t="n"/>
      <c r="H50" s="4" t="n"/>
      <c r="I50" s="4" t="n"/>
      <c r="J50" s="5">
        <f>_xlfn.TEXTJOIN(CHAR(10),TRUE,IF(G50="","","• "&amp;G50),IF(H50="","","• "&amp;H50),IF(I50="","","• "&amp;I50))</f>
        <v/>
      </c>
      <c r="K50" s="4" t="n"/>
      <c r="L50" s="4" t="n"/>
      <c r="M50" s="4" t="n"/>
      <c r="N50" s="16" t="n"/>
      <c r="O50" s="4" t="n"/>
      <c r="P50" s="16" t="n"/>
      <c r="Q50" s="4" t="n"/>
      <c r="R50" s="16" t="n"/>
      <c r="S50" s="20">
        <f>IF(OR(N50="",P50="",R50=""),"",(--TRIM(LEFT(N50,2)))*(--TRIM(LEFT(P50,2)))*(--TRIM(LEFT(R50,2))))</f>
        <v/>
      </c>
      <c r="T50" s="20">
        <f>IF(OR(N50="",P50="",R50=""),"",INDEX(APGrid,COUNTIF(APS,"&gt;"&amp;(--TRIM(LEFT(N50,2))))*5+COUNTIF(APO,"&gt;"&amp;(--TRIM(LEFT(P50,2))))+1,COUNTIF(APD,"&gt;"&amp;(--TRIM(LEFT(R50,2))))+1))</f>
        <v/>
      </c>
      <c r="U50" s="20">
        <f>IF(S50="","",IF(OR((--TRIM(LEFT(N50,2)))&gt;=SThr,S50&gt;=RPNThr,T50="H"),"Yes","No"))</f>
        <v/>
      </c>
      <c r="V50" s="4" t="n"/>
      <c r="W50" s="4" t="n"/>
      <c r="X50" s="4" t="n"/>
      <c r="Y50" s="29" t="n"/>
      <c r="Z50" s="16" t="n"/>
      <c r="AA50" s="16" t="n"/>
      <c r="AB50" s="16" t="n"/>
      <c r="AC50" s="20">
        <f>IF(OR(Z50="",AA50="",AB50=""),"",(--TRIM(LEFT(Z50,2)))*(--TRIM(LEFT(AA50,2)))*(--TRIM(LEFT(AB50,2))))</f>
        <v/>
      </c>
      <c r="AD50" s="20">
        <f>IF(OR(Z50="",AA50="",AB50=""),"",INDEX(APGrid,COUNTIF(APS,"&gt;"&amp;(--TRIM(LEFT(Z50,2))))*5+COUNTIF(APO,"&gt;"&amp;(--TRIM(LEFT(AA50,2))))+1,COUNTIF(APD,"&gt;"&amp;(--TRIM(LEFT(AB50,2))))+1))</f>
        <v/>
      </c>
      <c r="AE50" s="4" t="n"/>
      <c r="AF50" s="4" t="n"/>
      <c r="AH50">
        <f>IFERROR(INDEX(EqTag,_xlfn.AGGREGATE(15,6,(ROW(EqTag)-4)/((EqSys=$D$3)*(EqTag&lt;&gt;"")),ROWS($AH$14:AH50))),"")</f>
        <v/>
      </c>
    </row>
    <row r="51">
      <c r="A51" s="20">
        <f>IF(F51="","",LEFT($D$3,3)&amp;"-"&amp;TEXT(COUNTIF(F$14:F51,"?*"),"00"))</f>
        <v/>
      </c>
      <c r="B51" s="4" t="n"/>
      <c r="C51" s="5">
        <f>IF(B51="","",IFERROR(INDEX(EqTypeCol,MATCH(B51,EqTag,0)),"Tag not in register"))</f>
        <v/>
      </c>
      <c r="D51" s="4" t="n"/>
      <c r="E51" s="4" t="n"/>
      <c r="F51" s="4" t="n"/>
      <c r="G51" s="4" t="n"/>
      <c r="H51" s="4" t="n"/>
      <c r="I51" s="4" t="n"/>
      <c r="J51" s="5">
        <f>_xlfn.TEXTJOIN(CHAR(10),TRUE,IF(G51="","","• "&amp;G51),IF(H51="","","• "&amp;H51),IF(I51="","","• "&amp;I51))</f>
        <v/>
      </c>
      <c r="K51" s="4" t="n"/>
      <c r="L51" s="4" t="n"/>
      <c r="M51" s="4" t="n"/>
      <c r="N51" s="16" t="n"/>
      <c r="O51" s="4" t="n"/>
      <c r="P51" s="16" t="n"/>
      <c r="Q51" s="4" t="n"/>
      <c r="R51" s="16" t="n"/>
      <c r="S51" s="20">
        <f>IF(OR(N51="",P51="",R51=""),"",(--TRIM(LEFT(N51,2)))*(--TRIM(LEFT(P51,2)))*(--TRIM(LEFT(R51,2))))</f>
        <v/>
      </c>
      <c r="T51" s="20">
        <f>IF(OR(N51="",P51="",R51=""),"",INDEX(APGrid,COUNTIF(APS,"&gt;"&amp;(--TRIM(LEFT(N51,2))))*5+COUNTIF(APO,"&gt;"&amp;(--TRIM(LEFT(P51,2))))+1,COUNTIF(APD,"&gt;"&amp;(--TRIM(LEFT(R51,2))))+1))</f>
        <v/>
      </c>
      <c r="U51" s="20">
        <f>IF(S51="","",IF(OR((--TRIM(LEFT(N51,2)))&gt;=SThr,S51&gt;=RPNThr,T51="H"),"Yes","No"))</f>
        <v/>
      </c>
      <c r="V51" s="4" t="n"/>
      <c r="W51" s="4" t="n"/>
      <c r="X51" s="4" t="n"/>
      <c r="Y51" s="29" t="n"/>
      <c r="Z51" s="16" t="n"/>
      <c r="AA51" s="16" t="n"/>
      <c r="AB51" s="16" t="n"/>
      <c r="AC51" s="20">
        <f>IF(OR(Z51="",AA51="",AB51=""),"",(--TRIM(LEFT(Z51,2)))*(--TRIM(LEFT(AA51,2)))*(--TRIM(LEFT(AB51,2))))</f>
        <v/>
      </c>
      <c r="AD51" s="20">
        <f>IF(OR(Z51="",AA51="",AB51=""),"",INDEX(APGrid,COUNTIF(APS,"&gt;"&amp;(--TRIM(LEFT(Z51,2))))*5+COUNTIF(APO,"&gt;"&amp;(--TRIM(LEFT(AA51,2))))+1,COUNTIF(APD,"&gt;"&amp;(--TRIM(LEFT(AB51,2))))+1))</f>
        <v/>
      </c>
      <c r="AE51" s="4" t="n"/>
      <c r="AF51" s="4" t="n"/>
      <c r="AH51">
        <f>IFERROR(INDEX(EqTag,_xlfn.AGGREGATE(15,6,(ROW(EqTag)-4)/((EqSys=$D$3)*(EqTag&lt;&gt;"")),ROWS($AH$14:AH51))),"")</f>
        <v/>
      </c>
    </row>
    <row r="52">
      <c r="A52" s="20">
        <f>IF(F52="","",LEFT($D$3,3)&amp;"-"&amp;TEXT(COUNTIF(F$14:F52,"?*"),"00"))</f>
        <v/>
      </c>
      <c r="B52" s="4" t="n"/>
      <c r="C52" s="5">
        <f>IF(B52="","",IFERROR(INDEX(EqTypeCol,MATCH(B52,EqTag,0)),"Tag not in register"))</f>
        <v/>
      </c>
      <c r="D52" s="4" t="n"/>
      <c r="E52" s="4" t="n"/>
      <c r="F52" s="4" t="n"/>
      <c r="G52" s="4" t="n"/>
      <c r="H52" s="4" t="n"/>
      <c r="I52" s="4" t="n"/>
      <c r="J52" s="5">
        <f>_xlfn.TEXTJOIN(CHAR(10),TRUE,IF(G52="","","• "&amp;G52),IF(H52="","","• "&amp;H52),IF(I52="","","• "&amp;I52))</f>
        <v/>
      </c>
      <c r="K52" s="4" t="n"/>
      <c r="L52" s="4" t="n"/>
      <c r="M52" s="4" t="n"/>
      <c r="N52" s="16" t="n"/>
      <c r="O52" s="4" t="n"/>
      <c r="P52" s="16" t="n"/>
      <c r="Q52" s="4" t="n"/>
      <c r="R52" s="16" t="n"/>
      <c r="S52" s="20">
        <f>IF(OR(N52="",P52="",R52=""),"",(--TRIM(LEFT(N52,2)))*(--TRIM(LEFT(P52,2)))*(--TRIM(LEFT(R52,2))))</f>
        <v/>
      </c>
      <c r="T52" s="20">
        <f>IF(OR(N52="",P52="",R52=""),"",INDEX(APGrid,COUNTIF(APS,"&gt;"&amp;(--TRIM(LEFT(N52,2))))*5+COUNTIF(APO,"&gt;"&amp;(--TRIM(LEFT(P52,2))))+1,COUNTIF(APD,"&gt;"&amp;(--TRIM(LEFT(R52,2))))+1))</f>
        <v/>
      </c>
      <c r="U52" s="20">
        <f>IF(S52="","",IF(OR((--TRIM(LEFT(N52,2)))&gt;=SThr,S52&gt;=RPNThr,T52="H"),"Yes","No"))</f>
        <v/>
      </c>
      <c r="V52" s="4" t="n"/>
      <c r="W52" s="4" t="n"/>
      <c r="X52" s="4" t="n"/>
      <c r="Y52" s="29" t="n"/>
      <c r="Z52" s="16" t="n"/>
      <c r="AA52" s="16" t="n"/>
      <c r="AB52" s="16" t="n"/>
      <c r="AC52" s="20">
        <f>IF(OR(Z52="",AA52="",AB52=""),"",(--TRIM(LEFT(Z52,2)))*(--TRIM(LEFT(AA52,2)))*(--TRIM(LEFT(AB52,2))))</f>
        <v/>
      </c>
      <c r="AD52" s="20">
        <f>IF(OR(Z52="",AA52="",AB52=""),"",INDEX(APGrid,COUNTIF(APS,"&gt;"&amp;(--TRIM(LEFT(Z52,2))))*5+COUNTIF(APO,"&gt;"&amp;(--TRIM(LEFT(AA52,2))))+1,COUNTIF(APD,"&gt;"&amp;(--TRIM(LEFT(AB52,2))))+1))</f>
        <v/>
      </c>
      <c r="AE52" s="4" t="n"/>
      <c r="AF52" s="4" t="n"/>
      <c r="AH52">
        <f>IFERROR(INDEX(EqTag,_xlfn.AGGREGATE(15,6,(ROW(EqTag)-4)/((EqSys=$D$3)*(EqTag&lt;&gt;"")),ROWS($AH$14:AH52))),"")</f>
        <v/>
      </c>
    </row>
    <row r="53">
      <c r="A53" s="20">
        <f>IF(F53="","",LEFT($D$3,3)&amp;"-"&amp;TEXT(COUNTIF(F$14:F53,"?*"),"00"))</f>
        <v/>
      </c>
      <c r="B53" s="4" t="n"/>
      <c r="C53" s="5">
        <f>IF(B53="","",IFERROR(INDEX(EqTypeCol,MATCH(B53,EqTag,0)),"Tag not in register"))</f>
        <v/>
      </c>
      <c r="D53" s="4" t="n"/>
      <c r="E53" s="4" t="n"/>
      <c r="F53" s="4" t="n"/>
      <c r="G53" s="4" t="n"/>
      <c r="H53" s="4" t="n"/>
      <c r="I53" s="4" t="n"/>
      <c r="J53" s="5">
        <f>_xlfn.TEXTJOIN(CHAR(10),TRUE,IF(G53="","","• "&amp;G53),IF(H53="","","• "&amp;H53),IF(I53="","","• "&amp;I53))</f>
        <v/>
      </c>
      <c r="K53" s="4" t="n"/>
      <c r="L53" s="4" t="n"/>
      <c r="M53" s="4" t="n"/>
      <c r="N53" s="16" t="n"/>
      <c r="O53" s="4" t="n"/>
      <c r="P53" s="16" t="n"/>
      <c r="Q53" s="4" t="n"/>
      <c r="R53" s="16" t="n"/>
      <c r="S53" s="20">
        <f>IF(OR(N53="",P53="",R53=""),"",(--TRIM(LEFT(N53,2)))*(--TRIM(LEFT(P53,2)))*(--TRIM(LEFT(R53,2))))</f>
        <v/>
      </c>
      <c r="T53" s="20">
        <f>IF(OR(N53="",P53="",R53=""),"",INDEX(APGrid,COUNTIF(APS,"&gt;"&amp;(--TRIM(LEFT(N53,2))))*5+COUNTIF(APO,"&gt;"&amp;(--TRIM(LEFT(P53,2))))+1,COUNTIF(APD,"&gt;"&amp;(--TRIM(LEFT(R53,2))))+1))</f>
        <v/>
      </c>
      <c r="U53" s="20">
        <f>IF(S53="","",IF(OR((--TRIM(LEFT(N53,2)))&gt;=SThr,S53&gt;=RPNThr,T53="H"),"Yes","No"))</f>
        <v/>
      </c>
      <c r="V53" s="4" t="n"/>
      <c r="W53" s="4" t="n"/>
      <c r="X53" s="4" t="n"/>
      <c r="Y53" s="29" t="n"/>
      <c r="Z53" s="16" t="n"/>
      <c r="AA53" s="16" t="n"/>
      <c r="AB53" s="16" t="n"/>
      <c r="AC53" s="20">
        <f>IF(OR(Z53="",AA53="",AB53=""),"",(--TRIM(LEFT(Z53,2)))*(--TRIM(LEFT(AA53,2)))*(--TRIM(LEFT(AB53,2))))</f>
        <v/>
      </c>
      <c r="AD53" s="20">
        <f>IF(OR(Z53="",AA53="",AB53=""),"",INDEX(APGrid,COUNTIF(APS,"&gt;"&amp;(--TRIM(LEFT(Z53,2))))*5+COUNTIF(APO,"&gt;"&amp;(--TRIM(LEFT(AA53,2))))+1,COUNTIF(APD,"&gt;"&amp;(--TRIM(LEFT(AB53,2))))+1))</f>
        <v/>
      </c>
      <c r="AE53" s="4" t="n"/>
      <c r="AF53" s="4" t="n"/>
      <c r="AH53">
        <f>IFERROR(INDEX(EqTag,_xlfn.AGGREGATE(15,6,(ROW(EqTag)-4)/((EqSys=$D$3)*(EqTag&lt;&gt;"")),ROWS($AH$14:AH53))),"")</f>
        <v/>
      </c>
    </row>
    <row r="54">
      <c r="A54" s="20">
        <f>IF(F54="","",LEFT($D$3,3)&amp;"-"&amp;TEXT(COUNTIF(F$14:F54,"?*"),"00"))</f>
        <v/>
      </c>
      <c r="B54" s="4" t="n"/>
      <c r="C54" s="5">
        <f>IF(B54="","",IFERROR(INDEX(EqTypeCol,MATCH(B54,EqTag,0)),"Tag not in register"))</f>
        <v/>
      </c>
      <c r="D54" s="4" t="n"/>
      <c r="E54" s="4" t="n"/>
      <c r="F54" s="4" t="n"/>
      <c r="G54" s="4" t="n"/>
      <c r="H54" s="4" t="n"/>
      <c r="I54" s="4" t="n"/>
      <c r="J54" s="5">
        <f>_xlfn.TEXTJOIN(CHAR(10),TRUE,IF(G54="","","• "&amp;G54),IF(H54="","","• "&amp;H54),IF(I54="","","• "&amp;I54))</f>
        <v/>
      </c>
      <c r="K54" s="4" t="n"/>
      <c r="L54" s="4" t="n"/>
      <c r="M54" s="4" t="n"/>
      <c r="N54" s="16" t="n"/>
      <c r="O54" s="4" t="n"/>
      <c r="P54" s="16" t="n"/>
      <c r="Q54" s="4" t="n"/>
      <c r="R54" s="16" t="n"/>
      <c r="S54" s="20">
        <f>IF(OR(N54="",P54="",R54=""),"",(--TRIM(LEFT(N54,2)))*(--TRIM(LEFT(P54,2)))*(--TRIM(LEFT(R54,2))))</f>
        <v/>
      </c>
      <c r="T54" s="20">
        <f>IF(OR(N54="",P54="",R54=""),"",INDEX(APGrid,COUNTIF(APS,"&gt;"&amp;(--TRIM(LEFT(N54,2))))*5+COUNTIF(APO,"&gt;"&amp;(--TRIM(LEFT(P54,2))))+1,COUNTIF(APD,"&gt;"&amp;(--TRIM(LEFT(R54,2))))+1))</f>
        <v/>
      </c>
      <c r="U54" s="20">
        <f>IF(S54="","",IF(OR((--TRIM(LEFT(N54,2)))&gt;=SThr,S54&gt;=RPNThr,T54="H"),"Yes","No"))</f>
        <v/>
      </c>
      <c r="V54" s="4" t="n"/>
      <c r="W54" s="4" t="n"/>
      <c r="X54" s="4" t="n"/>
      <c r="Y54" s="29" t="n"/>
      <c r="Z54" s="16" t="n"/>
      <c r="AA54" s="16" t="n"/>
      <c r="AB54" s="16" t="n"/>
      <c r="AC54" s="20">
        <f>IF(OR(Z54="",AA54="",AB54=""),"",(--TRIM(LEFT(Z54,2)))*(--TRIM(LEFT(AA54,2)))*(--TRIM(LEFT(AB54,2))))</f>
        <v/>
      </c>
      <c r="AD54" s="20">
        <f>IF(OR(Z54="",AA54="",AB54=""),"",INDEX(APGrid,COUNTIF(APS,"&gt;"&amp;(--TRIM(LEFT(Z54,2))))*5+COUNTIF(APO,"&gt;"&amp;(--TRIM(LEFT(AA54,2))))+1,COUNTIF(APD,"&gt;"&amp;(--TRIM(LEFT(AB54,2))))+1))</f>
        <v/>
      </c>
      <c r="AE54" s="4" t="n"/>
      <c r="AF54" s="4" t="n"/>
      <c r="AH54">
        <f>IFERROR(INDEX(EqTag,_xlfn.AGGREGATE(15,6,(ROW(EqTag)-4)/((EqSys=$D$3)*(EqTag&lt;&gt;"")),ROWS($AH$14:AH54))),"")</f>
        <v/>
      </c>
    </row>
    <row r="55">
      <c r="A55" s="20">
        <f>IF(F55="","",LEFT($D$3,3)&amp;"-"&amp;TEXT(COUNTIF(F$14:F55,"?*"),"00"))</f>
        <v/>
      </c>
      <c r="B55" s="4" t="n"/>
      <c r="C55" s="5">
        <f>IF(B55="","",IFERROR(INDEX(EqTypeCol,MATCH(B55,EqTag,0)),"Tag not in register"))</f>
        <v/>
      </c>
      <c r="D55" s="4" t="n"/>
      <c r="E55" s="4" t="n"/>
      <c r="F55" s="4" t="n"/>
      <c r="G55" s="4" t="n"/>
      <c r="H55" s="4" t="n"/>
      <c r="I55" s="4" t="n"/>
      <c r="J55" s="5">
        <f>_xlfn.TEXTJOIN(CHAR(10),TRUE,IF(G55="","","• "&amp;G55),IF(H55="","","• "&amp;H55),IF(I55="","","• "&amp;I55))</f>
        <v/>
      </c>
      <c r="K55" s="4" t="n"/>
      <c r="L55" s="4" t="n"/>
      <c r="M55" s="4" t="n"/>
      <c r="N55" s="16" t="n"/>
      <c r="O55" s="4" t="n"/>
      <c r="P55" s="16" t="n"/>
      <c r="Q55" s="4" t="n"/>
      <c r="R55" s="16" t="n"/>
      <c r="S55" s="20">
        <f>IF(OR(N55="",P55="",R55=""),"",(--TRIM(LEFT(N55,2)))*(--TRIM(LEFT(P55,2)))*(--TRIM(LEFT(R55,2))))</f>
        <v/>
      </c>
      <c r="T55" s="20">
        <f>IF(OR(N55="",P55="",R55=""),"",INDEX(APGrid,COUNTIF(APS,"&gt;"&amp;(--TRIM(LEFT(N55,2))))*5+COUNTIF(APO,"&gt;"&amp;(--TRIM(LEFT(P55,2))))+1,COUNTIF(APD,"&gt;"&amp;(--TRIM(LEFT(R55,2))))+1))</f>
        <v/>
      </c>
      <c r="U55" s="20">
        <f>IF(S55="","",IF(OR((--TRIM(LEFT(N55,2)))&gt;=SThr,S55&gt;=RPNThr,T55="H"),"Yes","No"))</f>
        <v/>
      </c>
      <c r="V55" s="4" t="n"/>
      <c r="W55" s="4" t="n"/>
      <c r="X55" s="4" t="n"/>
      <c r="Y55" s="29" t="n"/>
      <c r="Z55" s="16" t="n"/>
      <c r="AA55" s="16" t="n"/>
      <c r="AB55" s="16" t="n"/>
      <c r="AC55" s="20">
        <f>IF(OR(Z55="",AA55="",AB55=""),"",(--TRIM(LEFT(Z55,2)))*(--TRIM(LEFT(AA55,2)))*(--TRIM(LEFT(AB55,2))))</f>
        <v/>
      </c>
      <c r="AD55" s="20">
        <f>IF(OR(Z55="",AA55="",AB55=""),"",INDEX(APGrid,COUNTIF(APS,"&gt;"&amp;(--TRIM(LEFT(Z55,2))))*5+COUNTIF(APO,"&gt;"&amp;(--TRIM(LEFT(AA55,2))))+1,COUNTIF(APD,"&gt;"&amp;(--TRIM(LEFT(AB55,2))))+1))</f>
        <v/>
      </c>
      <c r="AE55" s="4" t="n"/>
      <c r="AF55" s="4" t="n"/>
      <c r="AH55">
        <f>IFERROR(INDEX(EqTag,_xlfn.AGGREGATE(15,6,(ROW(EqTag)-4)/((EqSys=$D$3)*(EqTag&lt;&gt;"")),ROWS($AH$14:AH55))),"")</f>
        <v/>
      </c>
    </row>
    <row r="56">
      <c r="A56" s="20">
        <f>IF(F56="","",LEFT($D$3,3)&amp;"-"&amp;TEXT(COUNTIF(F$14:F56,"?*"),"00"))</f>
        <v/>
      </c>
      <c r="B56" s="4" t="n"/>
      <c r="C56" s="5">
        <f>IF(B56="","",IFERROR(INDEX(EqTypeCol,MATCH(B56,EqTag,0)),"Tag not in register"))</f>
        <v/>
      </c>
      <c r="D56" s="4" t="n"/>
      <c r="E56" s="4" t="n"/>
      <c r="F56" s="4" t="n"/>
      <c r="G56" s="4" t="n"/>
      <c r="H56" s="4" t="n"/>
      <c r="I56" s="4" t="n"/>
      <c r="J56" s="5">
        <f>_xlfn.TEXTJOIN(CHAR(10),TRUE,IF(G56="","","• "&amp;G56),IF(H56="","","• "&amp;H56),IF(I56="","","• "&amp;I56))</f>
        <v/>
      </c>
      <c r="K56" s="4" t="n"/>
      <c r="L56" s="4" t="n"/>
      <c r="M56" s="4" t="n"/>
      <c r="N56" s="16" t="n"/>
      <c r="O56" s="4" t="n"/>
      <c r="P56" s="16" t="n"/>
      <c r="Q56" s="4" t="n"/>
      <c r="R56" s="16" t="n"/>
      <c r="S56" s="20">
        <f>IF(OR(N56="",P56="",R56=""),"",(--TRIM(LEFT(N56,2)))*(--TRIM(LEFT(P56,2)))*(--TRIM(LEFT(R56,2))))</f>
        <v/>
      </c>
      <c r="T56" s="20">
        <f>IF(OR(N56="",P56="",R56=""),"",INDEX(APGrid,COUNTIF(APS,"&gt;"&amp;(--TRIM(LEFT(N56,2))))*5+COUNTIF(APO,"&gt;"&amp;(--TRIM(LEFT(P56,2))))+1,COUNTIF(APD,"&gt;"&amp;(--TRIM(LEFT(R56,2))))+1))</f>
        <v/>
      </c>
      <c r="U56" s="20">
        <f>IF(S56="","",IF(OR((--TRIM(LEFT(N56,2)))&gt;=SThr,S56&gt;=RPNThr,T56="H"),"Yes","No"))</f>
        <v/>
      </c>
      <c r="V56" s="4" t="n"/>
      <c r="W56" s="4" t="n"/>
      <c r="X56" s="4" t="n"/>
      <c r="Y56" s="29" t="n"/>
      <c r="Z56" s="16" t="n"/>
      <c r="AA56" s="16" t="n"/>
      <c r="AB56" s="16" t="n"/>
      <c r="AC56" s="20">
        <f>IF(OR(Z56="",AA56="",AB56=""),"",(--TRIM(LEFT(Z56,2)))*(--TRIM(LEFT(AA56,2)))*(--TRIM(LEFT(AB56,2))))</f>
        <v/>
      </c>
      <c r="AD56" s="20">
        <f>IF(OR(Z56="",AA56="",AB56=""),"",INDEX(APGrid,COUNTIF(APS,"&gt;"&amp;(--TRIM(LEFT(Z56,2))))*5+COUNTIF(APO,"&gt;"&amp;(--TRIM(LEFT(AA56,2))))+1,COUNTIF(APD,"&gt;"&amp;(--TRIM(LEFT(AB56,2))))+1))</f>
        <v/>
      </c>
      <c r="AE56" s="4" t="n"/>
      <c r="AF56" s="4" t="n"/>
      <c r="AH56">
        <f>IFERROR(INDEX(EqTag,_xlfn.AGGREGATE(15,6,(ROW(EqTag)-4)/((EqSys=$D$3)*(EqTag&lt;&gt;"")),ROWS($AH$14:AH56))),"")</f>
        <v/>
      </c>
    </row>
    <row r="57">
      <c r="A57" s="20">
        <f>IF(F57="","",LEFT($D$3,3)&amp;"-"&amp;TEXT(COUNTIF(F$14:F57,"?*"),"00"))</f>
        <v/>
      </c>
      <c r="B57" s="4" t="n"/>
      <c r="C57" s="5">
        <f>IF(B57="","",IFERROR(INDEX(EqTypeCol,MATCH(B57,EqTag,0)),"Tag not in register"))</f>
        <v/>
      </c>
      <c r="D57" s="4" t="n"/>
      <c r="E57" s="4" t="n"/>
      <c r="F57" s="4" t="n"/>
      <c r="G57" s="4" t="n"/>
      <c r="H57" s="4" t="n"/>
      <c r="I57" s="4" t="n"/>
      <c r="J57" s="5">
        <f>_xlfn.TEXTJOIN(CHAR(10),TRUE,IF(G57="","","• "&amp;G57),IF(H57="","","• "&amp;H57),IF(I57="","","• "&amp;I57))</f>
        <v/>
      </c>
      <c r="K57" s="4" t="n"/>
      <c r="L57" s="4" t="n"/>
      <c r="M57" s="4" t="n"/>
      <c r="N57" s="16" t="n"/>
      <c r="O57" s="4" t="n"/>
      <c r="P57" s="16" t="n"/>
      <c r="Q57" s="4" t="n"/>
      <c r="R57" s="16" t="n"/>
      <c r="S57" s="20">
        <f>IF(OR(N57="",P57="",R57=""),"",(--TRIM(LEFT(N57,2)))*(--TRIM(LEFT(P57,2)))*(--TRIM(LEFT(R57,2))))</f>
        <v/>
      </c>
      <c r="T57" s="20">
        <f>IF(OR(N57="",P57="",R57=""),"",INDEX(APGrid,COUNTIF(APS,"&gt;"&amp;(--TRIM(LEFT(N57,2))))*5+COUNTIF(APO,"&gt;"&amp;(--TRIM(LEFT(P57,2))))+1,COUNTIF(APD,"&gt;"&amp;(--TRIM(LEFT(R57,2))))+1))</f>
        <v/>
      </c>
      <c r="U57" s="20">
        <f>IF(S57="","",IF(OR((--TRIM(LEFT(N57,2)))&gt;=SThr,S57&gt;=RPNThr,T57="H"),"Yes","No"))</f>
        <v/>
      </c>
      <c r="V57" s="4" t="n"/>
      <c r="W57" s="4" t="n"/>
      <c r="X57" s="4" t="n"/>
      <c r="Y57" s="29" t="n"/>
      <c r="Z57" s="16" t="n"/>
      <c r="AA57" s="16" t="n"/>
      <c r="AB57" s="16" t="n"/>
      <c r="AC57" s="20">
        <f>IF(OR(Z57="",AA57="",AB57=""),"",(--TRIM(LEFT(Z57,2)))*(--TRIM(LEFT(AA57,2)))*(--TRIM(LEFT(AB57,2))))</f>
        <v/>
      </c>
      <c r="AD57" s="20">
        <f>IF(OR(Z57="",AA57="",AB57=""),"",INDEX(APGrid,COUNTIF(APS,"&gt;"&amp;(--TRIM(LEFT(Z57,2))))*5+COUNTIF(APO,"&gt;"&amp;(--TRIM(LEFT(AA57,2))))+1,COUNTIF(APD,"&gt;"&amp;(--TRIM(LEFT(AB57,2))))+1))</f>
        <v/>
      </c>
      <c r="AE57" s="4" t="n"/>
      <c r="AF57" s="4" t="n"/>
      <c r="AH57">
        <f>IFERROR(INDEX(EqTag,_xlfn.AGGREGATE(15,6,(ROW(EqTag)-4)/((EqSys=$D$3)*(EqTag&lt;&gt;"")),ROWS($AH$14:AH57))),"")</f>
        <v/>
      </c>
    </row>
    <row r="58">
      <c r="A58" s="20">
        <f>IF(F58="","",LEFT($D$3,3)&amp;"-"&amp;TEXT(COUNTIF(F$14:F58,"?*"),"00"))</f>
        <v/>
      </c>
      <c r="B58" s="4" t="n"/>
      <c r="C58" s="5">
        <f>IF(B58="","",IFERROR(INDEX(EqTypeCol,MATCH(B58,EqTag,0)),"Tag not in register"))</f>
        <v/>
      </c>
      <c r="D58" s="4" t="n"/>
      <c r="E58" s="4" t="n"/>
      <c r="F58" s="4" t="n"/>
      <c r="G58" s="4" t="n"/>
      <c r="H58" s="4" t="n"/>
      <c r="I58" s="4" t="n"/>
      <c r="J58" s="5">
        <f>_xlfn.TEXTJOIN(CHAR(10),TRUE,IF(G58="","","• "&amp;G58),IF(H58="","","• "&amp;H58),IF(I58="","","• "&amp;I58))</f>
        <v/>
      </c>
      <c r="K58" s="4" t="n"/>
      <c r="L58" s="4" t="n"/>
      <c r="M58" s="4" t="n"/>
      <c r="N58" s="16" t="n"/>
      <c r="O58" s="4" t="n"/>
      <c r="P58" s="16" t="n"/>
      <c r="Q58" s="4" t="n"/>
      <c r="R58" s="16" t="n"/>
      <c r="S58" s="20">
        <f>IF(OR(N58="",P58="",R58=""),"",(--TRIM(LEFT(N58,2)))*(--TRIM(LEFT(P58,2)))*(--TRIM(LEFT(R58,2))))</f>
        <v/>
      </c>
      <c r="T58" s="20">
        <f>IF(OR(N58="",P58="",R58=""),"",INDEX(APGrid,COUNTIF(APS,"&gt;"&amp;(--TRIM(LEFT(N58,2))))*5+COUNTIF(APO,"&gt;"&amp;(--TRIM(LEFT(P58,2))))+1,COUNTIF(APD,"&gt;"&amp;(--TRIM(LEFT(R58,2))))+1))</f>
        <v/>
      </c>
      <c r="U58" s="20">
        <f>IF(S58="","",IF(OR((--TRIM(LEFT(N58,2)))&gt;=SThr,S58&gt;=RPNThr,T58="H"),"Yes","No"))</f>
        <v/>
      </c>
      <c r="V58" s="4" t="n"/>
      <c r="W58" s="4" t="n"/>
      <c r="X58" s="4" t="n"/>
      <c r="Y58" s="29" t="n"/>
      <c r="Z58" s="16" t="n"/>
      <c r="AA58" s="16" t="n"/>
      <c r="AB58" s="16" t="n"/>
      <c r="AC58" s="20">
        <f>IF(OR(Z58="",AA58="",AB58=""),"",(--TRIM(LEFT(Z58,2)))*(--TRIM(LEFT(AA58,2)))*(--TRIM(LEFT(AB58,2))))</f>
        <v/>
      </c>
      <c r="AD58" s="20">
        <f>IF(OR(Z58="",AA58="",AB58=""),"",INDEX(APGrid,COUNTIF(APS,"&gt;"&amp;(--TRIM(LEFT(Z58,2))))*5+COUNTIF(APO,"&gt;"&amp;(--TRIM(LEFT(AA58,2))))+1,COUNTIF(APD,"&gt;"&amp;(--TRIM(LEFT(AB58,2))))+1))</f>
        <v/>
      </c>
      <c r="AE58" s="4" t="n"/>
      <c r="AF58" s="4" t="n"/>
      <c r="AH58">
        <f>IFERROR(INDEX(EqTag,_xlfn.AGGREGATE(15,6,(ROW(EqTag)-4)/((EqSys=$D$3)*(EqTag&lt;&gt;"")),ROWS($AH$14:AH58))),"")</f>
        <v/>
      </c>
    </row>
    <row r="59">
      <c r="A59" s="20">
        <f>IF(F59="","",LEFT($D$3,3)&amp;"-"&amp;TEXT(COUNTIF(F$14:F59,"?*"),"00"))</f>
        <v/>
      </c>
      <c r="B59" s="4" t="n"/>
      <c r="C59" s="5">
        <f>IF(B59="","",IFERROR(INDEX(EqTypeCol,MATCH(B59,EqTag,0)),"Tag not in register"))</f>
        <v/>
      </c>
      <c r="D59" s="4" t="n"/>
      <c r="E59" s="4" t="n"/>
      <c r="F59" s="4" t="n"/>
      <c r="G59" s="4" t="n"/>
      <c r="H59" s="4" t="n"/>
      <c r="I59" s="4" t="n"/>
      <c r="J59" s="5">
        <f>_xlfn.TEXTJOIN(CHAR(10),TRUE,IF(G59="","","• "&amp;G59),IF(H59="","","• "&amp;H59),IF(I59="","","• "&amp;I59))</f>
        <v/>
      </c>
      <c r="K59" s="4" t="n"/>
      <c r="L59" s="4" t="n"/>
      <c r="M59" s="4" t="n"/>
      <c r="N59" s="16" t="n"/>
      <c r="O59" s="4" t="n"/>
      <c r="P59" s="16" t="n"/>
      <c r="Q59" s="4" t="n"/>
      <c r="R59" s="16" t="n"/>
      <c r="S59" s="20">
        <f>IF(OR(N59="",P59="",R59=""),"",(--TRIM(LEFT(N59,2)))*(--TRIM(LEFT(P59,2)))*(--TRIM(LEFT(R59,2))))</f>
        <v/>
      </c>
      <c r="T59" s="20">
        <f>IF(OR(N59="",P59="",R59=""),"",INDEX(APGrid,COUNTIF(APS,"&gt;"&amp;(--TRIM(LEFT(N59,2))))*5+COUNTIF(APO,"&gt;"&amp;(--TRIM(LEFT(P59,2))))+1,COUNTIF(APD,"&gt;"&amp;(--TRIM(LEFT(R59,2))))+1))</f>
        <v/>
      </c>
      <c r="U59" s="20">
        <f>IF(S59="","",IF(OR((--TRIM(LEFT(N59,2)))&gt;=SThr,S59&gt;=RPNThr,T59="H"),"Yes","No"))</f>
        <v/>
      </c>
      <c r="V59" s="4" t="n"/>
      <c r="W59" s="4" t="n"/>
      <c r="X59" s="4" t="n"/>
      <c r="Y59" s="29" t="n"/>
      <c r="Z59" s="16" t="n"/>
      <c r="AA59" s="16" t="n"/>
      <c r="AB59" s="16" t="n"/>
      <c r="AC59" s="20">
        <f>IF(OR(Z59="",AA59="",AB59=""),"",(--TRIM(LEFT(Z59,2)))*(--TRIM(LEFT(AA59,2)))*(--TRIM(LEFT(AB59,2))))</f>
        <v/>
      </c>
      <c r="AD59" s="20">
        <f>IF(OR(Z59="",AA59="",AB59=""),"",INDEX(APGrid,COUNTIF(APS,"&gt;"&amp;(--TRIM(LEFT(Z59,2))))*5+COUNTIF(APO,"&gt;"&amp;(--TRIM(LEFT(AA59,2))))+1,COUNTIF(APD,"&gt;"&amp;(--TRIM(LEFT(AB59,2))))+1))</f>
        <v/>
      </c>
      <c r="AE59" s="4" t="n"/>
      <c r="AF59" s="4" t="n"/>
      <c r="AH59">
        <f>IFERROR(INDEX(EqTag,_xlfn.AGGREGATE(15,6,(ROW(EqTag)-4)/((EqSys=$D$3)*(EqTag&lt;&gt;"")),ROWS($AH$14:AH59))),"")</f>
        <v/>
      </c>
    </row>
    <row r="60">
      <c r="A60" s="20">
        <f>IF(F60="","",LEFT($D$3,3)&amp;"-"&amp;TEXT(COUNTIF(F$14:F60,"?*"),"00"))</f>
        <v/>
      </c>
      <c r="B60" s="4" t="n"/>
      <c r="C60" s="5">
        <f>IF(B60="","",IFERROR(INDEX(EqTypeCol,MATCH(B60,EqTag,0)),"Tag not in register"))</f>
        <v/>
      </c>
      <c r="D60" s="4" t="n"/>
      <c r="E60" s="4" t="n"/>
      <c r="F60" s="4" t="n"/>
      <c r="G60" s="4" t="n"/>
      <c r="H60" s="4" t="n"/>
      <c r="I60" s="4" t="n"/>
      <c r="J60" s="5">
        <f>_xlfn.TEXTJOIN(CHAR(10),TRUE,IF(G60="","","• "&amp;G60),IF(H60="","","• "&amp;H60),IF(I60="","","• "&amp;I60))</f>
        <v/>
      </c>
      <c r="K60" s="4" t="n"/>
      <c r="L60" s="4" t="n"/>
      <c r="M60" s="4" t="n"/>
      <c r="N60" s="16" t="n"/>
      <c r="O60" s="4" t="n"/>
      <c r="P60" s="16" t="n"/>
      <c r="Q60" s="4" t="n"/>
      <c r="R60" s="16" t="n"/>
      <c r="S60" s="20">
        <f>IF(OR(N60="",P60="",R60=""),"",(--TRIM(LEFT(N60,2)))*(--TRIM(LEFT(P60,2)))*(--TRIM(LEFT(R60,2))))</f>
        <v/>
      </c>
      <c r="T60" s="20">
        <f>IF(OR(N60="",P60="",R60=""),"",INDEX(APGrid,COUNTIF(APS,"&gt;"&amp;(--TRIM(LEFT(N60,2))))*5+COUNTIF(APO,"&gt;"&amp;(--TRIM(LEFT(P60,2))))+1,COUNTIF(APD,"&gt;"&amp;(--TRIM(LEFT(R60,2))))+1))</f>
        <v/>
      </c>
      <c r="U60" s="20">
        <f>IF(S60="","",IF(OR((--TRIM(LEFT(N60,2)))&gt;=SThr,S60&gt;=RPNThr,T60="H"),"Yes","No"))</f>
        <v/>
      </c>
      <c r="V60" s="4" t="n"/>
      <c r="W60" s="4" t="n"/>
      <c r="X60" s="4" t="n"/>
      <c r="Y60" s="29" t="n"/>
      <c r="Z60" s="16" t="n"/>
      <c r="AA60" s="16" t="n"/>
      <c r="AB60" s="16" t="n"/>
      <c r="AC60" s="20">
        <f>IF(OR(Z60="",AA60="",AB60=""),"",(--TRIM(LEFT(Z60,2)))*(--TRIM(LEFT(AA60,2)))*(--TRIM(LEFT(AB60,2))))</f>
        <v/>
      </c>
      <c r="AD60" s="20">
        <f>IF(OR(Z60="",AA60="",AB60=""),"",INDEX(APGrid,COUNTIF(APS,"&gt;"&amp;(--TRIM(LEFT(Z60,2))))*5+COUNTIF(APO,"&gt;"&amp;(--TRIM(LEFT(AA60,2))))+1,COUNTIF(APD,"&gt;"&amp;(--TRIM(LEFT(AB60,2))))+1))</f>
        <v/>
      </c>
      <c r="AE60" s="4" t="n"/>
      <c r="AF60" s="4" t="n"/>
      <c r="AH60">
        <f>IFERROR(INDEX(EqTag,_xlfn.AGGREGATE(15,6,(ROW(EqTag)-4)/((EqSys=$D$3)*(EqTag&lt;&gt;"")),ROWS($AH$14:AH60))),"")</f>
        <v/>
      </c>
    </row>
    <row r="61">
      <c r="A61" s="20">
        <f>IF(F61="","",LEFT($D$3,3)&amp;"-"&amp;TEXT(COUNTIF(F$14:F61,"?*"),"00"))</f>
        <v/>
      </c>
      <c r="B61" s="4" t="n"/>
      <c r="C61" s="5">
        <f>IF(B61="","",IFERROR(INDEX(EqTypeCol,MATCH(B61,EqTag,0)),"Tag not in register"))</f>
        <v/>
      </c>
      <c r="D61" s="4" t="n"/>
      <c r="E61" s="4" t="n"/>
      <c r="F61" s="4" t="n"/>
      <c r="G61" s="4" t="n"/>
      <c r="H61" s="4" t="n"/>
      <c r="I61" s="4" t="n"/>
      <c r="J61" s="5">
        <f>_xlfn.TEXTJOIN(CHAR(10),TRUE,IF(G61="","","• "&amp;G61),IF(H61="","","• "&amp;H61),IF(I61="","","• "&amp;I61))</f>
        <v/>
      </c>
      <c r="K61" s="4" t="n"/>
      <c r="L61" s="4" t="n"/>
      <c r="M61" s="4" t="n"/>
      <c r="N61" s="16" t="n"/>
      <c r="O61" s="4" t="n"/>
      <c r="P61" s="16" t="n"/>
      <c r="Q61" s="4" t="n"/>
      <c r="R61" s="16" t="n"/>
      <c r="S61" s="20">
        <f>IF(OR(N61="",P61="",R61=""),"",(--TRIM(LEFT(N61,2)))*(--TRIM(LEFT(P61,2)))*(--TRIM(LEFT(R61,2))))</f>
        <v/>
      </c>
      <c r="T61" s="20">
        <f>IF(OR(N61="",P61="",R61=""),"",INDEX(APGrid,COUNTIF(APS,"&gt;"&amp;(--TRIM(LEFT(N61,2))))*5+COUNTIF(APO,"&gt;"&amp;(--TRIM(LEFT(P61,2))))+1,COUNTIF(APD,"&gt;"&amp;(--TRIM(LEFT(R61,2))))+1))</f>
        <v/>
      </c>
      <c r="U61" s="20">
        <f>IF(S61="","",IF(OR((--TRIM(LEFT(N61,2)))&gt;=SThr,S61&gt;=RPNThr,T61="H"),"Yes","No"))</f>
        <v/>
      </c>
      <c r="V61" s="4" t="n"/>
      <c r="W61" s="4" t="n"/>
      <c r="X61" s="4" t="n"/>
      <c r="Y61" s="29" t="n"/>
      <c r="Z61" s="16" t="n"/>
      <c r="AA61" s="16" t="n"/>
      <c r="AB61" s="16" t="n"/>
      <c r="AC61" s="20">
        <f>IF(OR(Z61="",AA61="",AB61=""),"",(--TRIM(LEFT(Z61,2)))*(--TRIM(LEFT(AA61,2)))*(--TRIM(LEFT(AB61,2))))</f>
        <v/>
      </c>
      <c r="AD61" s="20">
        <f>IF(OR(Z61="",AA61="",AB61=""),"",INDEX(APGrid,COUNTIF(APS,"&gt;"&amp;(--TRIM(LEFT(Z61,2))))*5+COUNTIF(APO,"&gt;"&amp;(--TRIM(LEFT(AA61,2))))+1,COUNTIF(APD,"&gt;"&amp;(--TRIM(LEFT(AB61,2))))+1))</f>
        <v/>
      </c>
      <c r="AE61" s="4" t="n"/>
      <c r="AF61" s="4" t="n"/>
      <c r="AH61">
        <f>IFERROR(INDEX(EqTag,_xlfn.AGGREGATE(15,6,(ROW(EqTag)-4)/((EqSys=$D$3)*(EqTag&lt;&gt;"")),ROWS($AH$14:AH61))),"")</f>
        <v/>
      </c>
    </row>
    <row r="62">
      <c r="A62" s="20">
        <f>IF(F62="","",LEFT($D$3,3)&amp;"-"&amp;TEXT(COUNTIF(F$14:F62,"?*"),"00"))</f>
        <v/>
      </c>
      <c r="B62" s="4" t="n"/>
      <c r="C62" s="5">
        <f>IF(B62="","",IFERROR(INDEX(EqTypeCol,MATCH(B62,EqTag,0)),"Tag not in register"))</f>
        <v/>
      </c>
      <c r="D62" s="4" t="n"/>
      <c r="E62" s="4" t="n"/>
      <c r="F62" s="4" t="n"/>
      <c r="G62" s="4" t="n"/>
      <c r="H62" s="4" t="n"/>
      <c r="I62" s="4" t="n"/>
      <c r="J62" s="5">
        <f>_xlfn.TEXTJOIN(CHAR(10),TRUE,IF(G62="","","• "&amp;G62),IF(H62="","","• "&amp;H62),IF(I62="","","• "&amp;I62))</f>
        <v/>
      </c>
      <c r="K62" s="4" t="n"/>
      <c r="L62" s="4" t="n"/>
      <c r="M62" s="4" t="n"/>
      <c r="N62" s="16" t="n"/>
      <c r="O62" s="4" t="n"/>
      <c r="P62" s="16" t="n"/>
      <c r="Q62" s="4" t="n"/>
      <c r="R62" s="16" t="n"/>
      <c r="S62" s="20">
        <f>IF(OR(N62="",P62="",R62=""),"",(--TRIM(LEFT(N62,2)))*(--TRIM(LEFT(P62,2)))*(--TRIM(LEFT(R62,2))))</f>
        <v/>
      </c>
      <c r="T62" s="20">
        <f>IF(OR(N62="",P62="",R62=""),"",INDEX(APGrid,COUNTIF(APS,"&gt;"&amp;(--TRIM(LEFT(N62,2))))*5+COUNTIF(APO,"&gt;"&amp;(--TRIM(LEFT(P62,2))))+1,COUNTIF(APD,"&gt;"&amp;(--TRIM(LEFT(R62,2))))+1))</f>
        <v/>
      </c>
      <c r="U62" s="20">
        <f>IF(S62="","",IF(OR((--TRIM(LEFT(N62,2)))&gt;=SThr,S62&gt;=RPNThr,T62="H"),"Yes","No"))</f>
        <v/>
      </c>
      <c r="V62" s="4" t="n"/>
      <c r="W62" s="4" t="n"/>
      <c r="X62" s="4" t="n"/>
      <c r="Y62" s="29" t="n"/>
      <c r="Z62" s="16" t="n"/>
      <c r="AA62" s="16" t="n"/>
      <c r="AB62" s="16" t="n"/>
      <c r="AC62" s="20">
        <f>IF(OR(Z62="",AA62="",AB62=""),"",(--TRIM(LEFT(Z62,2)))*(--TRIM(LEFT(AA62,2)))*(--TRIM(LEFT(AB62,2))))</f>
        <v/>
      </c>
      <c r="AD62" s="20">
        <f>IF(OR(Z62="",AA62="",AB62=""),"",INDEX(APGrid,COUNTIF(APS,"&gt;"&amp;(--TRIM(LEFT(Z62,2))))*5+COUNTIF(APO,"&gt;"&amp;(--TRIM(LEFT(AA62,2))))+1,COUNTIF(APD,"&gt;"&amp;(--TRIM(LEFT(AB62,2))))+1))</f>
        <v/>
      </c>
      <c r="AE62" s="4" t="n"/>
      <c r="AF62" s="4" t="n"/>
      <c r="AH62">
        <f>IFERROR(INDEX(EqTag,_xlfn.AGGREGATE(15,6,(ROW(EqTag)-4)/((EqSys=$D$3)*(EqTag&lt;&gt;"")),ROWS($AH$14:AH62))),"")</f>
        <v/>
      </c>
    </row>
    <row r="63">
      <c r="A63" s="20">
        <f>IF(F63="","",LEFT($D$3,3)&amp;"-"&amp;TEXT(COUNTIF(F$14:F63,"?*"),"00"))</f>
        <v/>
      </c>
      <c r="B63" s="4" t="n"/>
      <c r="C63" s="5">
        <f>IF(B63="","",IFERROR(INDEX(EqTypeCol,MATCH(B63,EqTag,0)),"Tag not in register"))</f>
        <v/>
      </c>
      <c r="D63" s="4" t="n"/>
      <c r="E63" s="4" t="n"/>
      <c r="F63" s="4" t="n"/>
      <c r="G63" s="4" t="n"/>
      <c r="H63" s="4" t="n"/>
      <c r="I63" s="4" t="n"/>
      <c r="J63" s="5">
        <f>_xlfn.TEXTJOIN(CHAR(10),TRUE,IF(G63="","","• "&amp;G63),IF(H63="","","• "&amp;H63),IF(I63="","","• "&amp;I63))</f>
        <v/>
      </c>
      <c r="K63" s="4" t="n"/>
      <c r="L63" s="4" t="n"/>
      <c r="M63" s="4" t="n"/>
      <c r="N63" s="16" t="n"/>
      <c r="O63" s="4" t="n"/>
      <c r="P63" s="16" t="n"/>
      <c r="Q63" s="4" t="n"/>
      <c r="R63" s="16" t="n"/>
      <c r="S63" s="20">
        <f>IF(OR(N63="",P63="",R63=""),"",(--TRIM(LEFT(N63,2)))*(--TRIM(LEFT(P63,2)))*(--TRIM(LEFT(R63,2))))</f>
        <v/>
      </c>
      <c r="T63" s="20">
        <f>IF(OR(N63="",P63="",R63=""),"",INDEX(APGrid,COUNTIF(APS,"&gt;"&amp;(--TRIM(LEFT(N63,2))))*5+COUNTIF(APO,"&gt;"&amp;(--TRIM(LEFT(P63,2))))+1,COUNTIF(APD,"&gt;"&amp;(--TRIM(LEFT(R63,2))))+1))</f>
        <v/>
      </c>
      <c r="U63" s="20">
        <f>IF(S63="","",IF(OR((--TRIM(LEFT(N63,2)))&gt;=SThr,S63&gt;=RPNThr,T63="H"),"Yes","No"))</f>
        <v/>
      </c>
      <c r="V63" s="4" t="n"/>
      <c r="W63" s="4" t="n"/>
      <c r="X63" s="4" t="n"/>
      <c r="Y63" s="29" t="n"/>
      <c r="Z63" s="16" t="n"/>
      <c r="AA63" s="16" t="n"/>
      <c r="AB63" s="16" t="n"/>
      <c r="AC63" s="20">
        <f>IF(OR(Z63="",AA63="",AB63=""),"",(--TRIM(LEFT(Z63,2)))*(--TRIM(LEFT(AA63,2)))*(--TRIM(LEFT(AB63,2))))</f>
        <v/>
      </c>
      <c r="AD63" s="20">
        <f>IF(OR(Z63="",AA63="",AB63=""),"",INDEX(APGrid,COUNTIF(APS,"&gt;"&amp;(--TRIM(LEFT(Z63,2))))*5+COUNTIF(APO,"&gt;"&amp;(--TRIM(LEFT(AA63,2))))+1,COUNTIF(APD,"&gt;"&amp;(--TRIM(LEFT(AB63,2))))+1))</f>
        <v/>
      </c>
      <c r="AE63" s="4" t="n"/>
      <c r="AF63" s="4" t="n"/>
      <c r="AH63">
        <f>IFERROR(INDEX(EqTag,_xlfn.AGGREGATE(15,6,(ROW(EqTag)-4)/((EqSys=$D$3)*(EqTag&lt;&gt;"")),ROWS($AH$14:AH63))),"")</f>
        <v/>
      </c>
    </row>
    <row r="64">
      <c r="A64" s="20">
        <f>IF(F64="","",LEFT($D$3,3)&amp;"-"&amp;TEXT(COUNTIF(F$14:F64,"?*"),"00"))</f>
        <v/>
      </c>
      <c r="B64" s="4" t="n"/>
      <c r="C64" s="5">
        <f>IF(B64="","",IFERROR(INDEX(EqTypeCol,MATCH(B64,EqTag,0)),"Tag not in register"))</f>
        <v/>
      </c>
      <c r="D64" s="4" t="n"/>
      <c r="E64" s="4" t="n"/>
      <c r="F64" s="4" t="n"/>
      <c r="G64" s="4" t="n"/>
      <c r="H64" s="4" t="n"/>
      <c r="I64" s="4" t="n"/>
      <c r="J64" s="5">
        <f>_xlfn.TEXTJOIN(CHAR(10),TRUE,IF(G64="","","• "&amp;G64),IF(H64="","","• "&amp;H64),IF(I64="","","• "&amp;I64))</f>
        <v/>
      </c>
      <c r="K64" s="4" t="n"/>
      <c r="L64" s="4" t="n"/>
      <c r="M64" s="4" t="n"/>
      <c r="N64" s="16" t="n"/>
      <c r="O64" s="4" t="n"/>
      <c r="P64" s="16" t="n"/>
      <c r="Q64" s="4" t="n"/>
      <c r="R64" s="16" t="n"/>
      <c r="S64" s="20">
        <f>IF(OR(N64="",P64="",R64=""),"",(--TRIM(LEFT(N64,2)))*(--TRIM(LEFT(P64,2)))*(--TRIM(LEFT(R64,2))))</f>
        <v/>
      </c>
      <c r="T64" s="20">
        <f>IF(OR(N64="",P64="",R64=""),"",INDEX(APGrid,COUNTIF(APS,"&gt;"&amp;(--TRIM(LEFT(N64,2))))*5+COUNTIF(APO,"&gt;"&amp;(--TRIM(LEFT(P64,2))))+1,COUNTIF(APD,"&gt;"&amp;(--TRIM(LEFT(R64,2))))+1))</f>
        <v/>
      </c>
      <c r="U64" s="20">
        <f>IF(S64="","",IF(OR((--TRIM(LEFT(N64,2)))&gt;=SThr,S64&gt;=RPNThr,T64="H"),"Yes","No"))</f>
        <v/>
      </c>
      <c r="V64" s="4" t="n"/>
      <c r="W64" s="4" t="n"/>
      <c r="X64" s="4" t="n"/>
      <c r="Y64" s="29" t="n"/>
      <c r="Z64" s="16" t="n"/>
      <c r="AA64" s="16" t="n"/>
      <c r="AB64" s="16" t="n"/>
      <c r="AC64" s="20">
        <f>IF(OR(Z64="",AA64="",AB64=""),"",(--TRIM(LEFT(Z64,2)))*(--TRIM(LEFT(AA64,2)))*(--TRIM(LEFT(AB64,2))))</f>
        <v/>
      </c>
      <c r="AD64" s="20">
        <f>IF(OR(Z64="",AA64="",AB64=""),"",INDEX(APGrid,COUNTIF(APS,"&gt;"&amp;(--TRIM(LEFT(Z64,2))))*5+COUNTIF(APO,"&gt;"&amp;(--TRIM(LEFT(AA64,2))))+1,COUNTIF(APD,"&gt;"&amp;(--TRIM(LEFT(AB64,2))))+1))</f>
        <v/>
      </c>
      <c r="AE64" s="4" t="n"/>
      <c r="AF64" s="4" t="n"/>
      <c r="AH64">
        <f>IFERROR(INDEX(EqTag,_xlfn.AGGREGATE(15,6,(ROW(EqTag)-4)/((EqSys=$D$3)*(EqTag&lt;&gt;"")),ROWS($AH$14:AH64))),"")</f>
        <v/>
      </c>
    </row>
    <row r="65">
      <c r="A65" s="20">
        <f>IF(F65="","",LEFT($D$3,3)&amp;"-"&amp;TEXT(COUNTIF(F$14:F65,"?*"),"00"))</f>
        <v/>
      </c>
      <c r="B65" s="4" t="n"/>
      <c r="C65" s="5">
        <f>IF(B65="","",IFERROR(INDEX(EqTypeCol,MATCH(B65,EqTag,0)),"Tag not in register"))</f>
        <v/>
      </c>
      <c r="D65" s="4" t="n"/>
      <c r="E65" s="4" t="n"/>
      <c r="F65" s="4" t="n"/>
      <c r="G65" s="4" t="n"/>
      <c r="H65" s="4" t="n"/>
      <c r="I65" s="4" t="n"/>
      <c r="J65" s="5">
        <f>_xlfn.TEXTJOIN(CHAR(10),TRUE,IF(G65="","","• "&amp;G65),IF(H65="","","• "&amp;H65),IF(I65="","","• "&amp;I65))</f>
        <v/>
      </c>
      <c r="K65" s="4" t="n"/>
      <c r="L65" s="4" t="n"/>
      <c r="M65" s="4" t="n"/>
      <c r="N65" s="16" t="n"/>
      <c r="O65" s="4" t="n"/>
      <c r="P65" s="16" t="n"/>
      <c r="Q65" s="4" t="n"/>
      <c r="R65" s="16" t="n"/>
      <c r="S65" s="20">
        <f>IF(OR(N65="",P65="",R65=""),"",(--TRIM(LEFT(N65,2)))*(--TRIM(LEFT(P65,2)))*(--TRIM(LEFT(R65,2))))</f>
        <v/>
      </c>
      <c r="T65" s="20">
        <f>IF(OR(N65="",P65="",R65=""),"",INDEX(APGrid,COUNTIF(APS,"&gt;"&amp;(--TRIM(LEFT(N65,2))))*5+COUNTIF(APO,"&gt;"&amp;(--TRIM(LEFT(P65,2))))+1,COUNTIF(APD,"&gt;"&amp;(--TRIM(LEFT(R65,2))))+1))</f>
        <v/>
      </c>
      <c r="U65" s="20">
        <f>IF(S65="","",IF(OR((--TRIM(LEFT(N65,2)))&gt;=SThr,S65&gt;=RPNThr,T65="H"),"Yes","No"))</f>
        <v/>
      </c>
      <c r="V65" s="4" t="n"/>
      <c r="W65" s="4" t="n"/>
      <c r="X65" s="4" t="n"/>
      <c r="Y65" s="29" t="n"/>
      <c r="Z65" s="16" t="n"/>
      <c r="AA65" s="16" t="n"/>
      <c r="AB65" s="16" t="n"/>
      <c r="AC65" s="20">
        <f>IF(OR(Z65="",AA65="",AB65=""),"",(--TRIM(LEFT(Z65,2)))*(--TRIM(LEFT(AA65,2)))*(--TRIM(LEFT(AB65,2))))</f>
        <v/>
      </c>
      <c r="AD65" s="20">
        <f>IF(OR(Z65="",AA65="",AB65=""),"",INDEX(APGrid,COUNTIF(APS,"&gt;"&amp;(--TRIM(LEFT(Z65,2))))*5+COUNTIF(APO,"&gt;"&amp;(--TRIM(LEFT(AA65,2))))+1,COUNTIF(APD,"&gt;"&amp;(--TRIM(LEFT(AB65,2))))+1))</f>
        <v/>
      </c>
      <c r="AE65" s="4" t="n"/>
      <c r="AF65" s="4" t="n"/>
      <c r="AH65">
        <f>IFERROR(INDEX(EqTag,_xlfn.AGGREGATE(15,6,(ROW(EqTag)-4)/((EqSys=$D$3)*(EqTag&lt;&gt;"")),ROWS($AH$14:AH65))),"")</f>
        <v/>
      </c>
    </row>
    <row r="66">
      <c r="A66" s="20">
        <f>IF(F66="","",LEFT($D$3,3)&amp;"-"&amp;TEXT(COUNTIF(F$14:F66,"?*"),"00"))</f>
        <v/>
      </c>
      <c r="B66" s="4" t="n"/>
      <c r="C66" s="5">
        <f>IF(B66="","",IFERROR(INDEX(EqTypeCol,MATCH(B66,EqTag,0)),"Tag not in register"))</f>
        <v/>
      </c>
      <c r="D66" s="4" t="n"/>
      <c r="E66" s="4" t="n"/>
      <c r="F66" s="4" t="n"/>
      <c r="G66" s="4" t="n"/>
      <c r="H66" s="4" t="n"/>
      <c r="I66" s="4" t="n"/>
      <c r="J66" s="5">
        <f>_xlfn.TEXTJOIN(CHAR(10),TRUE,IF(G66="","","• "&amp;G66),IF(H66="","","• "&amp;H66),IF(I66="","","• "&amp;I66))</f>
        <v/>
      </c>
      <c r="K66" s="4" t="n"/>
      <c r="L66" s="4" t="n"/>
      <c r="M66" s="4" t="n"/>
      <c r="N66" s="16" t="n"/>
      <c r="O66" s="4" t="n"/>
      <c r="P66" s="16" t="n"/>
      <c r="Q66" s="4" t="n"/>
      <c r="R66" s="16" t="n"/>
      <c r="S66" s="20">
        <f>IF(OR(N66="",P66="",R66=""),"",(--TRIM(LEFT(N66,2)))*(--TRIM(LEFT(P66,2)))*(--TRIM(LEFT(R66,2))))</f>
        <v/>
      </c>
      <c r="T66" s="20">
        <f>IF(OR(N66="",P66="",R66=""),"",INDEX(APGrid,COUNTIF(APS,"&gt;"&amp;(--TRIM(LEFT(N66,2))))*5+COUNTIF(APO,"&gt;"&amp;(--TRIM(LEFT(P66,2))))+1,COUNTIF(APD,"&gt;"&amp;(--TRIM(LEFT(R66,2))))+1))</f>
        <v/>
      </c>
      <c r="U66" s="20">
        <f>IF(S66="","",IF(OR((--TRIM(LEFT(N66,2)))&gt;=SThr,S66&gt;=RPNThr,T66="H"),"Yes","No"))</f>
        <v/>
      </c>
      <c r="V66" s="4" t="n"/>
      <c r="W66" s="4" t="n"/>
      <c r="X66" s="4" t="n"/>
      <c r="Y66" s="29" t="n"/>
      <c r="Z66" s="16" t="n"/>
      <c r="AA66" s="16" t="n"/>
      <c r="AB66" s="16" t="n"/>
      <c r="AC66" s="20">
        <f>IF(OR(Z66="",AA66="",AB66=""),"",(--TRIM(LEFT(Z66,2)))*(--TRIM(LEFT(AA66,2)))*(--TRIM(LEFT(AB66,2))))</f>
        <v/>
      </c>
      <c r="AD66" s="20">
        <f>IF(OR(Z66="",AA66="",AB66=""),"",INDEX(APGrid,COUNTIF(APS,"&gt;"&amp;(--TRIM(LEFT(Z66,2))))*5+COUNTIF(APO,"&gt;"&amp;(--TRIM(LEFT(AA66,2))))+1,COUNTIF(APD,"&gt;"&amp;(--TRIM(LEFT(AB66,2))))+1))</f>
        <v/>
      </c>
      <c r="AE66" s="4" t="n"/>
      <c r="AF66" s="4" t="n"/>
      <c r="AH66">
        <f>IFERROR(INDEX(EqTag,_xlfn.AGGREGATE(15,6,(ROW(EqTag)-4)/((EqSys=$D$3)*(EqTag&lt;&gt;"")),ROWS($AH$14:AH66))),"")</f>
        <v/>
      </c>
    </row>
    <row r="67">
      <c r="A67" s="20">
        <f>IF(F67="","",LEFT($D$3,3)&amp;"-"&amp;TEXT(COUNTIF(F$14:F67,"?*"),"00"))</f>
        <v/>
      </c>
      <c r="B67" s="4" t="n"/>
      <c r="C67" s="5">
        <f>IF(B67="","",IFERROR(INDEX(EqTypeCol,MATCH(B67,EqTag,0)),"Tag not in register"))</f>
        <v/>
      </c>
      <c r="D67" s="4" t="n"/>
      <c r="E67" s="4" t="n"/>
      <c r="F67" s="4" t="n"/>
      <c r="G67" s="4" t="n"/>
      <c r="H67" s="4" t="n"/>
      <c r="I67" s="4" t="n"/>
      <c r="J67" s="5">
        <f>_xlfn.TEXTJOIN(CHAR(10),TRUE,IF(G67="","","• "&amp;G67),IF(H67="","","• "&amp;H67),IF(I67="","","• "&amp;I67))</f>
        <v/>
      </c>
      <c r="K67" s="4" t="n"/>
      <c r="L67" s="4" t="n"/>
      <c r="M67" s="4" t="n"/>
      <c r="N67" s="16" t="n"/>
      <c r="O67" s="4" t="n"/>
      <c r="P67" s="16" t="n"/>
      <c r="Q67" s="4" t="n"/>
      <c r="R67" s="16" t="n"/>
      <c r="S67" s="20">
        <f>IF(OR(N67="",P67="",R67=""),"",(--TRIM(LEFT(N67,2)))*(--TRIM(LEFT(P67,2)))*(--TRIM(LEFT(R67,2))))</f>
        <v/>
      </c>
      <c r="T67" s="20">
        <f>IF(OR(N67="",P67="",R67=""),"",INDEX(APGrid,COUNTIF(APS,"&gt;"&amp;(--TRIM(LEFT(N67,2))))*5+COUNTIF(APO,"&gt;"&amp;(--TRIM(LEFT(P67,2))))+1,COUNTIF(APD,"&gt;"&amp;(--TRIM(LEFT(R67,2))))+1))</f>
        <v/>
      </c>
      <c r="U67" s="20">
        <f>IF(S67="","",IF(OR((--TRIM(LEFT(N67,2)))&gt;=SThr,S67&gt;=RPNThr,T67="H"),"Yes","No"))</f>
        <v/>
      </c>
      <c r="V67" s="4" t="n"/>
      <c r="W67" s="4" t="n"/>
      <c r="X67" s="4" t="n"/>
      <c r="Y67" s="29" t="n"/>
      <c r="Z67" s="16" t="n"/>
      <c r="AA67" s="16" t="n"/>
      <c r="AB67" s="16" t="n"/>
      <c r="AC67" s="20">
        <f>IF(OR(Z67="",AA67="",AB67=""),"",(--TRIM(LEFT(Z67,2)))*(--TRIM(LEFT(AA67,2)))*(--TRIM(LEFT(AB67,2))))</f>
        <v/>
      </c>
      <c r="AD67" s="20">
        <f>IF(OR(Z67="",AA67="",AB67=""),"",INDEX(APGrid,COUNTIF(APS,"&gt;"&amp;(--TRIM(LEFT(Z67,2))))*5+COUNTIF(APO,"&gt;"&amp;(--TRIM(LEFT(AA67,2))))+1,COUNTIF(APD,"&gt;"&amp;(--TRIM(LEFT(AB67,2))))+1))</f>
        <v/>
      </c>
      <c r="AE67" s="4" t="n"/>
      <c r="AF67" s="4" t="n"/>
      <c r="AH67">
        <f>IFERROR(INDEX(EqTag,_xlfn.AGGREGATE(15,6,(ROW(EqTag)-4)/((EqSys=$D$3)*(EqTag&lt;&gt;"")),ROWS($AH$14:AH67))),"")</f>
        <v/>
      </c>
    </row>
    <row r="68">
      <c r="A68" s="20">
        <f>IF(F68="","",LEFT($D$3,3)&amp;"-"&amp;TEXT(COUNTIF(F$14:F68,"?*"),"00"))</f>
        <v/>
      </c>
      <c r="B68" s="4" t="n"/>
      <c r="C68" s="5">
        <f>IF(B68="","",IFERROR(INDEX(EqTypeCol,MATCH(B68,EqTag,0)),"Tag not in register"))</f>
        <v/>
      </c>
      <c r="D68" s="4" t="n"/>
      <c r="E68" s="4" t="n"/>
      <c r="F68" s="4" t="n"/>
      <c r="G68" s="4" t="n"/>
      <c r="H68" s="4" t="n"/>
      <c r="I68" s="4" t="n"/>
      <c r="J68" s="5">
        <f>_xlfn.TEXTJOIN(CHAR(10),TRUE,IF(G68="","","• "&amp;G68),IF(H68="","","• "&amp;H68),IF(I68="","","• "&amp;I68))</f>
        <v/>
      </c>
      <c r="K68" s="4" t="n"/>
      <c r="L68" s="4" t="n"/>
      <c r="M68" s="4" t="n"/>
      <c r="N68" s="16" t="n"/>
      <c r="O68" s="4" t="n"/>
      <c r="P68" s="16" t="n"/>
      <c r="Q68" s="4" t="n"/>
      <c r="R68" s="16" t="n"/>
      <c r="S68" s="20">
        <f>IF(OR(N68="",P68="",R68=""),"",(--TRIM(LEFT(N68,2)))*(--TRIM(LEFT(P68,2)))*(--TRIM(LEFT(R68,2))))</f>
        <v/>
      </c>
      <c r="T68" s="20">
        <f>IF(OR(N68="",P68="",R68=""),"",INDEX(APGrid,COUNTIF(APS,"&gt;"&amp;(--TRIM(LEFT(N68,2))))*5+COUNTIF(APO,"&gt;"&amp;(--TRIM(LEFT(P68,2))))+1,COUNTIF(APD,"&gt;"&amp;(--TRIM(LEFT(R68,2))))+1))</f>
        <v/>
      </c>
      <c r="U68" s="20">
        <f>IF(S68="","",IF(OR((--TRIM(LEFT(N68,2)))&gt;=SThr,S68&gt;=RPNThr,T68="H"),"Yes","No"))</f>
        <v/>
      </c>
      <c r="V68" s="4" t="n"/>
      <c r="W68" s="4" t="n"/>
      <c r="X68" s="4" t="n"/>
      <c r="Y68" s="29" t="n"/>
      <c r="Z68" s="16" t="n"/>
      <c r="AA68" s="16" t="n"/>
      <c r="AB68" s="16" t="n"/>
      <c r="AC68" s="20">
        <f>IF(OR(Z68="",AA68="",AB68=""),"",(--TRIM(LEFT(Z68,2)))*(--TRIM(LEFT(AA68,2)))*(--TRIM(LEFT(AB68,2))))</f>
        <v/>
      </c>
      <c r="AD68" s="20">
        <f>IF(OR(Z68="",AA68="",AB68=""),"",INDEX(APGrid,COUNTIF(APS,"&gt;"&amp;(--TRIM(LEFT(Z68,2))))*5+COUNTIF(APO,"&gt;"&amp;(--TRIM(LEFT(AA68,2))))+1,COUNTIF(APD,"&gt;"&amp;(--TRIM(LEFT(AB68,2))))+1))</f>
        <v/>
      </c>
      <c r="AE68" s="4" t="n"/>
      <c r="AF68" s="4" t="n"/>
      <c r="AH68">
        <f>IFERROR(INDEX(EqTag,_xlfn.AGGREGATE(15,6,(ROW(EqTag)-4)/((EqSys=$D$3)*(EqTag&lt;&gt;"")),ROWS($AH$14:AH68))),"")</f>
        <v/>
      </c>
    </row>
    <row r="69">
      <c r="A69" s="20">
        <f>IF(F69="","",LEFT($D$3,3)&amp;"-"&amp;TEXT(COUNTIF(F$14:F69,"?*"),"00"))</f>
        <v/>
      </c>
      <c r="B69" s="4" t="n"/>
      <c r="C69" s="5">
        <f>IF(B69="","",IFERROR(INDEX(EqTypeCol,MATCH(B69,EqTag,0)),"Tag not in register"))</f>
        <v/>
      </c>
      <c r="D69" s="4" t="n"/>
      <c r="E69" s="4" t="n"/>
      <c r="F69" s="4" t="n"/>
      <c r="G69" s="4" t="n"/>
      <c r="H69" s="4" t="n"/>
      <c r="I69" s="4" t="n"/>
      <c r="J69" s="5">
        <f>_xlfn.TEXTJOIN(CHAR(10),TRUE,IF(G69="","","• "&amp;G69),IF(H69="","","• "&amp;H69),IF(I69="","","• "&amp;I69))</f>
        <v/>
      </c>
      <c r="K69" s="4" t="n"/>
      <c r="L69" s="4" t="n"/>
      <c r="M69" s="4" t="n"/>
      <c r="N69" s="16" t="n"/>
      <c r="O69" s="4" t="n"/>
      <c r="P69" s="16" t="n"/>
      <c r="Q69" s="4" t="n"/>
      <c r="R69" s="16" t="n"/>
      <c r="S69" s="20">
        <f>IF(OR(N69="",P69="",R69=""),"",(--TRIM(LEFT(N69,2)))*(--TRIM(LEFT(P69,2)))*(--TRIM(LEFT(R69,2))))</f>
        <v/>
      </c>
      <c r="T69" s="20">
        <f>IF(OR(N69="",P69="",R69=""),"",INDEX(APGrid,COUNTIF(APS,"&gt;"&amp;(--TRIM(LEFT(N69,2))))*5+COUNTIF(APO,"&gt;"&amp;(--TRIM(LEFT(P69,2))))+1,COUNTIF(APD,"&gt;"&amp;(--TRIM(LEFT(R69,2))))+1))</f>
        <v/>
      </c>
      <c r="U69" s="20">
        <f>IF(S69="","",IF(OR((--TRIM(LEFT(N69,2)))&gt;=SThr,S69&gt;=RPNThr,T69="H"),"Yes","No"))</f>
        <v/>
      </c>
      <c r="V69" s="4" t="n"/>
      <c r="W69" s="4" t="n"/>
      <c r="X69" s="4" t="n"/>
      <c r="Y69" s="29" t="n"/>
      <c r="Z69" s="16" t="n"/>
      <c r="AA69" s="16" t="n"/>
      <c r="AB69" s="16" t="n"/>
      <c r="AC69" s="20">
        <f>IF(OR(Z69="",AA69="",AB69=""),"",(--TRIM(LEFT(Z69,2)))*(--TRIM(LEFT(AA69,2)))*(--TRIM(LEFT(AB69,2))))</f>
        <v/>
      </c>
      <c r="AD69" s="20">
        <f>IF(OR(Z69="",AA69="",AB69=""),"",INDEX(APGrid,COUNTIF(APS,"&gt;"&amp;(--TRIM(LEFT(Z69,2))))*5+COUNTIF(APO,"&gt;"&amp;(--TRIM(LEFT(AA69,2))))+1,COUNTIF(APD,"&gt;"&amp;(--TRIM(LEFT(AB69,2))))+1))</f>
        <v/>
      </c>
      <c r="AE69" s="4" t="n"/>
      <c r="AF69" s="4" t="n"/>
      <c r="AH69">
        <f>IFERROR(INDEX(EqTag,_xlfn.AGGREGATE(15,6,(ROW(EqTag)-4)/((EqSys=$D$3)*(EqTag&lt;&gt;"")),ROWS($AH$14:AH69))),"")</f>
        <v/>
      </c>
    </row>
    <row r="70">
      <c r="A70" s="20">
        <f>IF(F70="","",LEFT($D$3,3)&amp;"-"&amp;TEXT(COUNTIF(F$14:F70,"?*"),"00"))</f>
        <v/>
      </c>
      <c r="B70" s="4" t="n"/>
      <c r="C70" s="5">
        <f>IF(B70="","",IFERROR(INDEX(EqTypeCol,MATCH(B70,EqTag,0)),"Tag not in register"))</f>
        <v/>
      </c>
      <c r="D70" s="4" t="n"/>
      <c r="E70" s="4" t="n"/>
      <c r="F70" s="4" t="n"/>
      <c r="G70" s="4" t="n"/>
      <c r="H70" s="4" t="n"/>
      <c r="I70" s="4" t="n"/>
      <c r="J70" s="5">
        <f>_xlfn.TEXTJOIN(CHAR(10),TRUE,IF(G70="","","• "&amp;G70),IF(H70="","","• "&amp;H70),IF(I70="","","• "&amp;I70))</f>
        <v/>
      </c>
      <c r="K70" s="4" t="n"/>
      <c r="L70" s="4" t="n"/>
      <c r="M70" s="4" t="n"/>
      <c r="N70" s="16" t="n"/>
      <c r="O70" s="4" t="n"/>
      <c r="P70" s="16" t="n"/>
      <c r="Q70" s="4" t="n"/>
      <c r="R70" s="16" t="n"/>
      <c r="S70" s="20">
        <f>IF(OR(N70="",P70="",R70=""),"",(--TRIM(LEFT(N70,2)))*(--TRIM(LEFT(P70,2)))*(--TRIM(LEFT(R70,2))))</f>
        <v/>
      </c>
      <c r="T70" s="20">
        <f>IF(OR(N70="",P70="",R70=""),"",INDEX(APGrid,COUNTIF(APS,"&gt;"&amp;(--TRIM(LEFT(N70,2))))*5+COUNTIF(APO,"&gt;"&amp;(--TRIM(LEFT(P70,2))))+1,COUNTIF(APD,"&gt;"&amp;(--TRIM(LEFT(R70,2))))+1))</f>
        <v/>
      </c>
      <c r="U70" s="20">
        <f>IF(S70="","",IF(OR((--TRIM(LEFT(N70,2)))&gt;=SThr,S70&gt;=RPNThr,T70="H"),"Yes","No"))</f>
        <v/>
      </c>
      <c r="V70" s="4" t="n"/>
      <c r="W70" s="4" t="n"/>
      <c r="X70" s="4" t="n"/>
      <c r="Y70" s="29" t="n"/>
      <c r="Z70" s="16" t="n"/>
      <c r="AA70" s="16" t="n"/>
      <c r="AB70" s="16" t="n"/>
      <c r="AC70" s="20">
        <f>IF(OR(Z70="",AA70="",AB70=""),"",(--TRIM(LEFT(Z70,2)))*(--TRIM(LEFT(AA70,2)))*(--TRIM(LEFT(AB70,2))))</f>
        <v/>
      </c>
      <c r="AD70" s="20">
        <f>IF(OR(Z70="",AA70="",AB70=""),"",INDEX(APGrid,COUNTIF(APS,"&gt;"&amp;(--TRIM(LEFT(Z70,2))))*5+COUNTIF(APO,"&gt;"&amp;(--TRIM(LEFT(AA70,2))))+1,COUNTIF(APD,"&gt;"&amp;(--TRIM(LEFT(AB70,2))))+1))</f>
        <v/>
      </c>
      <c r="AE70" s="4" t="n"/>
      <c r="AF70" s="4" t="n"/>
      <c r="AH70">
        <f>IFERROR(INDEX(EqTag,_xlfn.AGGREGATE(15,6,(ROW(EqTag)-4)/((EqSys=$D$3)*(EqTag&lt;&gt;"")),ROWS($AH$14:AH70))),"")</f>
        <v/>
      </c>
    </row>
    <row r="71">
      <c r="A71" s="20">
        <f>IF(F71="","",LEFT($D$3,3)&amp;"-"&amp;TEXT(COUNTIF(F$14:F71,"?*"),"00"))</f>
        <v/>
      </c>
      <c r="B71" s="4" t="n"/>
      <c r="C71" s="5">
        <f>IF(B71="","",IFERROR(INDEX(EqTypeCol,MATCH(B71,EqTag,0)),"Tag not in register"))</f>
        <v/>
      </c>
      <c r="D71" s="4" t="n"/>
      <c r="E71" s="4" t="n"/>
      <c r="F71" s="4" t="n"/>
      <c r="G71" s="4" t="n"/>
      <c r="H71" s="4" t="n"/>
      <c r="I71" s="4" t="n"/>
      <c r="J71" s="5">
        <f>_xlfn.TEXTJOIN(CHAR(10),TRUE,IF(G71="","","• "&amp;G71),IF(H71="","","• "&amp;H71),IF(I71="","","• "&amp;I71))</f>
        <v/>
      </c>
      <c r="K71" s="4" t="n"/>
      <c r="L71" s="4" t="n"/>
      <c r="M71" s="4" t="n"/>
      <c r="N71" s="16" t="n"/>
      <c r="O71" s="4" t="n"/>
      <c r="P71" s="16" t="n"/>
      <c r="Q71" s="4" t="n"/>
      <c r="R71" s="16" t="n"/>
      <c r="S71" s="20">
        <f>IF(OR(N71="",P71="",R71=""),"",(--TRIM(LEFT(N71,2)))*(--TRIM(LEFT(P71,2)))*(--TRIM(LEFT(R71,2))))</f>
        <v/>
      </c>
      <c r="T71" s="20">
        <f>IF(OR(N71="",P71="",R71=""),"",INDEX(APGrid,COUNTIF(APS,"&gt;"&amp;(--TRIM(LEFT(N71,2))))*5+COUNTIF(APO,"&gt;"&amp;(--TRIM(LEFT(P71,2))))+1,COUNTIF(APD,"&gt;"&amp;(--TRIM(LEFT(R71,2))))+1))</f>
        <v/>
      </c>
      <c r="U71" s="20">
        <f>IF(S71="","",IF(OR((--TRIM(LEFT(N71,2)))&gt;=SThr,S71&gt;=RPNThr,T71="H"),"Yes","No"))</f>
        <v/>
      </c>
      <c r="V71" s="4" t="n"/>
      <c r="W71" s="4" t="n"/>
      <c r="X71" s="4" t="n"/>
      <c r="Y71" s="29" t="n"/>
      <c r="Z71" s="16" t="n"/>
      <c r="AA71" s="16" t="n"/>
      <c r="AB71" s="16" t="n"/>
      <c r="AC71" s="20">
        <f>IF(OR(Z71="",AA71="",AB71=""),"",(--TRIM(LEFT(Z71,2)))*(--TRIM(LEFT(AA71,2)))*(--TRIM(LEFT(AB71,2))))</f>
        <v/>
      </c>
      <c r="AD71" s="20">
        <f>IF(OR(Z71="",AA71="",AB71=""),"",INDEX(APGrid,COUNTIF(APS,"&gt;"&amp;(--TRIM(LEFT(Z71,2))))*5+COUNTIF(APO,"&gt;"&amp;(--TRIM(LEFT(AA71,2))))+1,COUNTIF(APD,"&gt;"&amp;(--TRIM(LEFT(AB71,2))))+1))</f>
        <v/>
      </c>
      <c r="AE71" s="4" t="n"/>
      <c r="AF71" s="4" t="n"/>
      <c r="AH71">
        <f>IFERROR(INDEX(EqTag,_xlfn.AGGREGATE(15,6,(ROW(EqTag)-4)/((EqSys=$D$3)*(EqTag&lt;&gt;"")),ROWS($AH$14:AH71))),"")</f>
        <v/>
      </c>
    </row>
    <row r="72">
      <c r="A72" s="20">
        <f>IF(F72="","",LEFT($D$3,3)&amp;"-"&amp;TEXT(COUNTIF(F$14:F72,"?*"),"00"))</f>
        <v/>
      </c>
      <c r="B72" s="4" t="n"/>
      <c r="C72" s="5">
        <f>IF(B72="","",IFERROR(INDEX(EqTypeCol,MATCH(B72,EqTag,0)),"Tag not in register"))</f>
        <v/>
      </c>
      <c r="D72" s="4" t="n"/>
      <c r="E72" s="4" t="n"/>
      <c r="F72" s="4" t="n"/>
      <c r="G72" s="4" t="n"/>
      <c r="H72" s="4" t="n"/>
      <c r="I72" s="4" t="n"/>
      <c r="J72" s="5">
        <f>_xlfn.TEXTJOIN(CHAR(10),TRUE,IF(G72="","","• "&amp;G72),IF(H72="","","• "&amp;H72),IF(I72="","","• "&amp;I72))</f>
        <v/>
      </c>
      <c r="K72" s="4" t="n"/>
      <c r="L72" s="4" t="n"/>
      <c r="M72" s="4" t="n"/>
      <c r="N72" s="16" t="n"/>
      <c r="O72" s="4" t="n"/>
      <c r="P72" s="16" t="n"/>
      <c r="Q72" s="4" t="n"/>
      <c r="R72" s="16" t="n"/>
      <c r="S72" s="20">
        <f>IF(OR(N72="",P72="",R72=""),"",(--TRIM(LEFT(N72,2)))*(--TRIM(LEFT(P72,2)))*(--TRIM(LEFT(R72,2))))</f>
        <v/>
      </c>
      <c r="T72" s="20">
        <f>IF(OR(N72="",P72="",R72=""),"",INDEX(APGrid,COUNTIF(APS,"&gt;"&amp;(--TRIM(LEFT(N72,2))))*5+COUNTIF(APO,"&gt;"&amp;(--TRIM(LEFT(P72,2))))+1,COUNTIF(APD,"&gt;"&amp;(--TRIM(LEFT(R72,2))))+1))</f>
        <v/>
      </c>
      <c r="U72" s="20">
        <f>IF(S72="","",IF(OR((--TRIM(LEFT(N72,2)))&gt;=SThr,S72&gt;=RPNThr,T72="H"),"Yes","No"))</f>
        <v/>
      </c>
      <c r="V72" s="4" t="n"/>
      <c r="W72" s="4" t="n"/>
      <c r="X72" s="4" t="n"/>
      <c r="Y72" s="29" t="n"/>
      <c r="Z72" s="16" t="n"/>
      <c r="AA72" s="16" t="n"/>
      <c r="AB72" s="16" t="n"/>
      <c r="AC72" s="20">
        <f>IF(OR(Z72="",AA72="",AB72=""),"",(--TRIM(LEFT(Z72,2)))*(--TRIM(LEFT(AA72,2)))*(--TRIM(LEFT(AB72,2))))</f>
        <v/>
      </c>
      <c r="AD72" s="20">
        <f>IF(OR(Z72="",AA72="",AB72=""),"",INDEX(APGrid,COUNTIF(APS,"&gt;"&amp;(--TRIM(LEFT(Z72,2))))*5+COUNTIF(APO,"&gt;"&amp;(--TRIM(LEFT(AA72,2))))+1,COUNTIF(APD,"&gt;"&amp;(--TRIM(LEFT(AB72,2))))+1))</f>
        <v/>
      </c>
      <c r="AE72" s="4" t="n"/>
      <c r="AF72" s="4" t="n"/>
      <c r="AH72">
        <f>IFERROR(INDEX(EqTag,_xlfn.AGGREGATE(15,6,(ROW(EqTag)-4)/((EqSys=$D$3)*(EqTag&lt;&gt;"")),ROWS($AH$14:AH72))),"")</f>
        <v/>
      </c>
    </row>
    <row r="73">
      <c r="A73" s="20">
        <f>IF(F73="","",LEFT($D$3,3)&amp;"-"&amp;TEXT(COUNTIF(F$14:F73,"?*"),"00"))</f>
        <v/>
      </c>
      <c r="B73" s="4" t="n"/>
      <c r="C73" s="5">
        <f>IF(B73="","",IFERROR(INDEX(EqTypeCol,MATCH(B73,EqTag,0)),"Tag not in register"))</f>
        <v/>
      </c>
      <c r="D73" s="4" t="n"/>
      <c r="E73" s="4" t="n"/>
      <c r="F73" s="4" t="n"/>
      <c r="G73" s="4" t="n"/>
      <c r="H73" s="4" t="n"/>
      <c r="I73" s="4" t="n"/>
      <c r="J73" s="5">
        <f>_xlfn.TEXTJOIN(CHAR(10),TRUE,IF(G73="","","• "&amp;G73),IF(H73="","","• "&amp;H73),IF(I73="","","• "&amp;I73))</f>
        <v/>
      </c>
      <c r="K73" s="4" t="n"/>
      <c r="L73" s="4" t="n"/>
      <c r="M73" s="4" t="n"/>
      <c r="N73" s="16" t="n"/>
      <c r="O73" s="4" t="n"/>
      <c r="P73" s="16" t="n"/>
      <c r="Q73" s="4" t="n"/>
      <c r="R73" s="16" t="n"/>
      <c r="S73" s="20">
        <f>IF(OR(N73="",P73="",R73=""),"",(--TRIM(LEFT(N73,2)))*(--TRIM(LEFT(P73,2)))*(--TRIM(LEFT(R73,2))))</f>
        <v/>
      </c>
      <c r="T73" s="20">
        <f>IF(OR(N73="",P73="",R73=""),"",INDEX(APGrid,COUNTIF(APS,"&gt;"&amp;(--TRIM(LEFT(N73,2))))*5+COUNTIF(APO,"&gt;"&amp;(--TRIM(LEFT(P73,2))))+1,COUNTIF(APD,"&gt;"&amp;(--TRIM(LEFT(R73,2))))+1))</f>
        <v/>
      </c>
      <c r="U73" s="20">
        <f>IF(S73="","",IF(OR((--TRIM(LEFT(N73,2)))&gt;=SThr,S73&gt;=RPNThr,T73="H"),"Yes","No"))</f>
        <v/>
      </c>
      <c r="V73" s="4" t="n"/>
      <c r="W73" s="4" t="n"/>
      <c r="X73" s="4" t="n"/>
      <c r="Y73" s="29" t="n"/>
      <c r="Z73" s="16" t="n"/>
      <c r="AA73" s="16" t="n"/>
      <c r="AB73" s="16" t="n"/>
      <c r="AC73" s="20">
        <f>IF(OR(Z73="",AA73="",AB73=""),"",(--TRIM(LEFT(Z73,2)))*(--TRIM(LEFT(AA73,2)))*(--TRIM(LEFT(AB73,2))))</f>
        <v/>
      </c>
      <c r="AD73" s="20">
        <f>IF(OR(Z73="",AA73="",AB73=""),"",INDEX(APGrid,COUNTIF(APS,"&gt;"&amp;(--TRIM(LEFT(Z73,2))))*5+COUNTIF(APO,"&gt;"&amp;(--TRIM(LEFT(AA73,2))))+1,COUNTIF(APD,"&gt;"&amp;(--TRIM(LEFT(AB73,2))))+1))</f>
        <v/>
      </c>
      <c r="AE73" s="4" t="n"/>
      <c r="AF73" s="4" t="n"/>
      <c r="AH73">
        <f>IFERROR(INDEX(EqTag,_xlfn.AGGREGATE(15,6,(ROW(EqTag)-4)/((EqSys=$D$3)*(EqTag&lt;&gt;"")),ROWS($AH$14:AH73))),"")</f>
        <v/>
      </c>
    </row>
    <row r="74">
      <c r="A74" s="20">
        <f>IF(F74="","",LEFT($D$3,3)&amp;"-"&amp;TEXT(COUNTIF(F$14:F74,"?*"),"00"))</f>
        <v/>
      </c>
      <c r="B74" s="4" t="n"/>
      <c r="C74" s="5">
        <f>IF(B74="","",IFERROR(INDEX(EqTypeCol,MATCH(B74,EqTag,0)),"Tag not in register"))</f>
        <v/>
      </c>
      <c r="D74" s="4" t="n"/>
      <c r="E74" s="4" t="n"/>
      <c r="F74" s="4" t="n"/>
      <c r="G74" s="4" t="n"/>
      <c r="H74" s="4" t="n"/>
      <c r="I74" s="4" t="n"/>
      <c r="J74" s="5">
        <f>_xlfn.TEXTJOIN(CHAR(10),TRUE,IF(G74="","","• "&amp;G74),IF(H74="","","• "&amp;H74),IF(I74="","","• "&amp;I74))</f>
        <v/>
      </c>
      <c r="K74" s="4" t="n"/>
      <c r="L74" s="4" t="n"/>
      <c r="M74" s="4" t="n"/>
      <c r="N74" s="16" t="n"/>
      <c r="O74" s="4" t="n"/>
      <c r="P74" s="16" t="n"/>
      <c r="Q74" s="4" t="n"/>
      <c r="R74" s="16" t="n"/>
      <c r="S74" s="20">
        <f>IF(OR(N74="",P74="",R74=""),"",(--TRIM(LEFT(N74,2)))*(--TRIM(LEFT(P74,2)))*(--TRIM(LEFT(R74,2))))</f>
        <v/>
      </c>
      <c r="T74" s="20">
        <f>IF(OR(N74="",P74="",R74=""),"",INDEX(APGrid,COUNTIF(APS,"&gt;"&amp;(--TRIM(LEFT(N74,2))))*5+COUNTIF(APO,"&gt;"&amp;(--TRIM(LEFT(P74,2))))+1,COUNTIF(APD,"&gt;"&amp;(--TRIM(LEFT(R74,2))))+1))</f>
        <v/>
      </c>
      <c r="U74" s="20">
        <f>IF(S74="","",IF(OR((--TRIM(LEFT(N74,2)))&gt;=SThr,S74&gt;=RPNThr,T74="H"),"Yes","No"))</f>
        <v/>
      </c>
      <c r="V74" s="4" t="n"/>
      <c r="W74" s="4" t="n"/>
      <c r="X74" s="4" t="n"/>
      <c r="Y74" s="29" t="n"/>
      <c r="Z74" s="16" t="n"/>
      <c r="AA74" s="16" t="n"/>
      <c r="AB74" s="16" t="n"/>
      <c r="AC74" s="20">
        <f>IF(OR(Z74="",AA74="",AB74=""),"",(--TRIM(LEFT(Z74,2)))*(--TRIM(LEFT(AA74,2)))*(--TRIM(LEFT(AB74,2))))</f>
        <v/>
      </c>
      <c r="AD74" s="20">
        <f>IF(OR(Z74="",AA74="",AB74=""),"",INDEX(APGrid,COUNTIF(APS,"&gt;"&amp;(--TRIM(LEFT(Z74,2))))*5+COUNTIF(APO,"&gt;"&amp;(--TRIM(LEFT(AA74,2))))+1,COUNTIF(APD,"&gt;"&amp;(--TRIM(LEFT(AB74,2))))+1))</f>
        <v/>
      </c>
      <c r="AE74" s="4" t="n"/>
      <c r="AF74" s="4" t="n"/>
      <c r="AH74">
        <f>IFERROR(INDEX(EqTag,_xlfn.AGGREGATE(15,6,(ROW(EqTag)-4)/((EqSys=$D$3)*(EqTag&lt;&gt;"")),ROWS($AH$14:AH74))),"")</f>
        <v/>
      </c>
    </row>
    <row r="75">
      <c r="A75" s="20">
        <f>IF(F75="","",LEFT($D$3,3)&amp;"-"&amp;TEXT(COUNTIF(F$14:F75,"?*"),"00"))</f>
        <v/>
      </c>
      <c r="B75" s="4" t="n"/>
      <c r="C75" s="5">
        <f>IF(B75="","",IFERROR(INDEX(EqTypeCol,MATCH(B75,EqTag,0)),"Tag not in register"))</f>
        <v/>
      </c>
      <c r="D75" s="4" t="n"/>
      <c r="E75" s="4" t="n"/>
      <c r="F75" s="4" t="n"/>
      <c r="G75" s="4" t="n"/>
      <c r="H75" s="4" t="n"/>
      <c r="I75" s="4" t="n"/>
      <c r="J75" s="5">
        <f>_xlfn.TEXTJOIN(CHAR(10),TRUE,IF(G75="","","• "&amp;G75),IF(H75="","","• "&amp;H75),IF(I75="","","• "&amp;I75))</f>
        <v/>
      </c>
      <c r="K75" s="4" t="n"/>
      <c r="L75" s="4" t="n"/>
      <c r="M75" s="4" t="n"/>
      <c r="N75" s="16" t="n"/>
      <c r="O75" s="4" t="n"/>
      <c r="P75" s="16" t="n"/>
      <c r="Q75" s="4" t="n"/>
      <c r="R75" s="16" t="n"/>
      <c r="S75" s="20">
        <f>IF(OR(N75="",P75="",R75=""),"",(--TRIM(LEFT(N75,2)))*(--TRIM(LEFT(P75,2)))*(--TRIM(LEFT(R75,2))))</f>
        <v/>
      </c>
      <c r="T75" s="20">
        <f>IF(OR(N75="",P75="",R75=""),"",INDEX(APGrid,COUNTIF(APS,"&gt;"&amp;(--TRIM(LEFT(N75,2))))*5+COUNTIF(APO,"&gt;"&amp;(--TRIM(LEFT(P75,2))))+1,COUNTIF(APD,"&gt;"&amp;(--TRIM(LEFT(R75,2))))+1))</f>
        <v/>
      </c>
      <c r="U75" s="20">
        <f>IF(S75="","",IF(OR((--TRIM(LEFT(N75,2)))&gt;=SThr,S75&gt;=RPNThr,T75="H"),"Yes","No"))</f>
        <v/>
      </c>
      <c r="V75" s="4" t="n"/>
      <c r="W75" s="4" t="n"/>
      <c r="X75" s="4" t="n"/>
      <c r="Y75" s="29" t="n"/>
      <c r="Z75" s="16" t="n"/>
      <c r="AA75" s="16" t="n"/>
      <c r="AB75" s="16" t="n"/>
      <c r="AC75" s="20">
        <f>IF(OR(Z75="",AA75="",AB75=""),"",(--TRIM(LEFT(Z75,2)))*(--TRIM(LEFT(AA75,2)))*(--TRIM(LEFT(AB75,2))))</f>
        <v/>
      </c>
      <c r="AD75" s="20">
        <f>IF(OR(Z75="",AA75="",AB75=""),"",INDEX(APGrid,COUNTIF(APS,"&gt;"&amp;(--TRIM(LEFT(Z75,2))))*5+COUNTIF(APO,"&gt;"&amp;(--TRIM(LEFT(AA75,2))))+1,COUNTIF(APD,"&gt;"&amp;(--TRIM(LEFT(AB75,2))))+1))</f>
        <v/>
      </c>
      <c r="AE75" s="4" t="n"/>
      <c r="AF75" s="4" t="n"/>
      <c r="AH75">
        <f>IFERROR(INDEX(EqTag,_xlfn.AGGREGATE(15,6,(ROW(EqTag)-4)/((EqSys=$D$3)*(EqTag&lt;&gt;"")),ROWS($AH$14:AH75))),"")</f>
        <v/>
      </c>
    </row>
    <row r="76">
      <c r="A76" s="20">
        <f>IF(F76="","",LEFT($D$3,3)&amp;"-"&amp;TEXT(COUNTIF(F$14:F76,"?*"),"00"))</f>
        <v/>
      </c>
      <c r="B76" s="4" t="n"/>
      <c r="C76" s="5">
        <f>IF(B76="","",IFERROR(INDEX(EqTypeCol,MATCH(B76,EqTag,0)),"Tag not in register"))</f>
        <v/>
      </c>
      <c r="D76" s="4" t="n"/>
      <c r="E76" s="4" t="n"/>
      <c r="F76" s="4" t="n"/>
      <c r="G76" s="4" t="n"/>
      <c r="H76" s="4" t="n"/>
      <c r="I76" s="4" t="n"/>
      <c r="J76" s="5">
        <f>_xlfn.TEXTJOIN(CHAR(10),TRUE,IF(G76="","","• "&amp;G76),IF(H76="","","• "&amp;H76),IF(I76="","","• "&amp;I76))</f>
        <v/>
      </c>
      <c r="K76" s="4" t="n"/>
      <c r="L76" s="4" t="n"/>
      <c r="M76" s="4" t="n"/>
      <c r="N76" s="16" t="n"/>
      <c r="O76" s="4" t="n"/>
      <c r="P76" s="16" t="n"/>
      <c r="Q76" s="4" t="n"/>
      <c r="R76" s="16" t="n"/>
      <c r="S76" s="20">
        <f>IF(OR(N76="",P76="",R76=""),"",(--TRIM(LEFT(N76,2)))*(--TRIM(LEFT(P76,2)))*(--TRIM(LEFT(R76,2))))</f>
        <v/>
      </c>
      <c r="T76" s="20">
        <f>IF(OR(N76="",P76="",R76=""),"",INDEX(APGrid,COUNTIF(APS,"&gt;"&amp;(--TRIM(LEFT(N76,2))))*5+COUNTIF(APO,"&gt;"&amp;(--TRIM(LEFT(P76,2))))+1,COUNTIF(APD,"&gt;"&amp;(--TRIM(LEFT(R76,2))))+1))</f>
        <v/>
      </c>
      <c r="U76" s="20">
        <f>IF(S76="","",IF(OR((--TRIM(LEFT(N76,2)))&gt;=SThr,S76&gt;=RPNThr,T76="H"),"Yes","No"))</f>
        <v/>
      </c>
      <c r="V76" s="4" t="n"/>
      <c r="W76" s="4" t="n"/>
      <c r="X76" s="4" t="n"/>
      <c r="Y76" s="29" t="n"/>
      <c r="Z76" s="16" t="n"/>
      <c r="AA76" s="16" t="n"/>
      <c r="AB76" s="16" t="n"/>
      <c r="AC76" s="20">
        <f>IF(OR(Z76="",AA76="",AB76=""),"",(--TRIM(LEFT(Z76,2)))*(--TRIM(LEFT(AA76,2)))*(--TRIM(LEFT(AB76,2))))</f>
        <v/>
      </c>
      <c r="AD76" s="20">
        <f>IF(OR(Z76="",AA76="",AB76=""),"",INDEX(APGrid,COUNTIF(APS,"&gt;"&amp;(--TRIM(LEFT(Z76,2))))*5+COUNTIF(APO,"&gt;"&amp;(--TRIM(LEFT(AA76,2))))+1,COUNTIF(APD,"&gt;"&amp;(--TRIM(LEFT(AB76,2))))+1))</f>
        <v/>
      </c>
      <c r="AE76" s="4" t="n"/>
      <c r="AF76" s="4" t="n"/>
      <c r="AH76">
        <f>IFERROR(INDEX(EqTag,_xlfn.AGGREGATE(15,6,(ROW(EqTag)-4)/((EqSys=$D$3)*(EqTag&lt;&gt;"")),ROWS($AH$14:AH76))),"")</f>
        <v/>
      </c>
    </row>
    <row r="77">
      <c r="A77" s="20">
        <f>IF(F77="","",LEFT($D$3,3)&amp;"-"&amp;TEXT(COUNTIF(F$14:F77,"?*"),"00"))</f>
        <v/>
      </c>
      <c r="B77" s="4" t="n"/>
      <c r="C77" s="5">
        <f>IF(B77="","",IFERROR(INDEX(EqTypeCol,MATCH(B77,EqTag,0)),"Tag not in register"))</f>
        <v/>
      </c>
      <c r="D77" s="4" t="n"/>
      <c r="E77" s="4" t="n"/>
      <c r="F77" s="4" t="n"/>
      <c r="G77" s="4" t="n"/>
      <c r="H77" s="4" t="n"/>
      <c r="I77" s="4" t="n"/>
      <c r="J77" s="5">
        <f>_xlfn.TEXTJOIN(CHAR(10),TRUE,IF(G77="","","• "&amp;G77),IF(H77="","","• "&amp;H77),IF(I77="","","• "&amp;I77))</f>
        <v/>
      </c>
      <c r="K77" s="4" t="n"/>
      <c r="L77" s="4" t="n"/>
      <c r="M77" s="4" t="n"/>
      <c r="N77" s="16" t="n"/>
      <c r="O77" s="4" t="n"/>
      <c r="P77" s="16" t="n"/>
      <c r="Q77" s="4" t="n"/>
      <c r="R77" s="16" t="n"/>
      <c r="S77" s="20">
        <f>IF(OR(N77="",P77="",R77=""),"",(--TRIM(LEFT(N77,2)))*(--TRIM(LEFT(P77,2)))*(--TRIM(LEFT(R77,2))))</f>
        <v/>
      </c>
      <c r="T77" s="20">
        <f>IF(OR(N77="",P77="",R77=""),"",INDEX(APGrid,COUNTIF(APS,"&gt;"&amp;(--TRIM(LEFT(N77,2))))*5+COUNTIF(APO,"&gt;"&amp;(--TRIM(LEFT(P77,2))))+1,COUNTIF(APD,"&gt;"&amp;(--TRIM(LEFT(R77,2))))+1))</f>
        <v/>
      </c>
      <c r="U77" s="20">
        <f>IF(S77="","",IF(OR((--TRIM(LEFT(N77,2)))&gt;=SThr,S77&gt;=RPNThr,T77="H"),"Yes","No"))</f>
        <v/>
      </c>
      <c r="V77" s="4" t="n"/>
      <c r="W77" s="4" t="n"/>
      <c r="X77" s="4" t="n"/>
      <c r="Y77" s="29" t="n"/>
      <c r="Z77" s="16" t="n"/>
      <c r="AA77" s="16" t="n"/>
      <c r="AB77" s="16" t="n"/>
      <c r="AC77" s="20">
        <f>IF(OR(Z77="",AA77="",AB77=""),"",(--TRIM(LEFT(Z77,2)))*(--TRIM(LEFT(AA77,2)))*(--TRIM(LEFT(AB77,2))))</f>
        <v/>
      </c>
      <c r="AD77" s="20">
        <f>IF(OR(Z77="",AA77="",AB77=""),"",INDEX(APGrid,COUNTIF(APS,"&gt;"&amp;(--TRIM(LEFT(Z77,2))))*5+COUNTIF(APO,"&gt;"&amp;(--TRIM(LEFT(AA77,2))))+1,COUNTIF(APD,"&gt;"&amp;(--TRIM(LEFT(AB77,2))))+1))</f>
        <v/>
      </c>
      <c r="AE77" s="4" t="n"/>
      <c r="AF77" s="4" t="n"/>
      <c r="AH77">
        <f>IFERROR(INDEX(EqTag,_xlfn.AGGREGATE(15,6,(ROW(EqTag)-4)/((EqSys=$D$3)*(EqTag&lt;&gt;"")),ROWS($AH$14:AH77))),"")</f>
        <v/>
      </c>
    </row>
    <row r="78">
      <c r="A78" s="20">
        <f>IF(F78="","",LEFT($D$3,3)&amp;"-"&amp;TEXT(COUNTIF(F$14:F78,"?*"),"00"))</f>
        <v/>
      </c>
      <c r="B78" s="4" t="n"/>
      <c r="C78" s="5">
        <f>IF(B78="","",IFERROR(INDEX(EqTypeCol,MATCH(B78,EqTag,0)),"Tag not in register"))</f>
        <v/>
      </c>
      <c r="D78" s="4" t="n"/>
      <c r="E78" s="4" t="n"/>
      <c r="F78" s="4" t="n"/>
      <c r="G78" s="4" t="n"/>
      <c r="H78" s="4" t="n"/>
      <c r="I78" s="4" t="n"/>
      <c r="J78" s="5">
        <f>_xlfn.TEXTJOIN(CHAR(10),TRUE,IF(G78="","","• "&amp;G78),IF(H78="","","• "&amp;H78),IF(I78="","","• "&amp;I78))</f>
        <v/>
      </c>
      <c r="K78" s="4" t="n"/>
      <c r="L78" s="4" t="n"/>
      <c r="M78" s="4" t="n"/>
      <c r="N78" s="16" t="n"/>
      <c r="O78" s="4" t="n"/>
      <c r="P78" s="16" t="n"/>
      <c r="Q78" s="4" t="n"/>
      <c r="R78" s="16" t="n"/>
      <c r="S78" s="20">
        <f>IF(OR(N78="",P78="",R78=""),"",(--TRIM(LEFT(N78,2)))*(--TRIM(LEFT(P78,2)))*(--TRIM(LEFT(R78,2))))</f>
        <v/>
      </c>
      <c r="T78" s="20">
        <f>IF(OR(N78="",P78="",R78=""),"",INDEX(APGrid,COUNTIF(APS,"&gt;"&amp;(--TRIM(LEFT(N78,2))))*5+COUNTIF(APO,"&gt;"&amp;(--TRIM(LEFT(P78,2))))+1,COUNTIF(APD,"&gt;"&amp;(--TRIM(LEFT(R78,2))))+1))</f>
        <v/>
      </c>
      <c r="U78" s="20">
        <f>IF(S78="","",IF(OR((--TRIM(LEFT(N78,2)))&gt;=SThr,S78&gt;=RPNThr,T78="H"),"Yes","No"))</f>
        <v/>
      </c>
      <c r="V78" s="4" t="n"/>
      <c r="W78" s="4" t="n"/>
      <c r="X78" s="4" t="n"/>
      <c r="Y78" s="29" t="n"/>
      <c r="Z78" s="16" t="n"/>
      <c r="AA78" s="16" t="n"/>
      <c r="AB78" s="16" t="n"/>
      <c r="AC78" s="20">
        <f>IF(OR(Z78="",AA78="",AB78=""),"",(--TRIM(LEFT(Z78,2)))*(--TRIM(LEFT(AA78,2)))*(--TRIM(LEFT(AB78,2))))</f>
        <v/>
      </c>
      <c r="AD78" s="20">
        <f>IF(OR(Z78="",AA78="",AB78=""),"",INDEX(APGrid,COUNTIF(APS,"&gt;"&amp;(--TRIM(LEFT(Z78,2))))*5+COUNTIF(APO,"&gt;"&amp;(--TRIM(LEFT(AA78,2))))+1,COUNTIF(APD,"&gt;"&amp;(--TRIM(LEFT(AB78,2))))+1))</f>
        <v/>
      </c>
      <c r="AE78" s="4" t="n"/>
      <c r="AF78" s="4" t="n"/>
      <c r="AH78">
        <f>IFERROR(INDEX(EqTag,_xlfn.AGGREGATE(15,6,(ROW(EqTag)-4)/((EqSys=$D$3)*(EqTag&lt;&gt;"")),ROWS($AH$14:AH78))),"")</f>
        <v/>
      </c>
    </row>
    <row r="79">
      <c r="A79" s="20">
        <f>IF(F79="","",LEFT($D$3,3)&amp;"-"&amp;TEXT(COUNTIF(F$14:F79,"?*"),"00"))</f>
        <v/>
      </c>
      <c r="B79" s="4" t="n"/>
      <c r="C79" s="5">
        <f>IF(B79="","",IFERROR(INDEX(EqTypeCol,MATCH(B79,EqTag,0)),"Tag not in register"))</f>
        <v/>
      </c>
      <c r="D79" s="4" t="n"/>
      <c r="E79" s="4" t="n"/>
      <c r="F79" s="4" t="n"/>
      <c r="G79" s="4" t="n"/>
      <c r="H79" s="4" t="n"/>
      <c r="I79" s="4" t="n"/>
      <c r="J79" s="5">
        <f>_xlfn.TEXTJOIN(CHAR(10),TRUE,IF(G79="","","• "&amp;G79),IF(H79="","","• "&amp;H79),IF(I79="","","• "&amp;I79))</f>
        <v/>
      </c>
      <c r="K79" s="4" t="n"/>
      <c r="L79" s="4" t="n"/>
      <c r="M79" s="4" t="n"/>
      <c r="N79" s="16" t="n"/>
      <c r="O79" s="4" t="n"/>
      <c r="P79" s="16" t="n"/>
      <c r="Q79" s="4" t="n"/>
      <c r="R79" s="16" t="n"/>
      <c r="S79" s="20">
        <f>IF(OR(N79="",P79="",R79=""),"",(--TRIM(LEFT(N79,2)))*(--TRIM(LEFT(P79,2)))*(--TRIM(LEFT(R79,2))))</f>
        <v/>
      </c>
      <c r="T79" s="20">
        <f>IF(OR(N79="",P79="",R79=""),"",INDEX(APGrid,COUNTIF(APS,"&gt;"&amp;(--TRIM(LEFT(N79,2))))*5+COUNTIF(APO,"&gt;"&amp;(--TRIM(LEFT(P79,2))))+1,COUNTIF(APD,"&gt;"&amp;(--TRIM(LEFT(R79,2))))+1))</f>
        <v/>
      </c>
      <c r="U79" s="20">
        <f>IF(S79="","",IF(OR((--TRIM(LEFT(N79,2)))&gt;=SThr,S79&gt;=RPNThr,T79="H"),"Yes","No"))</f>
        <v/>
      </c>
      <c r="V79" s="4" t="n"/>
      <c r="W79" s="4" t="n"/>
      <c r="X79" s="4" t="n"/>
      <c r="Y79" s="29" t="n"/>
      <c r="Z79" s="16" t="n"/>
      <c r="AA79" s="16" t="n"/>
      <c r="AB79" s="16" t="n"/>
      <c r="AC79" s="20">
        <f>IF(OR(Z79="",AA79="",AB79=""),"",(--TRIM(LEFT(Z79,2)))*(--TRIM(LEFT(AA79,2)))*(--TRIM(LEFT(AB79,2))))</f>
        <v/>
      </c>
      <c r="AD79" s="20">
        <f>IF(OR(Z79="",AA79="",AB79=""),"",INDEX(APGrid,COUNTIF(APS,"&gt;"&amp;(--TRIM(LEFT(Z79,2))))*5+COUNTIF(APO,"&gt;"&amp;(--TRIM(LEFT(AA79,2))))+1,COUNTIF(APD,"&gt;"&amp;(--TRIM(LEFT(AB79,2))))+1))</f>
        <v/>
      </c>
      <c r="AE79" s="4" t="n"/>
      <c r="AF79" s="4" t="n"/>
      <c r="AH79">
        <f>IFERROR(INDEX(EqTag,_xlfn.AGGREGATE(15,6,(ROW(EqTag)-4)/((EqSys=$D$3)*(EqTag&lt;&gt;"")),ROWS($AH$14:AH79))),"")</f>
        <v/>
      </c>
    </row>
    <row r="80">
      <c r="A80" s="20">
        <f>IF(F80="","",LEFT($D$3,3)&amp;"-"&amp;TEXT(COUNTIF(F$14:F80,"?*"),"00"))</f>
        <v/>
      </c>
      <c r="B80" s="4" t="n"/>
      <c r="C80" s="5">
        <f>IF(B80="","",IFERROR(INDEX(EqTypeCol,MATCH(B80,EqTag,0)),"Tag not in register"))</f>
        <v/>
      </c>
      <c r="D80" s="4" t="n"/>
      <c r="E80" s="4" t="n"/>
      <c r="F80" s="4" t="n"/>
      <c r="G80" s="4" t="n"/>
      <c r="H80" s="4" t="n"/>
      <c r="I80" s="4" t="n"/>
      <c r="J80" s="5">
        <f>_xlfn.TEXTJOIN(CHAR(10),TRUE,IF(G80="","","• "&amp;G80),IF(H80="","","• "&amp;H80),IF(I80="","","• "&amp;I80))</f>
        <v/>
      </c>
      <c r="K80" s="4" t="n"/>
      <c r="L80" s="4" t="n"/>
      <c r="M80" s="4" t="n"/>
      <c r="N80" s="16" t="n"/>
      <c r="O80" s="4" t="n"/>
      <c r="P80" s="16" t="n"/>
      <c r="Q80" s="4" t="n"/>
      <c r="R80" s="16" t="n"/>
      <c r="S80" s="20">
        <f>IF(OR(N80="",P80="",R80=""),"",(--TRIM(LEFT(N80,2)))*(--TRIM(LEFT(P80,2)))*(--TRIM(LEFT(R80,2))))</f>
        <v/>
      </c>
      <c r="T80" s="20">
        <f>IF(OR(N80="",P80="",R80=""),"",INDEX(APGrid,COUNTIF(APS,"&gt;"&amp;(--TRIM(LEFT(N80,2))))*5+COUNTIF(APO,"&gt;"&amp;(--TRIM(LEFT(P80,2))))+1,COUNTIF(APD,"&gt;"&amp;(--TRIM(LEFT(R80,2))))+1))</f>
        <v/>
      </c>
      <c r="U80" s="20">
        <f>IF(S80="","",IF(OR((--TRIM(LEFT(N80,2)))&gt;=SThr,S80&gt;=RPNThr,T80="H"),"Yes","No"))</f>
        <v/>
      </c>
      <c r="V80" s="4" t="n"/>
      <c r="W80" s="4" t="n"/>
      <c r="X80" s="4" t="n"/>
      <c r="Y80" s="29" t="n"/>
      <c r="Z80" s="16" t="n"/>
      <c r="AA80" s="16" t="n"/>
      <c r="AB80" s="16" t="n"/>
      <c r="AC80" s="20">
        <f>IF(OR(Z80="",AA80="",AB80=""),"",(--TRIM(LEFT(Z80,2)))*(--TRIM(LEFT(AA80,2)))*(--TRIM(LEFT(AB80,2))))</f>
        <v/>
      </c>
      <c r="AD80" s="20">
        <f>IF(OR(Z80="",AA80="",AB80=""),"",INDEX(APGrid,COUNTIF(APS,"&gt;"&amp;(--TRIM(LEFT(Z80,2))))*5+COUNTIF(APO,"&gt;"&amp;(--TRIM(LEFT(AA80,2))))+1,COUNTIF(APD,"&gt;"&amp;(--TRIM(LEFT(AB80,2))))+1))</f>
        <v/>
      </c>
      <c r="AE80" s="4" t="n"/>
      <c r="AF80" s="4" t="n"/>
      <c r="AH80">
        <f>IFERROR(INDEX(EqTag,_xlfn.AGGREGATE(15,6,(ROW(EqTag)-4)/((EqSys=$D$3)*(EqTag&lt;&gt;"")),ROWS($AH$14:AH80))),"")</f>
        <v/>
      </c>
    </row>
    <row r="81">
      <c r="A81" s="20">
        <f>IF(F81="","",LEFT($D$3,3)&amp;"-"&amp;TEXT(COUNTIF(F$14:F81,"?*"),"00"))</f>
        <v/>
      </c>
      <c r="B81" s="4" t="n"/>
      <c r="C81" s="5">
        <f>IF(B81="","",IFERROR(INDEX(EqTypeCol,MATCH(B81,EqTag,0)),"Tag not in register"))</f>
        <v/>
      </c>
      <c r="D81" s="4" t="n"/>
      <c r="E81" s="4" t="n"/>
      <c r="F81" s="4" t="n"/>
      <c r="G81" s="4" t="n"/>
      <c r="H81" s="4" t="n"/>
      <c r="I81" s="4" t="n"/>
      <c r="J81" s="5">
        <f>_xlfn.TEXTJOIN(CHAR(10),TRUE,IF(G81="","","• "&amp;G81),IF(H81="","","• "&amp;H81),IF(I81="","","• "&amp;I81))</f>
        <v/>
      </c>
      <c r="K81" s="4" t="n"/>
      <c r="L81" s="4" t="n"/>
      <c r="M81" s="4" t="n"/>
      <c r="N81" s="16" t="n"/>
      <c r="O81" s="4" t="n"/>
      <c r="P81" s="16" t="n"/>
      <c r="Q81" s="4" t="n"/>
      <c r="R81" s="16" t="n"/>
      <c r="S81" s="20">
        <f>IF(OR(N81="",P81="",R81=""),"",(--TRIM(LEFT(N81,2)))*(--TRIM(LEFT(P81,2)))*(--TRIM(LEFT(R81,2))))</f>
        <v/>
      </c>
      <c r="T81" s="20">
        <f>IF(OR(N81="",P81="",R81=""),"",INDEX(APGrid,COUNTIF(APS,"&gt;"&amp;(--TRIM(LEFT(N81,2))))*5+COUNTIF(APO,"&gt;"&amp;(--TRIM(LEFT(P81,2))))+1,COUNTIF(APD,"&gt;"&amp;(--TRIM(LEFT(R81,2))))+1))</f>
        <v/>
      </c>
      <c r="U81" s="20">
        <f>IF(S81="","",IF(OR((--TRIM(LEFT(N81,2)))&gt;=SThr,S81&gt;=RPNThr,T81="H"),"Yes","No"))</f>
        <v/>
      </c>
      <c r="V81" s="4" t="n"/>
      <c r="W81" s="4" t="n"/>
      <c r="X81" s="4" t="n"/>
      <c r="Y81" s="29" t="n"/>
      <c r="Z81" s="16" t="n"/>
      <c r="AA81" s="16" t="n"/>
      <c r="AB81" s="16" t="n"/>
      <c r="AC81" s="20">
        <f>IF(OR(Z81="",AA81="",AB81=""),"",(--TRIM(LEFT(Z81,2)))*(--TRIM(LEFT(AA81,2)))*(--TRIM(LEFT(AB81,2))))</f>
        <v/>
      </c>
      <c r="AD81" s="20">
        <f>IF(OR(Z81="",AA81="",AB81=""),"",INDEX(APGrid,COUNTIF(APS,"&gt;"&amp;(--TRIM(LEFT(Z81,2))))*5+COUNTIF(APO,"&gt;"&amp;(--TRIM(LEFT(AA81,2))))+1,COUNTIF(APD,"&gt;"&amp;(--TRIM(LEFT(AB81,2))))+1))</f>
        <v/>
      </c>
      <c r="AE81" s="4" t="n"/>
      <c r="AF81" s="4" t="n"/>
      <c r="AH81">
        <f>IFERROR(INDEX(EqTag,_xlfn.AGGREGATE(15,6,(ROW(EqTag)-4)/((EqSys=$D$3)*(EqTag&lt;&gt;"")),ROWS($AH$14:AH81))),"")</f>
        <v/>
      </c>
    </row>
    <row r="82">
      <c r="A82" s="20">
        <f>IF(F82="","",LEFT($D$3,3)&amp;"-"&amp;TEXT(COUNTIF(F$14:F82,"?*"),"00"))</f>
        <v/>
      </c>
      <c r="B82" s="4" t="n"/>
      <c r="C82" s="5">
        <f>IF(B82="","",IFERROR(INDEX(EqTypeCol,MATCH(B82,EqTag,0)),"Tag not in register"))</f>
        <v/>
      </c>
      <c r="D82" s="4" t="n"/>
      <c r="E82" s="4" t="n"/>
      <c r="F82" s="4" t="n"/>
      <c r="G82" s="4" t="n"/>
      <c r="H82" s="4" t="n"/>
      <c r="I82" s="4" t="n"/>
      <c r="J82" s="5">
        <f>_xlfn.TEXTJOIN(CHAR(10),TRUE,IF(G82="","","• "&amp;G82),IF(H82="","","• "&amp;H82),IF(I82="","","• "&amp;I82))</f>
        <v/>
      </c>
      <c r="K82" s="4" t="n"/>
      <c r="L82" s="4" t="n"/>
      <c r="M82" s="4" t="n"/>
      <c r="N82" s="16" t="n"/>
      <c r="O82" s="4" t="n"/>
      <c r="P82" s="16" t="n"/>
      <c r="Q82" s="4" t="n"/>
      <c r="R82" s="16" t="n"/>
      <c r="S82" s="20">
        <f>IF(OR(N82="",P82="",R82=""),"",(--TRIM(LEFT(N82,2)))*(--TRIM(LEFT(P82,2)))*(--TRIM(LEFT(R82,2))))</f>
        <v/>
      </c>
      <c r="T82" s="20">
        <f>IF(OR(N82="",P82="",R82=""),"",INDEX(APGrid,COUNTIF(APS,"&gt;"&amp;(--TRIM(LEFT(N82,2))))*5+COUNTIF(APO,"&gt;"&amp;(--TRIM(LEFT(P82,2))))+1,COUNTIF(APD,"&gt;"&amp;(--TRIM(LEFT(R82,2))))+1))</f>
        <v/>
      </c>
      <c r="U82" s="20">
        <f>IF(S82="","",IF(OR((--TRIM(LEFT(N82,2)))&gt;=SThr,S82&gt;=RPNThr,T82="H"),"Yes","No"))</f>
        <v/>
      </c>
      <c r="V82" s="4" t="n"/>
      <c r="W82" s="4" t="n"/>
      <c r="X82" s="4" t="n"/>
      <c r="Y82" s="29" t="n"/>
      <c r="Z82" s="16" t="n"/>
      <c r="AA82" s="16" t="n"/>
      <c r="AB82" s="16" t="n"/>
      <c r="AC82" s="20">
        <f>IF(OR(Z82="",AA82="",AB82=""),"",(--TRIM(LEFT(Z82,2)))*(--TRIM(LEFT(AA82,2)))*(--TRIM(LEFT(AB82,2))))</f>
        <v/>
      </c>
      <c r="AD82" s="20">
        <f>IF(OR(Z82="",AA82="",AB82=""),"",INDEX(APGrid,COUNTIF(APS,"&gt;"&amp;(--TRIM(LEFT(Z82,2))))*5+COUNTIF(APO,"&gt;"&amp;(--TRIM(LEFT(AA82,2))))+1,COUNTIF(APD,"&gt;"&amp;(--TRIM(LEFT(AB82,2))))+1))</f>
        <v/>
      </c>
      <c r="AE82" s="4" t="n"/>
      <c r="AF82" s="4" t="n"/>
      <c r="AH82">
        <f>IFERROR(INDEX(EqTag,_xlfn.AGGREGATE(15,6,(ROW(EqTag)-4)/((EqSys=$D$3)*(EqTag&lt;&gt;"")),ROWS($AH$14:AH82))),"")</f>
        <v/>
      </c>
    </row>
    <row r="83">
      <c r="A83" s="20">
        <f>IF(F83="","",LEFT($D$3,3)&amp;"-"&amp;TEXT(COUNTIF(F$14:F83,"?*"),"00"))</f>
        <v/>
      </c>
      <c r="B83" s="4" t="n"/>
      <c r="C83" s="5">
        <f>IF(B83="","",IFERROR(INDEX(EqTypeCol,MATCH(B83,EqTag,0)),"Tag not in register"))</f>
        <v/>
      </c>
      <c r="D83" s="4" t="n"/>
      <c r="E83" s="4" t="n"/>
      <c r="F83" s="4" t="n"/>
      <c r="G83" s="4" t="n"/>
      <c r="H83" s="4" t="n"/>
      <c r="I83" s="4" t="n"/>
      <c r="J83" s="5">
        <f>_xlfn.TEXTJOIN(CHAR(10),TRUE,IF(G83="","","• "&amp;G83),IF(H83="","","• "&amp;H83),IF(I83="","","• "&amp;I83))</f>
        <v/>
      </c>
      <c r="K83" s="4" t="n"/>
      <c r="L83" s="4" t="n"/>
      <c r="M83" s="4" t="n"/>
      <c r="N83" s="16" t="n"/>
      <c r="O83" s="4" t="n"/>
      <c r="P83" s="16" t="n"/>
      <c r="Q83" s="4" t="n"/>
      <c r="R83" s="16" t="n"/>
      <c r="S83" s="20">
        <f>IF(OR(N83="",P83="",R83=""),"",(--TRIM(LEFT(N83,2)))*(--TRIM(LEFT(P83,2)))*(--TRIM(LEFT(R83,2))))</f>
        <v/>
      </c>
      <c r="T83" s="20">
        <f>IF(OR(N83="",P83="",R83=""),"",INDEX(APGrid,COUNTIF(APS,"&gt;"&amp;(--TRIM(LEFT(N83,2))))*5+COUNTIF(APO,"&gt;"&amp;(--TRIM(LEFT(P83,2))))+1,COUNTIF(APD,"&gt;"&amp;(--TRIM(LEFT(R83,2))))+1))</f>
        <v/>
      </c>
      <c r="U83" s="20">
        <f>IF(S83="","",IF(OR((--TRIM(LEFT(N83,2)))&gt;=SThr,S83&gt;=RPNThr,T83="H"),"Yes","No"))</f>
        <v/>
      </c>
      <c r="V83" s="4" t="n"/>
      <c r="W83" s="4" t="n"/>
      <c r="X83" s="4" t="n"/>
      <c r="Y83" s="29" t="n"/>
      <c r="Z83" s="16" t="n"/>
      <c r="AA83" s="16" t="n"/>
      <c r="AB83" s="16" t="n"/>
      <c r="AC83" s="20">
        <f>IF(OR(Z83="",AA83="",AB83=""),"",(--TRIM(LEFT(Z83,2)))*(--TRIM(LEFT(AA83,2)))*(--TRIM(LEFT(AB83,2))))</f>
        <v/>
      </c>
      <c r="AD83" s="20">
        <f>IF(OR(Z83="",AA83="",AB83=""),"",INDEX(APGrid,COUNTIF(APS,"&gt;"&amp;(--TRIM(LEFT(Z83,2))))*5+COUNTIF(APO,"&gt;"&amp;(--TRIM(LEFT(AA83,2))))+1,COUNTIF(APD,"&gt;"&amp;(--TRIM(LEFT(AB83,2))))+1))</f>
        <v/>
      </c>
      <c r="AE83" s="4" t="n"/>
      <c r="AF83" s="4" t="n"/>
      <c r="AH83">
        <f>IFERROR(INDEX(EqTag,_xlfn.AGGREGATE(15,6,(ROW(EqTag)-4)/((EqSys=$D$3)*(EqTag&lt;&gt;"")),ROWS($AH$14:AH83))),"")</f>
        <v/>
      </c>
    </row>
    <row r="84">
      <c r="A84" s="20">
        <f>IF(F84="","",LEFT($D$3,3)&amp;"-"&amp;TEXT(COUNTIF(F$14:F84,"?*"),"00"))</f>
        <v/>
      </c>
      <c r="B84" s="4" t="n"/>
      <c r="C84" s="5">
        <f>IF(B84="","",IFERROR(INDEX(EqTypeCol,MATCH(B84,EqTag,0)),"Tag not in register"))</f>
        <v/>
      </c>
      <c r="D84" s="4" t="n"/>
      <c r="E84" s="4" t="n"/>
      <c r="F84" s="4" t="n"/>
      <c r="G84" s="4" t="n"/>
      <c r="H84" s="4" t="n"/>
      <c r="I84" s="4" t="n"/>
      <c r="J84" s="5">
        <f>_xlfn.TEXTJOIN(CHAR(10),TRUE,IF(G84="","","• "&amp;G84),IF(H84="","","• "&amp;H84),IF(I84="","","• "&amp;I84))</f>
        <v/>
      </c>
      <c r="K84" s="4" t="n"/>
      <c r="L84" s="4" t="n"/>
      <c r="M84" s="4" t="n"/>
      <c r="N84" s="16" t="n"/>
      <c r="O84" s="4" t="n"/>
      <c r="P84" s="16" t="n"/>
      <c r="Q84" s="4" t="n"/>
      <c r="R84" s="16" t="n"/>
      <c r="S84" s="20">
        <f>IF(OR(N84="",P84="",R84=""),"",(--TRIM(LEFT(N84,2)))*(--TRIM(LEFT(P84,2)))*(--TRIM(LEFT(R84,2))))</f>
        <v/>
      </c>
      <c r="T84" s="20">
        <f>IF(OR(N84="",P84="",R84=""),"",INDEX(APGrid,COUNTIF(APS,"&gt;"&amp;(--TRIM(LEFT(N84,2))))*5+COUNTIF(APO,"&gt;"&amp;(--TRIM(LEFT(P84,2))))+1,COUNTIF(APD,"&gt;"&amp;(--TRIM(LEFT(R84,2))))+1))</f>
        <v/>
      </c>
      <c r="U84" s="20">
        <f>IF(S84="","",IF(OR((--TRIM(LEFT(N84,2)))&gt;=SThr,S84&gt;=RPNThr,T84="H"),"Yes","No"))</f>
        <v/>
      </c>
      <c r="V84" s="4" t="n"/>
      <c r="W84" s="4" t="n"/>
      <c r="X84" s="4" t="n"/>
      <c r="Y84" s="29" t="n"/>
      <c r="Z84" s="16" t="n"/>
      <c r="AA84" s="16" t="n"/>
      <c r="AB84" s="16" t="n"/>
      <c r="AC84" s="20">
        <f>IF(OR(Z84="",AA84="",AB84=""),"",(--TRIM(LEFT(Z84,2)))*(--TRIM(LEFT(AA84,2)))*(--TRIM(LEFT(AB84,2))))</f>
        <v/>
      </c>
      <c r="AD84" s="20">
        <f>IF(OR(Z84="",AA84="",AB84=""),"",INDEX(APGrid,COUNTIF(APS,"&gt;"&amp;(--TRIM(LEFT(Z84,2))))*5+COUNTIF(APO,"&gt;"&amp;(--TRIM(LEFT(AA84,2))))+1,COUNTIF(APD,"&gt;"&amp;(--TRIM(LEFT(AB84,2))))+1))</f>
        <v/>
      </c>
      <c r="AE84" s="4" t="n"/>
      <c r="AF84" s="4" t="n"/>
      <c r="AH84">
        <f>IFERROR(INDEX(EqTag,_xlfn.AGGREGATE(15,6,(ROW(EqTag)-4)/((EqSys=$D$3)*(EqTag&lt;&gt;"")),ROWS($AH$14:AH84))),"")</f>
        <v/>
      </c>
    </row>
    <row r="85">
      <c r="A85" s="20">
        <f>IF(F85="","",LEFT($D$3,3)&amp;"-"&amp;TEXT(COUNTIF(F$14:F85,"?*"),"00"))</f>
        <v/>
      </c>
      <c r="B85" s="4" t="n"/>
      <c r="C85" s="5">
        <f>IF(B85="","",IFERROR(INDEX(EqTypeCol,MATCH(B85,EqTag,0)),"Tag not in register"))</f>
        <v/>
      </c>
      <c r="D85" s="4" t="n"/>
      <c r="E85" s="4" t="n"/>
      <c r="F85" s="4" t="n"/>
      <c r="G85" s="4" t="n"/>
      <c r="H85" s="4" t="n"/>
      <c r="I85" s="4" t="n"/>
      <c r="J85" s="5">
        <f>_xlfn.TEXTJOIN(CHAR(10),TRUE,IF(G85="","","• "&amp;G85),IF(H85="","","• "&amp;H85),IF(I85="","","• "&amp;I85))</f>
        <v/>
      </c>
      <c r="K85" s="4" t="n"/>
      <c r="L85" s="4" t="n"/>
      <c r="M85" s="4" t="n"/>
      <c r="N85" s="16" t="n"/>
      <c r="O85" s="4" t="n"/>
      <c r="P85" s="16" t="n"/>
      <c r="Q85" s="4" t="n"/>
      <c r="R85" s="16" t="n"/>
      <c r="S85" s="20">
        <f>IF(OR(N85="",P85="",R85=""),"",(--TRIM(LEFT(N85,2)))*(--TRIM(LEFT(P85,2)))*(--TRIM(LEFT(R85,2))))</f>
        <v/>
      </c>
      <c r="T85" s="20">
        <f>IF(OR(N85="",P85="",R85=""),"",INDEX(APGrid,COUNTIF(APS,"&gt;"&amp;(--TRIM(LEFT(N85,2))))*5+COUNTIF(APO,"&gt;"&amp;(--TRIM(LEFT(P85,2))))+1,COUNTIF(APD,"&gt;"&amp;(--TRIM(LEFT(R85,2))))+1))</f>
        <v/>
      </c>
      <c r="U85" s="20">
        <f>IF(S85="","",IF(OR((--TRIM(LEFT(N85,2)))&gt;=SThr,S85&gt;=RPNThr,T85="H"),"Yes","No"))</f>
        <v/>
      </c>
      <c r="V85" s="4" t="n"/>
      <c r="W85" s="4" t="n"/>
      <c r="X85" s="4" t="n"/>
      <c r="Y85" s="29" t="n"/>
      <c r="Z85" s="16" t="n"/>
      <c r="AA85" s="16" t="n"/>
      <c r="AB85" s="16" t="n"/>
      <c r="AC85" s="20">
        <f>IF(OR(Z85="",AA85="",AB85=""),"",(--TRIM(LEFT(Z85,2)))*(--TRIM(LEFT(AA85,2)))*(--TRIM(LEFT(AB85,2))))</f>
        <v/>
      </c>
      <c r="AD85" s="20">
        <f>IF(OR(Z85="",AA85="",AB85=""),"",INDEX(APGrid,COUNTIF(APS,"&gt;"&amp;(--TRIM(LEFT(Z85,2))))*5+COUNTIF(APO,"&gt;"&amp;(--TRIM(LEFT(AA85,2))))+1,COUNTIF(APD,"&gt;"&amp;(--TRIM(LEFT(AB85,2))))+1))</f>
        <v/>
      </c>
      <c r="AE85" s="4" t="n"/>
      <c r="AF85" s="4" t="n"/>
      <c r="AH85">
        <f>IFERROR(INDEX(EqTag,_xlfn.AGGREGATE(15,6,(ROW(EqTag)-4)/((EqSys=$D$3)*(EqTag&lt;&gt;"")),ROWS($AH$14:AH85))),"")</f>
        <v/>
      </c>
    </row>
    <row r="86">
      <c r="A86" s="20">
        <f>IF(F86="","",LEFT($D$3,3)&amp;"-"&amp;TEXT(COUNTIF(F$14:F86,"?*"),"00"))</f>
        <v/>
      </c>
      <c r="B86" s="4" t="n"/>
      <c r="C86" s="5">
        <f>IF(B86="","",IFERROR(INDEX(EqTypeCol,MATCH(B86,EqTag,0)),"Tag not in register"))</f>
        <v/>
      </c>
      <c r="D86" s="4" t="n"/>
      <c r="E86" s="4" t="n"/>
      <c r="F86" s="4" t="n"/>
      <c r="G86" s="4" t="n"/>
      <c r="H86" s="4" t="n"/>
      <c r="I86" s="4" t="n"/>
      <c r="J86" s="5">
        <f>_xlfn.TEXTJOIN(CHAR(10),TRUE,IF(G86="","","• "&amp;G86),IF(H86="","","• "&amp;H86),IF(I86="","","• "&amp;I86))</f>
        <v/>
      </c>
      <c r="K86" s="4" t="n"/>
      <c r="L86" s="4" t="n"/>
      <c r="M86" s="4" t="n"/>
      <c r="N86" s="16" t="n"/>
      <c r="O86" s="4" t="n"/>
      <c r="P86" s="16" t="n"/>
      <c r="Q86" s="4" t="n"/>
      <c r="R86" s="16" t="n"/>
      <c r="S86" s="20">
        <f>IF(OR(N86="",P86="",R86=""),"",(--TRIM(LEFT(N86,2)))*(--TRIM(LEFT(P86,2)))*(--TRIM(LEFT(R86,2))))</f>
        <v/>
      </c>
      <c r="T86" s="20">
        <f>IF(OR(N86="",P86="",R86=""),"",INDEX(APGrid,COUNTIF(APS,"&gt;"&amp;(--TRIM(LEFT(N86,2))))*5+COUNTIF(APO,"&gt;"&amp;(--TRIM(LEFT(P86,2))))+1,COUNTIF(APD,"&gt;"&amp;(--TRIM(LEFT(R86,2))))+1))</f>
        <v/>
      </c>
      <c r="U86" s="20">
        <f>IF(S86="","",IF(OR((--TRIM(LEFT(N86,2)))&gt;=SThr,S86&gt;=RPNThr,T86="H"),"Yes","No"))</f>
        <v/>
      </c>
      <c r="V86" s="4" t="n"/>
      <c r="W86" s="4" t="n"/>
      <c r="X86" s="4" t="n"/>
      <c r="Y86" s="29" t="n"/>
      <c r="Z86" s="16" t="n"/>
      <c r="AA86" s="16" t="n"/>
      <c r="AB86" s="16" t="n"/>
      <c r="AC86" s="20">
        <f>IF(OR(Z86="",AA86="",AB86=""),"",(--TRIM(LEFT(Z86,2)))*(--TRIM(LEFT(AA86,2)))*(--TRIM(LEFT(AB86,2))))</f>
        <v/>
      </c>
      <c r="AD86" s="20">
        <f>IF(OR(Z86="",AA86="",AB86=""),"",INDEX(APGrid,COUNTIF(APS,"&gt;"&amp;(--TRIM(LEFT(Z86,2))))*5+COUNTIF(APO,"&gt;"&amp;(--TRIM(LEFT(AA86,2))))+1,COUNTIF(APD,"&gt;"&amp;(--TRIM(LEFT(AB86,2))))+1))</f>
        <v/>
      </c>
      <c r="AE86" s="4" t="n"/>
      <c r="AF86" s="4" t="n"/>
      <c r="AH86">
        <f>IFERROR(INDEX(EqTag,_xlfn.AGGREGATE(15,6,(ROW(EqTag)-4)/((EqSys=$D$3)*(EqTag&lt;&gt;"")),ROWS($AH$14:AH86))),"")</f>
        <v/>
      </c>
    </row>
    <row r="87">
      <c r="A87" s="20">
        <f>IF(F87="","",LEFT($D$3,3)&amp;"-"&amp;TEXT(COUNTIF(F$14:F87,"?*"),"00"))</f>
        <v/>
      </c>
      <c r="B87" s="4" t="n"/>
      <c r="C87" s="5">
        <f>IF(B87="","",IFERROR(INDEX(EqTypeCol,MATCH(B87,EqTag,0)),"Tag not in register"))</f>
        <v/>
      </c>
      <c r="D87" s="4" t="n"/>
      <c r="E87" s="4" t="n"/>
      <c r="F87" s="4" t="n"/>
      <c r="G87" s="4" t="n"/>
      <c r="H87" s="4" t="n"/>
      <c r="I87" s="4" t="n"/>
      <c r="J87" s="5">
        <f>_xlfn.TEXTJOIN(CHAR(10),TRUE,IF(G87="","","• "&amp;G87),IF(H87="","","• "&amp;H87),IF(I87="","","• "&amp;I87))</f>
        <v/>
      </c>
      <c r="K87" s="4" t="n"/>
      <c r="L87" s="4" t="n"/>
      <c r="M87" s="4" t="n"/>
      <c r="N87" s="16" t="n"/>
      <c r="O87" s="4" t="n"/>
      <c r="P87" s="16" t="n"/>
      <c r="Q87" s="4" t="n"/>
      <c r="R87" s="16" t="n"/>
      <c r="S87" s="20">
        <f>IF(OR(N87="",P87="",R87=""),"",(--TRIM(LEFT(N87,2)))*(--TRIM(LEFT(P87,2)))*(--TRIM(LEFT(R87,2))))</f>
        <v/>
      </c>
      <c r="T87" s="20">
        <f>IF(OR(N87="",P87="",R87=""),"",INDEX(APGrid,COUNTIF(APS,"&gt;"&amp;(--TRIM(LEFT(N87,2))))*5+COUNTIF(APO,"&gt;"&amp;(--TRIM(LEFT(P87,2))))+1,COUNTIF(APD,"&gt;"&amp;(--TRIM(LEFT(R87,2))))+1))</f>
        <v/>
      </c>
      <c r="U87" s="20">
        <f>IF(S87="","",IF(OR((--TRIM(LEFT(N87,2)))&gt;=SThr,S87&gt;=RPNThr,T87="H"),"Yes","No"))</f>
        <v/>
      </c>
      <c r="V87" s="4" t="n"/>
      <c r="W87" s="4" t="n"/>
      <c r="X87" s="4" t="n"/>
      <c r="Y87" s="29" t="n"/>
      <c r="Z87" s="16" t="n"/>
      <c r="AA87" s="16" t="n"/>
      <c r="AB87" s="16" t="n"/>
      <c r="AC87" s="20">
        <f>IF(OR(Z87="",AA87="",AB87=""),"",(--TRIM(LEFT(Z87,2)))*(--TRIM(LEFT(AA87,2)))*(--TRIM(LEFT(AB87,2))))</f>
        <v/>
      </c>
      <c r="AD87" s="20">
        <f>IF(OR(Z87="",AA87="",AB87=""),"",INDEX(APGrid,COUNTIF(APS,"&gt;"&amp;(--TRIM(LEFT(Z87,2))))*5+COUNTIF(APO,"&gt;"&amp;(--TRIM(LEFT(AA87,2))))+1,COUNTIF(APD,"&gt;"&amp;(--TRIM(LEFT(AB87,2))))+1))</f>
        <v/>
      </c>
      <c r="AE87" s="4" t="n"/>
      <c r="AF87" s="4" t="n"/>
      <c r="AH87">
        <f>IFERROR(INDEX(EqTag,_xlfn.AGGREGATE(15,6,(ROW(EqTag)-4)/((EqSys=$D$3)*(EqTag&lt;&gt;"")),ROWS($AH$14:AH87))),"")</f>
        <v/>
      </c>
    </row>
    <row r="88">
      <c r="A88" s="20">
        <f>IF(F88="","",LEFT($D$3,3)&amp;"-"&amp;TEXT(COUNTIF(F$14:F88,"?*"),"00"))</f>
        <v/>
      </c>
      <c r="B88" s="4" t="n"/>
      <c r="C88" s="5">
        <f>IF(B88="","",IFERROR(INDEX(EqTypeCol,MATCH(B88,EqTag,0)),"Tag not in register"))</f>
        <v/>
      </c>
      <c r="D88" s="4" t="n"/>
      <c r="E88" s="4" t="n"/>
      <c r="F88" s="4" t="n"/>
      <c r="G88" s="4" t="n"/>
      <c r="H88" s="4" t="n"/>
      <c r="I88" s="4" t="n"/>
      <c r="J88" s="5">
        <f>_xlfn.TEXTJOIN(CHAR(10),TRUE,IF(G88="","","• "&amp;G88),IF(H88="","","• "&amp;H88),IF(I88="","","• "&amp;I88))</f>
        <v/>
      </c>
      <c r="K88" s="4" t="n"/>
      <c r="L88" s="4" t="n"/>
      <c r="M88" s="4" t="n"/>
      <c r="N88" s="16" t="n"/>
      <c r="O88" s="4" t="n"/>
      <c r="P88" s="16" t="n"/>
      <c r="Q88" s="4" t="n"/>
      <c r="R88" s="16" t="n"/>
      <c r="S88" s="20">
        <f>IF(OR(N88="",P88="",R88=""),"",(--TRIM(LEFT(N88,2)))*(--TRIM(LEFT(P88,2)))*(--TRIM(LEFT(R88,2))))</f>
        <v/>
      </c>
      <c r="T88" s="20">
        <f>IF(OR(N88="",P88="",R88=""),"",INDEX(APGrid,COUNTIF(APS,"&gt;"&amp;(--TRIM(LEFT(N88,2))))*5+COUNTIF(APO,"&gt;"&amp;(--TRIM(LEFT(P88,2))))+1,COUNTIF(APD,"&gt;"&amp;(--TRIM(LEFT(R88,2))))+1))</f>
        <v/>
      </c>
      <c r="U88" s="20">
        <f>IF(S88="","",IF(OR((--TRIM(LEFT(N88,2)))&gt;=SThr,S88&gt;=RPNThr,T88="H"),"Yes","No"))</f>
        <v/>
      </c>
      <c r="V88" s="4" t="n"/>
      <c r="W88" s="4" t="n"/>
      <c r="X88" s="4" t="n"/>
      <c r="Y88" s="29" t="n"/>
      <c r="Z88" s="16" t="n"/>
      <c r="AA88" s="16" t="n"/>
      <c r="AB88" s="16" t="n"/>
      <c r="AC88" s="20">
        <f>IF(OR(Z88="",AA88="",AB88=""),"",(--TRIM(LEFT(Z88,2)))*(--TRIM(LEFT(AA88,2)))*(--TRIM(LEFT(AB88,2))))</f>
        <v/>
      </c>
      <c r="AD88" s="20">
        <f>IF(OR(Z88="",AA88="",AB88=""),"",INDEX(APGrid,COUNTIF(APS,"&gt;"&amp;(--TRIM(LEFT(Z88,2))))*5+COUNTIF(APO,"&gt;"&amp;(--TRIM(LEFT(AA88,2))))+1,COUNTIF(APD,"&gt;"&amp;(--TRIM(LEFT(AB88,2))))+1))</f>
        <v/>
      </c>
      <c r="AE88" s="4" t="n"/>
      <c r="AF88" s="4" t="n"/>
      <c r="AH88">
        <f>IFERROR(INDEX(EqTag,_xlfn.AGGREGATE(15,6,(ROW(EqTag)-4)/((EqSys=$D$3)*(EqTag&lt;&gt;"")),ROWS($AH$14:AH88))),"")</f>
        <v/>
      </c>
    </row>
    <row r="89">
      <c r="A89" s="20">
        <f>IF(F89="","",LEFT($D$3,3)&amp;"-"&amp;TEXT(COUNTIF(F$14:F89,"?*"),"00"))</f>
        <v/>
      </c>
      <c r="B89" s="4" t="n"/>
      <c r="C89" s="5">
        <f>IF(B89="","",IFERROR(INDEX(EqTypeCol,MATCH(B89,EqTag,0)),"Tag not in register"))</f>
        <v/>
      </c>
      <c r="D89" s="4" t="n"/>
      <c r="E89" s="4" t="n"/>
      <c r="F89" s="4" t="n"/>
      <c r="G89" s="4" t="n"/>
      <c r="H89" s="4" t="n"/>
      <c r="I89" s="4" t="n"/>
      <c r="J89" s="5">
        <f>_xlfn.TEXTJOIN(CHAR(10),TRUE,IF(G89="","","• "&amp;G89),IF(H89="","","• "&amp;H89),IF(I89="","","• "&amp;I89))</f>
        <v/>
      </c>
      <c r="K89" s="4" t="n"/>
      <c r="L89" s="4" t="n"/>
      <c r="M89" s="4" t="n"/>
      <c r="N89" s="16" t="n"/>
      <c r="O89" s="4" t="n"/>
      <c r="P89" s="16" t="n"/>
      <c r="Q89" s="4" t="n"/>
      <c r="R89" s="16" t="n"/>
      <c r="S89" s="20">
        <f>IF(OR(N89="",P89="",R89=""),"",(--TRIM(LEFT(N89,2)))*(--TRIM(LEFT(P89,2)))*(--TRIM(LEFT(R89,2))))</f>
        <v/>
      </c>
      <c r="T89" s="20">
        <f>IF(OR(N89="",P89="",R89=""),"",INDEX(APGrid,COUNTIF(APS,"&gt;"&amp;(--TRIM(LEFT(N89,2))))*5+COUNTIF(APO,"&gt;"&amp;(--TRIM(LEFT(P89,2))))+1,COUNTIF(APD,"&gt;"&amp;(--TRIM(LEFT(R89,2))))+1))</f>
        <v/>
      </c>
      <c r="U89" s="20">
        <f>IF(S89="","",IF(OR((--TRIM(LEFT(N89,2)))&gt;=SThr,S89&gt;=RPNThr,T89="H"),"Yes","No"))</f>
        <v/>
      </c>
      <c r="V89" s="4" t="n"/>
      <c r="W89" s="4" t="n"/>
      <c r="X89" s="4" t="n"/>
      <c r="Y89" s="29" t="n"/>
      <c r="Z89" s="16" t="n"/>
      <c r="AA89" s="16" t="n"/>
      <c r="AB89" s="16" t="n"/>
      <c r="AC89" s="20">
        <f>IF(OR(Z89="",AA89="",AB89=""),"",(--TRIM(LEFT(Z89,2)))*(--TRIM(LEFT(AA89,2)))*(--TRIM(LEFT(AB89,2))))</f>
        <v/>
      </c>
      <c r="AD89" s="20">
        <f>IF(OR(Z89="",AA89="",AB89=""),"",INDEX(APGrid,COUNTIF(APS,"&gt;"&amp;(--TRIM(LEFT(Z89,2))))*5+COUNTIF(APO,"&gt;"&amp;(--TRIM(LEFT(AA89,2))))+1,COUNTIF(APD,"&gt;"&amp;(--TRIM(LEFT(AB89,2))))+1))</f>
        <v/>
      </c>
      <c r="AE89" s="4" t="n"/>
      <c r="AF89" s="4" t="n"/>
      <c r="AH89">
        <f>IFERROR(INDEX(EqTag,_xlfn.AGGREGATE(15,6,(ROW(EqTag)-4)/((EqSys=$D$3)*(EqTag&lt;&gt;"")),ROWS($AH$14:AH89))),"")</f>
        <v/>
      </c>
    </row>
    <row r="90">
      <c r="A90" s="20">
        <f>IF(F90="","",LEFT($D$3,3)&amp;"-"&amp;TEXT(COUNTIF(F$14:F90,"?*"),"00"))</f>
        <v/>
      </c>
      <c r="B90" s="4" t="n"/>
      <c r="C90" s="5">
        <f>IF(B90="","",IFERROR(INDEX(EqTypeCol,MATCH(B90,EqTag,0)),"Tag not in register"))</f>
        <v/>
      </c>
      <c r="D90" s="4" t="n"/>
      <c r="E90" s="4" t="n"/>
      <c r="F90" s="4" t="n"/>
      <c r="G90" s="4" t="n"/>
      <c r="H90" s="4" t="n"/>
      <c r="I90" s="4" t="n"/>
      <c r="J90" s="5">
        <f>_xlfn.TEXTJOIN(CHAR(10),TRUE,IF(G90="","","• "&amp;G90),IF(H90="","","• "&amp;H90),IF(I90="","","• "&amp;I90))</f>
        <v/>
      </c>
      <c r="K90" s="4" t="n"/>
      <c r="L90" s="4" t="n"/>
      <c r="M90" s="4" t="n"/>
      <c r="N90" s="16" t="n"/>
      <c r="O90" s="4" t="n"/>
      <c r="P90" s="16" t="n"/>
      <c r="Q90" s="4" t="n"/>
      <c r="R90" s="16" t="n"/>
      <c r="S90" s="20">
        <f>IF(OR(N90="",P90="",R90=""),"",(--TRIM(LEFT(N90,2)))*(--TRIM(LEFT(P90,2)))*(--TRIM(LEFT(R90,2))))</f>
        <v/>
      </c>
      <c r="T90" s="20">
        <f>IF(OR(N90="",P90="",R90=""),"",INDEX(APGrid,COUNTIF(APS,"&gt;"&amp;(--TRIM(LEFT(N90,2))))*5+COUNTIF(APO,"&gt;"&amp;(--TRIM(LEFT(P90,2))))+1,COUNTIF(APD,"&gt;"&amp;(--TRIM(LEFT(R90,2))))+1))</f>
        <v/>
      </c>
      <c r="U90" s="20">
        <f>IF(S90="","",IF(OR((--TRIM(LEFT(N90,2)))&gt;=SThr,S90&gt;=RPNThr,T90="H"),"Yes","No"))</f>
        <v/>
      </c>
      <c r="V90" s="4" t="n"/>
      <c r="W90" s="4" t="n"/>
      <c r="X90" s="4" t="n"/>
      <c r="Y90" s="29" t="n"/>
      <c r="Z90" s="16" t="n"/>
      <c r="AA90" s="16" t="n"/>
      <c r="AB90" s="16" t="n"/>
      <c r="AC90" s="20">
        <f>IF(OR(Z90="",AA90="",AB90=""),"",(--TRIM(LEFT(Z90,2)))*(--TRIM(LEFT(AA90,2)))*(--TRIM(LEFT(AB90,2))))</f>
        <v/>
      </c>
      <c r="AD90" s="20">
        <f>IF(OR(Z90="",AA90="",AB90=""),"",INDEX(APGrid,COUNTIF(APS,"&gt;"&amp;(--TRIM(LEFT(Z90,2))))*5+COUNTIF(APO,"&gt;"&amp;(--TRIM(LEFT(AA90,2))))+1,COUNTIF(APD,"&gt;"&amp;(--TRIM(LEFT(AB90,2))))+1))</f>
        <v/>
      </c>
      <c r="AE90" s="4" t="n"/>
      <c r="AF90" s="4" t="n"/>
      <c r="AH90">
        <f>IFERROR(INDEX(EqTag,_xlfn.AGGREGATE(15,6,(ROW(EqTag)-4)/((EqSys=$D$3)*(EqTag&lt;&gt;"")),ROWS($AH$14:AH90))),"")</f>
        <v/>
      </c>
    </row>
    <row r="91">
      <c r="A91" s="20">
        <f>IF(F91="","",LEFT($D$3,3)&amp;"-"&amp;TEXT(COUNTIF(F$14:F91,"?*"),"00"))</f>
        <v/>
      </c>
      <c r="B91" s="4" t="n"/>
      <c r="C91" s="5">
        <f>IF(B91="","",IFERROR(INDEX(EqTypeCol,MATCH(B91,EqTag,0)),"Tag not in register"))</f>
        <v/>
      </c>
      <c r="D91" s="4" t="n"/>
      <c r="E91" s="4" t="n"/>
      <c r="F91" s="4" t="n"/>
      <c r="G91" s="4" t="n"/>
      <c r="H91" s="4" t="n"/>
      <c r="I91" s="4" t="n"/>
      <c r="J91" s="5">
        <f>_xlfn.TEXTJOIN(CHAR(10),TRUE,IF(G91="","","• "&amp;G91),IF(H91="","","• "&amp;H91),IF(I91="","","• "&amp;I91))</f>
        <v/>
      </c>
      <c r="K91" s="4" t="n"/>
      <c r="L91" s="4" t="n"/>
      <c r="M91" s="4" t="n"/>
      <c r="N91" s="16" t="n"/>
      <c r="O91" s="4" t="n"/>
      <c r="P91" s="16" t="n"/>
      <c r="Q91" s="4" t="n"/>
      <c r="R91" s="16" t="n"/>
      <c r="S91" s="20">
        <f>IF(OR(N91="",P91="",R91=""),"",(--TRIM(LEFT(N91,2)))*(--TRIM(LEFT(P91,2)))*(--TRIM(LEFT(R91,2))))</f>
        <v/>
      </c>
      <c r="T91" s="20">
        <f>IF(OR(N91="",P91="",R91=""),"",INDEX(APGrid,COUNTIF(APS,"&gt;"&amp;(--TRIM(LEFT(N91,2))))*5+COUNTIF(APO,"&gt;"&amp;(--TRIM(LEFT(P91,2))))+1,COUNTIF(APD,"&gt;"&amp;(--TRIM(LEFT(R91,2))))+1))</f>
        <v/>
      </c>
      <c r="U91" s="20">
        <f>IF(S91="","",IF(OR((--TRIM(LEFT(N91,2)))&gt;=SThr,S91&gt;=RPNThr,T91="H"),"Yes","No"))</f>
        <v/>
      </c>
      <c r="V91" s="4" t="n"/>
      <c r="W91" s="4" t="n"/>
      <c r="X91" s="4" t="n"/>
      <c r="Y91" s="29" t="n"/>
      <c r="Z91" s="16" t="n"/>
      <c r="AA91" s="16" t="n"/>
      <c r="AB91" s="16" t="n"/>
      <c r="AC91" s="20">
        <f>IF(OR(Z91="",AA91="",AB91=""),"",(--TRIM(LEFT(Z91,2)))*(--TRIM(LEFT(AA91,2)))*(--TRIM(LEFT(AB91,2))))</f>
        <v/>
      </c>
      <c r="AD91" s="20">
        <f>IF(OR(Z91="",AA91="",AB91=""),"",INDEX(APGrid,COUNTIF(APS,"&gt;"&amp;(--TRIM(LEFT(Z91,2))))*5+COUNTIF(APO,"&gt;"&amp;(--TRIM(LEFT(AA91,2))))+1,COUNTIF(APD,"&gt;"&amp;(--TRIM(LEFT(AB91,2))))+1))</f>
        <v/>
      </c>
      <c r="AE91" s="4" t="n"/>
      <c r="AF91" s="4" t="n"/>
      <c r="AH91">
        <f>IFERROR(INDEX(EqTag,_xlfn.AGGREGATE(15,6,(ROW(EqTag)-4)/((EqSys=$D$3)*(EqTag&lt;&gt;"")),ROWS($AH$14:AH91))),"")</f>
        <v/>
      </c>
    </row>
    <row r="92">
      <c r="A92" s="20">
        <f>IF(F92="","",LEFT($D$3,3)&amp;"-"&amp;TEXT(COUNTIF(F$14:F92,"?*"),"00"))</f>
        <v/>
      </c>
      <c r="B92" s="4" t="n"/>
      <c r="C92" s="5">
        <f>IF(B92="","",IFERROR(INDEX(EqTypeCol,MATCH(B92,EqTag,0)),"Tag not in register"))</f>
        <v/>
      </c>
      <c r="D92" s="4" t="n"/>
      <c r="E92" s="4" t="n"/>
      <c r="F92" s="4" t="n"/>
      <c r="G92" s="4" t="n"/>
      <c r="H92" s="4" t="n"/>
      <c r="I92" s="4" t="n"/>
      <c r="J92" s="5">
        <f>_xlfn.TEXTJOIN(CHAR(10),TRUE,IF(G92="","","• "&amp;G92),IF(H92="","","• "&amp;H92),IF(I92="","","• "&amp;I92))</f>
        <v/>
      </c>
      <c r="K92" s="4" t="n"/>
      <c r="L92" s="4" t="n"/>
      <c r="M92" s="4" t="n"/>
      <c r="N92" s="16" t="n"/>
      <c r="O92" s="4" t="n"/>
      <c r="P92" s="16" t="n"/>
      <c r="Q92" s="4" t="n"/>
      <c r="R92" s="16" t="n"/>
      <c r="S92" s="20">
        <f>IF(OR(N92="",P92="",R92=""),"",(--TRIM(LEFT(N92,2)))*(--TRIM(LEFT(P92,2)))*(--TRIM(LEFT(R92,2))))</f>
        <v/>
      </c>
      <c r="T92" s="20">
        <f>IF(OR(N92="",P92="",R92=""),"",INDEX(APGrid,COUNTIF(APS,"&gt;"&amp;(--TRIM(LEFT(N92,2))))*5+COUNTIF(APO,"&gt;"&amp;(--TRIM(LEFT(P92,2))))+1,COUNTIF(APD,"&gt;"&amp;(--TRIM(LEFT(R92,2))))+1))</f>
        <v/>
      </c>
      <c r="U92" s="20">
        <f>IF(S92="","",IF(OR((--TRIM(LEFT(N92,2)))&gt;=SThr,S92&gt;=RPNThr,T92="H"),"Yes","No"))</f>
        <v/>
      </c>
      <c r="V92" s="4" t="n"/>
      <c r="W92" s="4" t="n"/>
      <c r="X92" s="4" t="n"/>
      <c r="Y92" s="29" t="n"/>
      <c r="Z92" s="16" t="n"/>
      <c r="AA92" s="16" t="n"/>
      <c r="AB92" s="16" t="n"/>
      <c r="AC92" s="20">
        <f>IF(OR(Z92="",AA92="",AB92=""),"",(--TRIM(LEFT(Z92,2)))*(--TRIM(LEFT(AA92,2)))*(--TRIM(LEFT(AB92,2))))</f>
        <v/>
      </c>
      <c r="AD92" s="20">
        <f>IF(OR(Z92="",AA92="",AB92=""),"",INDEX(APGrid,COUNTIF(APS,"&gt;"&amp;(--TRIM(LEFT(Z92,2))))*5+COUNTIF(APO,"&gt;"&amp;(--TRIM(LEFT(AA92,2))))+1,COUNTIF(APD,"&gt;"&amp;(--TRIM(LEFT(AB92,2))))+1))</f>
        <v/>
      </c>
      <c r="AE92" s="4" t="n"/>
      <c r="AF92" s="4" t="n"/>
      <c r="AH92">
        <f>IFERROR(INDEX(EqTag,_xlfn.AGGREGATE(15,6,(ROW(EqTag)-4)/((EqSys=$D$3)*(EqTag&lt;&gt;"")),ROWS($AH$14:AH92))),"")</f>
        <v/>
      </c>
    </row>
    <row r="93">
      <c r="A93" s="20">
        <f>IF(F93="","",LEFT($D$3,3)&amp;"-"&amp;TEXT(COUNTIF(F$14:F93,"?*"),"00"))</f>
        <v/>
      </c>
      <c r="B93" s="4" t="n"/>
      <c r="C93" s="5">
        <f>IF(B93="","",IFERROR(INDEX(EqTypeCol,MATCH(B93,EqTag,0)),"Tag not in register"))</f>
        <v/>
      </c>
      <c r="D93" s="4" t="n"/>
      <c r="E93" s="4" t="n"/>
      <c r="F93" s="4" t="n"/>
      <c r="G93" s="4" t="n"/>
      <c r="H93" s="4" t="n"/>
      <c r="I93" s="4" t="n"/>
      <c r="J93" s="5">
        <f>_xlfn.TEXTJOIN(CHAR(10),TRUE,IF(G93="","","• "&amp;G93),IF(H93="","","• "&amp;H93),IF(I93="","","• "&amp;I93))</f>
        <v/>
      </c>
      <c r="K93" s="4" t="n"/>
      <c r="L93" s="4" t="n"/>
      <c r="M93" s="4" t="n"/>
      <c r="N93" s="16" t="n"/>
      <c r="O93" s="4" t="n"/>
      <c r="P93" s="16" t="n"/>
      <c r="Q93" s="4" t="n"/>
      <c r="R93" s="16" t="n"/>
      <c r="S93" s="20">
        <f>IF(OR(N93="",P93="",R93=""),"",(--TRIM(LEFT(N93,2)))*(--TRIM(LEFT(P93,2)))*(--TRIM(LEFT(R93,2))))</f>
        <v/>
      </c>
      <c r="T93" s="20">
        <f>IF(OR(N93="",P93="",R93=""),"",INDEX(APGrid,COUNTIF(APS,"&gt;"&amp;(--TRIM(LEFT(N93,2))))*5+COUNTIF(APO,"&gt;"&amp;(--TRIM(LEFT(P93,2))))+1,COUNTIF(APD,"&gt;"&amp;(--TRIM(LEFT(R93,2))))+1))</f>
        <v/>
      </c>
      <c r="U93" s="20">
        <f>IF(S93="","",IF(OR((--TRIM(LEFT(N93,2)))&gt;=SThr,S93&gt;=RPNThr,T93="H"),"Yes","No"))</f>
        <v/>
      </c>
      <c r="V93" s="4" t="n"/>
      <c r="W93" s="4" t="n"/>
      <c r="X93" s="4" t="n"/>
      <c r="Y93" s="29" t="n"/>
      <c r="Z93" s="16" t="n"/>
      <c r="AA93" s="16" t="n"/>
      <c r="AB93" s="16" t="n"/>
      <c r="AC93" s="20">
        <f>IF(OR(Z93="",AA93="",AB93=""),"",(--TRIM(LEFT(Z93,2)))*(--TRIM(LEFT(AA93,2)))*(--TRIM(LEFT(AB93,2))))</f>
        <v/>
      </c>
      <c r="AD93" s="20">
        <f>IF(OR(Z93="",AA93="",AB93=""),"",INDEX(APGrid,COUNTIF(APS,"&gt;"&amp;(--TRIM(LEFT(Z93,2))))*5+COUNTIF(APO,"&gt;"&amp;(--TRIM(LEFT(AA93,2))))+1,COUNTIF(APD,"&gt;"&amp;(--TRIM(LEFT(AB93,2))))+1))</f>
        <v/>
      </c>
      <c r="AE93" s="4" t="n"/>
      <c r="AF93" s="4" t="n"/>
      <c r="AH93">
        <f>IFERROR(INDEX(EqTag,_xlfn.AGGREGATE(15,6,(ROW(EqTag)-4)/((EqSys=$D$3)*(EqTag&lt;&gt;"")),ROWS($AH$14:AH93))),"")</f>
        <v/>
      </c>
    </row>
    <row r="94">
      <c r="A94" s="20">
        <f>IF(F94="","",LEFT($D$3,3)&amp;"-"&amp;TEXT(COUNTIF(F$14:F94,"?*"),"00"))</f>
        <v/>
      </c>
      <c r="B94" s="4" t="n"/>
      <c r="C94" s="5">
        <f>IF(B94="","",IFERROR(INDEX(EqTypeCol,MATCH(B94,EqTag,0)),"Tag not in register"))</f>
        <v/>
      </c>
      <c r="D94" s="4" t="n"/>
      <c r="E94" s="4" t="n"/>
      <c r="F94" s="4" t="n"/>
      <c r="G94" s="4" t="n"/>
      <c r="H94" s="4" t="n"/>
      <c r="I94" s="4" t="n"/>
      <c r="J94" s="5">
        <f>_xlfn.TEXTJOIN(CHAR(10),TRUE,IF(G94="","","• "&amp;G94),IF(H94="","","• "&amp;H94),IF(I94="","","• "&amp;I94))</f>
        <v/>
      </c>
      <c r="K94" s="4" t="n"/>
      <c r="L94" s="4" t="n"/>
      <c r="M94" s="4" t="n"/>
      <c r="N94" s="16" t="n"/>
      <c r="O94" s="4" t="n"/>
      <c r="P94" s="16" t="n"/>
      <c r="Q94" s="4" t="n"/>
      <c r="R94" s="16" t="n"/>
      <c r="S94" s="20">
        <f>IF(OR(N94="",P94="",R94=""),"",(--TRIM(LEFT(N94,2)))*(--TRIM(LEFT(P94,2)))*(--TRIM(LEFT(R94,2))))</f>
        <v/>
      </c>
      <c r="T94" s="20">
        <f>IF(OR(N94="",P94="",R94=""),"",INDEX(APGrid,COUNTIF(APS,"&gt;"&amp;(--TRIM(LEFT(N94,2))))*5+COUNTIF(APO,"&gt;"&amp;(--TRIM(LEFT(P94,2))))+1,COUNTIF(APD,"&gt;"&amp;(--TRIM(LEFT(R94,2))))+1))</f>
        <v/>
      </c>
      <c r="U94" s="20">
        <f>IF(S94="","",IF(OR((--TRIM(LEFT(N94,2)))&gt;=SThr,S94&gt;=RPNThr,T94="H"),"Yes","No"))</f>
        <v/>
      </c>
      <c r="V94" s="4" t="n"/>
      <c r="W94" s="4" t="n"/>
      <c r="X94" s="4" t="n"/>
      <c r="Y94" s="29" t="n"/>
      <c r="Z94" s="16" t="n"/>
      <c r="AA94" s="16" t="n"/>
      <c r="AB94" s="16" t="n"/>
      <c r="AC94" s="20">
        <f>IF(OR(Z94="",AA94="",AB94=""),"",(--TRIM(LEFT(Z94,2)))*(--TRIM(LEFT(AA94,2)))*(--TRIM(LEFT(AB94,2))))</f>
        <v/>
      </c>
      <c r="AD94" s="20">
        <f>IF(OR(Z94="",AA94="",AB94=""),"",INDEX(APGrid,COUNTIF(APS,"&gt;"&amp;(--TRIM(LEFT(Z94,2))))*5+COUNTIF(APO,"&gt;"&amp;(--TRIM(LEFT(AA94,2))))+1,COUNTIF(APD,"&gt;"&amp;(--TRIM(LEFT(AB94,2))))+1))</f>
        <v/>
      </c>
      <c r="AE94" s="4" t="n"/>
      <c r="AF94" s="4" t="n"/>
      <c r="AH94">
        <f>IFERROR(INDEX(EqTag,_xlfn.AGGREGATE(15,6,(ROW(EqTag)-4)/((EqSys=$D$3)*(EqTag&lt;&gt;"")),ROWS($AH$14:AH94))),"")</f>
        <v/>
      </c>
    </row>
    <row r="95">
      <c r="A95" s="20">
        <f>IF(F95="","",LEFT($D$3,3)&amp;"-"&amp;TEXT(COUNTIF(F$14:F95,"?*"),"00"))</f>
        <v/>
      </c>
      <c r="B95" s="4" t="n"/>
      <c r="C95" s="5">
        <f>IF(B95="","",IFERROR(INDEX(EqTypeCol,MATCH(B95,EqTag,0)),"Tag not in register"))</f>
        <v/>
      </c>
      <c r="D95" s="4" t="n"/>
      <c r="E95" s="4" t="n"/>
      <c r="F95" s="4" t="n"/>
      <c r="G95" s="4" t="n"/>
      <c r="H95" s="4" t="n"/>
      <c r="I95" s="4" t="n"/>
      <c r="J95" s="5">
        <f>_xlfn.TEXTJOIN(CHAR(10),TRUE,IF(G95="","","• "&amp;G95),IF(H95="","","• "&amp;H95),IF(I95="","","• "&amp;I95))</f>
        <v/>
      </c>
      <c r="K95" s="4" t="n"/>
      <c r="L95" s="4" t="n"/>
      <c r="M95" s="4" t="n"/>
      <c r="N95" s="16" t="n"/>
      <c r="O95" s="4" t="n"/>
      <c r="P95" s="16" t="n"/>
      <c r="Q95" s="4" t="n"/>
      <c r="R95" s="16" t="n"/>
      <c r="S95" s="20">
        <f>IF(OR(N95="",P95="",R95=""),"",(--TRIM(LEFT(N95,2)))*(--TRIM(LEFT(P95,2)))*(--TRIM(LEFT(R95,2))))</f>
        <v/>
      </c>
      <c r="T95" s="20">
        <f>IF(OR(N95="",P95="",R95=""),"",INDEX(APGrid,COUNTIF(APS,"&gt;"&amp;(--TRIM(LEFT(N95,2))))*5+COUNTIF(APO,"&gt;"&amp;(--TRIM(LEFT(P95,2))))+1,COUNTIF(APD,"&gt;"&amp;(--TRIM(LEFT(R95,2))))+1))</f>
        <v/>
      </c>
      <c r="U95" s="20">
        <f>IF(S95="","",IF(OR((--TRIM(LEFT(N95,2)))&gt;=SThr,S95&gt;=RPNThr,T95="H"),"Yes","No"))</f>
        <v/>
      </c>
      <c r="V95" s="4" t="n"/>
      <c r="W95" s="4" t="n"/>
      <c r="X95" s="4" t="n"/>
      <c r="Y95" s="29" t="n"/>
      <c r="Z95" s="16" t="n"/>
      <c r="AA95" s="16" t="n"/>
      <c r="AB95" s="16" t="n"/>
      <c r="AC95" s="20">
        <f>IF(OR(Z95="",AA95="",AB95=""),"",(--TRIM(LEFT(Z95,2)))*(--TRIM(LEFT(AA95,2)))*(--TRIM(LEFT(AB95,2))))</f>
        <v/>
      </c>
      <c r="AD95" s="20">
        <f>IF(OR(Z95="",AA95="",AB95=""),"",INDEX(APGrid,COUNTIF(APS,"&gt;"&amp;(--TRIM(LEFT(Z95,2))))*5+COUNTIF(APO,"&gt;"&amp;(--TRIM(LEFT(AA95,2))))+1,COUNTIF(APD,"&gt;"&amp;(--TRIM(LEFT(AB95,2))))+1))</f>
        <v/>
      </c>
      <c r="AE95" s="4" t="n"/>
      <c r="AF95" s="4" t="n"/>
      <c r="AH95">
        <f>IFERROR(INDEX(EqTag,_xlfn.AGGREGATE(15,6,(ROW(EqTag)-4)/((EqSys=$D$3)*(EqTag&lt;&gt;"")),ROWS($AH$14:AH95))),"")</f>
        <v/>
      </c>
    </row>
    <row r="96">
      <c r="A96" s="20">
        <f>IF(F96="","",LEFT($D$3,3)&amp;"-"&amp;TEXT(COUNTIF(F$14:F96,"?*"),"00"))</f>
        <v/>
      </c>
      <c r="B96" s="4" t="n"/>
      <c r="C96" s="5">
        <f>IF(B96="","",IFERROR(INDEX(EqTypeCol,MATCH(B96,EqTag,0)),"Tag not in register"))</f>
        <v/>
      </c>
      <c r="D96" s="4" t="n"/>
      <c r="E96" s="4" t="n"/>
      <c r="F96" s="4" t="n"/>
      <c r="G96" s="4" t="n"/>
      <c r="H96" s="4" t="n"/>
      <c r="I96" s="4" t="n"/>
      <c r="J96" s="5">
        <f>_xlfn.TEXTJOIN(CHAR(10),TRUE,IF(G96="","","• "&amp;G96),IF(H96="","","• "&amp;H96),IF(I96="","","• "&amp;I96))</f>
        <v/>
      </c>
      <c r="K96" s="4" t="n"/>
      <c r="L96" s="4" t="n"/>
      <c r="M96" s="4" t="n"/>
      <c r="N96" s="16" t="n"/>
      <c r="O96" s="4" t="n"/>
      <c r="P96" s="16" t="n"/>
      <c r="Q96" s="4" t="n"/>
      <c r="R96" s="16" t="n"/>
      <c r="S96" s="20">
        <f>IF(OR(N96="",P96="",R96=""),"",(--TRIM(LEFT(N96,2)))*(--TRIM(LEFT(P96,2)))*(--TRIM(LEFT(R96,2))))</f>
        <v/>
      </c>
      <c r="T96" s="20">
        <f>IF(OR(N96="",P96="",R96=""),"",INDEX(APGrid,COUNTIF(APS,"&gt;"&amp;(--TRIM(LEFT(N96,2))))*5+COUNTIF(APO,"&gt;"&amp;(--TRIM(LEFT(P96,2))))+1,COUNTIF(APD,"&gt;"&amp;(--TRIM(LEFT(R96,2))))+1))</f>
        <v/>
      </c>
      <c r="U96" s="20">
        <f>IF(S96="","",IF(OR((--TRIM(LEFT(N96,2)))&gt;=SThr,S96&gt;=RPNThr,T96="H"),"Yes","No"))</f>
        <v/>
      </c>
      <c r="V96" s="4" t="n"/>
      <c r="W96" s="4" t="n"/>
      <c r="X96" s="4" t="n"/>
      <c r="Y96" s="29" t="n"/>
      <c r="Z96" s="16" t="n"/>
      <c r="AA96" s="16" t="n"/>
      <c r="AB96" s="16" t="n"/>
      <c r="AC96" s="20">
        <f>IF(OR(Z96="",AA96="",AB96=""),"",(--TRIM(LEFT(Z96,2)))*(--TRIM(LEFT(AA96,2)))*(--TRIM(LEFT(AB96,2))))</f>
        <v/>
      </c>
      <c r="AD96" s="20">
        <f>IF(OR(Z96="",AA96="",AB96=""),"",INDEX(APGrid,COUNTIF(APS,"&gt;"&amp;(--TRIM(LEFT(Z96,2))))*5+COUNTIF(APO,"&gt;"&amp;(--TRIM(LEFT(AA96,2))))+1,COUNTIF(APD,"&gt;"&amp;(--TRIM(LEFT(AB96,2))))+1))</f>
        <v/>
      </c>
      <c r="AE96" s="4" t="n"/>
      <c r="AF96" s="4" t="n"/>
      <c r="AH96">
        <f>IFERROR(INDEX(EqTag,_xlfn.AGGREGATE(15,6,(ROW(EqTag)-4)/((EqSys=$D$3)*(EqTag&lt;&gt;"")),ROWS($AH$14:AH96))),"")</f>
        <v/>
      </c>
    </row>
    <row r="97">
      <c r="A97" s="20">
        <f>IF(F97="","",LEFT($D$3,3)&amp;"-"&amp;TEXT(COUNTIF(F$14:F97,"?*"),"00"))</f>
        <v/>
      </c>
      <c r="B97" s="4" t="n"/>
      <c r="C97" s="5">
        <f>IF(B97="","",IFERROR(INDEX(EqTypeCol,MATCH(B97,EqTag,0)),"Tag not in register"))</f>
        <v/>
      </c>
      <c r="D97" s="4" t="n"/>
      <c r="E97" s="4" t="n"/>
      <c r="F97" s="4" t="n"/>
      <c r="G97" s="4" t="n"/>
      <c r="H97" s="4" t="n"/>
      <c r="I97" s="4" t="n"/>
      <c r="J97" s="5">
        <f>_xlfn.TEXTJOIN(CHAR(10),TRUE,IF(G97="","","• "&amp;G97),IF(H97="","","• "&amp;H97),IF(I97="","","• "&amp;I97))</f>
        <v/>
      </c>
      <c r="K97" s="4" t="n"/>
      <c r="L97" s="4" t="n"/>
      <c r="M97" s="4" t="n"/>
      <c r="N97" s="16" t="n"/>
      <c r="O97" s="4" t="n"/>
      <c r="P97" s="16" t="n"/>
      <c r="Q97" s="4" t="n"/>
      <c r="R97" s="16" t="n"/>
      <c r="S97" s="20">
        <f>IF(OR(N97="",P97="",R97=""),"",(--TRIM(LEFT(N97,2)))*(--TRIM(LEFT(P97,2)))*(--TRIM(LEFT(R97,2))))</f>
        <v/>
      </c>
      <c r="T97" s="20">
        <f>IF(OR(N97="",P97="",R97=""),"",INDEX(APGrid,COUNTIF(APS,"&gt;"&amp;(--TRIM(LEFT(N97,2))))*5+COUNTIF(APO,"&gt;"&amp;(--TRIM(LEFT(P97,2))))+1,COUNTIF(APD,"&gt;"&amp;(--TRIM(LEFT(R97,2))))+1))</f>
        <v/>
      </c>
      <c r="U97" s="20">
        <f>IF(S97="","",IF(OR((--TRIM(LEFT(N97,2)))&gt;=SThr,S97&gt;=RPNThr,T97="H"),"Yes","No"))</f>
        <v/>
      </c>
      <c r="V97" s="4" t="n"/>
      <c r="W97" s="4" t="n"/>
      <c r="X97" s="4" t="n"/>
      <c r="Y97" s="29" t="n"/>
      <c r="Z97" s="16" t="n"/>
      <c r="AA97" s="16" t="n"/>
      <c r="AB97" s="16" t="n"/>
      <c r="AC97" s="20">
        <f>IF(OR(Z97="",AA97="",AB97=""),"",(--TRIM(LEFT(Z97,2)))*(--TRIM(LEFT(AA97,2)))*(--TRIM(LEFT(AB97,2))))</f>
        <v/>
      </c>
      <c r="AD97" s="20">
        <f>IF(OR(Z97="",AA97="",AB97=""),"",INDEX(APGrid,COUNTIF(APS,"&gt;"&amp;(--TRIM(LEFT(Z97,2))))*5+COUNTIF(APO,"&gt;"&amp;(--TRIM(LEFT(AA97,2))))+1,COUNTIF(APD,"&gt;"&amp;(--TRIM(LEFT(AB97,2))))+1))</f>
        <v/>
      </c>
      <c r="AE97" s="4" t="n"/>
      <c r="AF97" s="4" t="n"/>
      <c r="AH97">
        <f>IFERROR(INDEX(EqTag,_xlfn.AGGREGATE(15,6,(ROW(EqTag)-4)/((EqSys=$D$3)*(EqTag&lt;&gt;"")),ROWS($AH$14:AH97))),"")</f>
        <v/>
      </c>
    </row>
    <row r="98">
      <c r="A98" s="20">
        <f>IF(F98="","",LEFT($D$3,3)&amp;"-"&amp;TEXT(COUNTIF(F$14:F98,"?*"),"00"))</f>
        <v/>
      </c>
      <c r="B98" s="4" t="n"/>
      <c r="C98" s="5">
        <f>IF(B98="","",IFERROR(INDEX(EqTypeCol,MATCH(B98,EqTag,0)),"Tag not in register"))</f>
        <v/>
      </c>
      <c r="D98" s="4" t="n"/>
      <c r="E98" s="4" t="n"/>
      <c r="F98" s="4" t="n"/>
      <c r="G98" s="4" t="n"/>
      <c r="H98" s="4" t="n"/>
      <c r="I98" s="4" t="n"/>
      <c r="J98" s="5">
        <f>_xlfn.TEXTJOIN(CHAR(10),TRUE,IF(G98="","","• "&amp;G98),IF(H98="","","• "&amp;H98),IF(I98="","","• "&amp;I98))</f>
        <v/>
      </c>
      <c r="K98" s="4" t="n"/>
      <c r="L98" s="4" t="n"/>
      <c r="M98" s="4" t="n"/>
      <c r="N98" s="16" t="n"/>
      <c r="O98" s="4" t="n"/>
      <c r="P98" s="16" t="n"/>
      <c r="Q98" s="4" t="n"/>
      <c r="R98" s="16" t="n"/>
      <c r="S98" s="20">
        <f>IF(OR(N98="",P98="",R98=""),"",(--TRIM(LEFT(N98,2)))*(--TRIM(LEFT(P98,2)))*(--TRIM(LEFT(R98,2))))</f>
        <v/>
      </c>
      <c r="T98" s="20">
        <f>IF(OR(N98="",P98="",R98=""),"",INDEX(APGrid,COUNTIF(APS,"&gt;"&amp;(--TRIM(LEFT(N98,2))))*5+COUNTIF(APO,"&gt;"&amp;(--TRIM(LEFT(P98,2))))+1,COUNTIF(APD,"&gt;"&amp;(--TRIM(LEFT(R98,2))))+1))</f>
        <v/>
      </c>
      <c r="U98" s="20">
        <f>IF(S98="","",IF(OR((--TRIM(LEFT(N98,2)))&gt;=SThr,S98&gt;=RPNThr,T98="H"),"Yes","No"))</f>
        <v/>
      </c>
      <c r="V98" s="4" t="n"/>
      <c r="W98" s="4" t="n"/>
      <c r="X98" s="4" t="n"/>
      <c r="Y98" s="29" t="n"/>
      <c r="Z98" s="16" t="n"/>
      <c r="AA98" s="16" t="n"/>
      <c r="AB98" s="16" t="n"/>
      <c r="AC98" s="20">
        <f>IF(OR(Z98="",AA98="",AB98=""),"",(--TRIM(LEFT(Z98,2)))*(--TRIM(LEFT(AA98,2)))*(--TRIM(LEFT(AB98,2))))</f>
        <v/>
      </c>
      <c r="AD98" s="20">
        <f>IF(OR(Z98="",AA98="",AB98=""),"",INDEX(APGrid,COUNTIF(APS,"&gt;"&amp;(--TRIM(LEFT(Z98,2))))*5+COUNTIF(APO,"&gt;"&amp;(--TRIM(LEFT(AA98,2))))+1,COUNTIF(APD,"&gt;"&amp;(--TRIM(LEFT(AB98,2))))+1))</f>
        <v/>
      </c>
      <c r="AE98" s="4" t="n"/>
      <c r="AF98" s="4" t="n"/>
      <c r="AH98">
        <f>IFERROR(INDEX(EqTag,_xlfn.AGGREGATE(15,6,(ROW(EqTag)-4)/((EqSys=$D$3)*(EqTag&lt;&gt;"")),ROWS($AH$14:AH98))),"")</f>
        <v/>
      </c>
    </row>
    <row r="99">
      <c r="A99" s="20">
        <f>IF(F99="","",LEFT($D$3,3)&amp;"-"&amp;TEXT(COUNTIF(F$14:F99,"?*"),"00"))</f>
        <v/>
      </c>
      <c r="B99" s="4" t="n"/>
      <c r="C99" s="5">
        <f>IF(B99="","",IFERROR(INDEX(EqTypeCol,MATCH(B99,EqTag,0)),"Tag not in register"))</f>
        <v/>
      </c>
      <c r="D99" s="4" t="n"/>
      <c r="E99" s="4" t="n"/>
      <c r="F99" s="4" t="n"/>
      <c r="G99" s="4" t="n"/>
      <c r="H99" s="4" t="n"/>
      <c r="I99" s="4" t="n"/>
      <c r="J99" s="5">
        <f>_xlfn.TEXTJOIN(CHAR(10),TRUE,IF(G99="","","• "&amp;G99),IF(H99="","","• "&amp;H99),IF(I99="","","• "&amp;I99))</f>
        <v/>
      </c>
      <c r="K99" s="4" t="n"/>
      <c r="L99" s="4" t="n"/>
      <c r="M99" s="4" t="n"/>
      <c r="N99" s="16" t="n"/>
      <c r="O99" s="4" t="n"/>
      <c r="P99" s="16" t="n"/>
      <c r="Q99" s="4" t="n"/>
      <c r="R99" s="16" t="n"/>
      <c r="S99" s="20">
        <f>IF(OR(N99="",P99="",R99=""),"",(--TRIM(LEFT(N99,2)))*(--TRIM(LEFT(P99,2)))*(--TRIM(LEFT(R99,2))))</f>
        <v/>
      </c>
      <c r="T99" s="20">
        <f>IF(OR(N99="",P99="",R99=""),"",INDEX(APGrid,COUNTIF(APS,"&gt;"&amp;(--TRIM(LEFT(N99,2))))*5+COUNTIF(APO,"&gt;"&amp;(--TRIM(LEFT(P99,2))))+1,COUNTIF(APD,"&gt;"&amp;(--TRIM(LEFT(R99,2))))+1))</f>
        <v/>
      </c>
      <c r="U99" s="20">
        <f>IF(S99="","",IF(OR((--TRIM(LEFT(N99,2)))&gt;=SThr,S99&gt;=RPNThr,T99="H"),"Yes","No"))</f>
        <v/>
      </c>
      <c r="V99" s="4" t="n"/>
      <c r="W99" s="4" t="n"/>
      <c r="X99" s="4" t="n"/>
      <c r="Y99" s="29" t="n"/>
      <c r="Z99" s="16" t="n"/>
      <c r="AA99" s="16" t="n"/>
      <c r="AB99" s="16" t="n"/>
      <c r="AC99" s="20">
        <f>IF(OR(Z99="",AA99="",AB99=""),"",(--TRIM(LEFT(Z99,2)))*(--TRIM(LEFT(AA99,2)))*(--TRIM(LEFT(AB99,2))))</f>
        <v/>
      </c>
      <c r="AD99" s="20">
        <f>IF(OR(Z99="",AA99="",AB99=""),"",INDEX(APGrid,COUNTIF(APS,"&gt;"&amp;(--TRIM(LEFT(Z99,2))))*5+COUNTIF(APO,"&gt;"&amp;(--TRIM(LEFT(AA99,2))))+1,COUNTIF(APD,"&gt;"&amp;(--TRIM(LEFT(AB99,2))))+1))</f>
        <v/>
      </c>
      <c r="AE99" s="4" t="n"/>
      <c r="AF99" s="4" t="n"/>
      <c r="AH99">
        <f>IFERROR(INDEX(EqTag,_xlfn.AGGREGATE(15,6,(ROW(EqTag)-4)/((EqSys=$D$3)*(EqTag&lt;&gt;"")),ROWS($AH$14:AH99))),"")</f>
        <v/>
      </c>
    </row>
    <row r="100">
      <c r="A100" s="20">
        <f>IF(F100="","",LEFT($D$3,3)&amp;"-"&amp;TEXT(COUNTIF(F$14:F100,"?*"),"00"))</f>
        <v/>
      </c>
      <c r="B100" s="4" t="n"/>
      <c r="C100" s="5">
        <f>IF(B100="","",IFERROR(INDEX(EqTypeCol,MATCH(B100,EqTag,0)),"Tag not in register"))</f>
        <v/>
      </c>
      <c r="D100" s="4" t="n"/>
      <c r="E100" s="4" t="n"/>
      <c r="F100" s="4" t="n"/>
      <c r="G100" s="4" t="n"/>
      <c r="H100" s="4" t="n"/>
      <c r="I100" s="4" t="n"/>
      <c r="J100" s="5">
        <f>_xlfn.TEXTJOIN(CHAR(10),TRUE,IF(G100="","","• "&amp;G100),IF(H100="","","• "&amp;H100),IF(I100="","","• "&amp;I100))</f>
        <v/>
      </c>
      <c r="K100" s="4" t="n"/>
      <c r="L100" s="4" t="n"/>
      <c r="M100" s="4" t="n"/>
      <c r="N100" s="16" t="n"/>
      <c r="O100" s="4" t="n"/>
      <c r="P100" s="16" t="n"/>
      <c r="Q100" s="4" t="n"/>
      <c r="R100" s="16" t="n"/>
      <c r="S100" s="20">
        <f>IF(OR(N100="",P100="",R100=""),"",(--TRIM(LEFT(N100,2)))*(--TRIM(LEFT(P100,2)))*(--TRIM(LEFT(R100,2))))</f>
        <v/>
      </c>
      <c r="T100" s="20">
        <f>IF(OR(N100="",P100="",R100=""),"",INDEX(APGrid,COUNTIF(APS,"&gt;"&amp;(--TRIM(LEFT(N100,2))))*5+COUNTIF(APO,"&gt;"&amp;(--TRIM(LEFT(P100,2))))+1,COUNTIF(APD,"&gt;"&amp;(--TRIM(LEFT(R100,2))))+1))</f>
        <v/>
      </c>
      <c r="U100" s="20">
        <f>IF(S100="","",IF(OR((--TRIM(LEFT(N100,2)))&gt;=SThr,S100&gt;=RPNThr,T100="H"),"Yes","No"))</f>
        <v/>
      </c>
      <c r="V100" s="4" t="n"/>
      <c r="W100" s="4" t="n"/>
      <c r="X100" s="4" t="n"/>
      <c r="Y100" s="29" t="n"/>
      <c r="Z100" s="16" t="n"/>
      <c r="AA100" s="16" t="n"/>
      <c r="AB100" s="16" t="n"/>
      <c r="AC100" s="20">
        <f>IF(OR(Z100="",AA100="",AB100=""),"",(--TRIM(LEFT(Z100,2)))*(--TRIM(LEFT(AA100,2)))*(--TRIM(LEFT(AB100,2))))</f>
        <v/>
      </c>
      <c r="AD100" s="20">
        <f>IF(OR(Z100="",AA100="",AB100=""),"",INDEX(APGrid,COUNTIF(APS,"&gt;"&amp;(--TRIM(LEFT(Z100,2))))*5+COUNTIF(APO,"&gt;"&amp;(--TRIM(LEFT(AA100,2))))+1,COUNTIF(APD,"&gt;"&amp;(--TRIM(LEFT(AB100,2))))+1))</f>
        <v/>
      </c>
      <c r="AE100" s="4" t="n"/>
      <c r="AF100" s="4" t="n"/>
      <c r="AH100">
        <f>IFERROR(INDEX(EqTag,_xlfn.AGGREGATE(15,6,(ROW(EqTag)-4)/((EqSys=$D$3)*(EqTag&lt;&gt;"")),ROWS($AH$14:AH100))),"")</f>
        <v/>
      </c>
    </row>
    <row r="101">
      <c r="A101" s="20">
        <f>IF(F101="","",LEFT($D$3,3)&amp;"-"&amp;TEXT(COUNTIF(F$14:F101,"?*"),"00"))</f>
        <v/>
      </c>
      <c r="B101" s="4" t="n"/>
      <c r="C101" s="5">
        <f>IF(B101="","",IFERROR(INDEX(EqTypeCol,MATCH(B101,EqTag,0)),"Tag not in register"))</f>
        <v/>
      </c>
      <c r="D101" s="4" t="n"/>
      <c r="E101" s="4" t="n"/>
      <c r="F101" s="4" t="n"/>
      <c r="G101" s="4" t="n"/>
      <c r="H101" s="4" t="n"/>
      <c r="I101" s="4" t="n"/>
      <c r="J101" s="5">
        <f>_xlfn.TEXTJOIN(CHAR(10),TRUE,IF(G101="","","• "&amp;G101),IF(H101="","","• "&amp;H101),IF(I101="","","• "&amp;I101))</f>
        <v/>
      </c>
      <c r="K101" s="4" t="n"/>
      <c r="L101" s="4" t="n"/>
      <c r="M101" s="4" t="n"/>
      <c r="N101" s="16" t="n"/>
      <c r="O101" s="4" t="n"/>
      <c r="P101" s="16" t="n"/>
      <c r="Q101" s="4" t="n"/>
      <c r="R101" s="16" t="n"/>
      <c r="S101" s="20">
        <f>IF(OR(N101="",P101="",R101=""),"",(--TRIM(LEFT(N101,2)))*(--TRIM(LEFT(P101,2)))*(--TRIM(LEFT(R101,2))))</f>
        <v/>
      </c>
      <c r="T101" s="20">
        <f>IF(OR(N101="",P101="",R101=""),"",INDEX(APGrid,COUNTIF(APS,"&gt;"&amp;(--TRIM(LEFT(N101,2))))*5+COUNTIF(APO,"&gt;"&amp;(--TRIM(LEFT(P101,2))))+1,COUNTIF(APD,"&gt;"&amp;(--TRIM(LEFT(R101,2))))+1))</f>
        <v/>
      </c>
      <c r="U101" s="20">
        <f>IF(S101="","",IF(OR((--TRIM(LEFT(N101,2)))&gt;=SThr,S101&gt;=RPNThr,T101="H"),"Yes","No"))</f>
        <v/>
      </c>
      <c r="V101" s="4" t="n"/>
      <c r="W101" s="4" t="n"/>
      <c r="X101" s="4" t="n"/>
      <c r="Y101" s="29" t="n"/>
      <c r="Z101" s="16" t="n"/>
      <c r="AA101" s="16" t="n"/>
      <c r="AB101" s="16" t="n"/>
      <c r="AC101" s="20">
        <f>IF(OR(Z101="",AA101="",AB101=""),"",(--TRIM(LEFT(Z101,2)))*(--TRIM(LEFT(AA101,2)))*(--TRIM(LEFT(AB101,2))))</f>
        <v/>
      </c>
      <c r="AD101" s="20">
        <f>IF(OR(Z101="",AA101="",AB101=""),"",INDEX(APGrid,COUNTIF(APS,"&gt;"&amp;(--TRIM(LEFT(Z101,2))))*5+COUNTIF(APO,"&gt;"&amp;(--TRIM(LEFT(AA101,2))))+1,COUNTIF(APD,"&gt;"&amp;(--TRIM(LEFT(AB101,2))))+1))</f>
        <v/>
      </c>
      <c r="AE101" s="4" t="n"/>
      <c r="AF101" s="4" t="n"/>
      <c r="AH101">
        <f>IFERROR(INDEX(EqTag,_xlfn.AGGREGATE(15,6,(ROW(EqTag)-4)/((EqSys=$D$3)*(EqTag&lt;&gt;"")),ROWS($AH$14:AH101))),"")</f>
        <v/>
      </c>
    </row>
    <row r="102">
      <c r="A102" s="20">
        <f>IF(F102="","",LEFT($D$3,3)&amp;"-"&amp;TEXT(COUNTIF(F$14:F102,"?*"),"00"))</f>
        <v/>
      </c>
      <c r="B102" s="4" t="n"/>
      <c r="C102" s="5">
        <f>IF(B102="","",IFERROR(INDEX(EqTypeCol,MATCH(B102,EqTag,0)),"Tag not in register"))</f>
        <v/>
      </c>
      <c r="D102" s="4" t="n"/>
      <c r="E102" s="4" t="n"/>
      <c r="F102" s="4" t="n"/>
      <c r="G102" s="4" t="n"/>
      <c r="H102" s="4" t="n"/>
      <c r="I102" s="4" t="n"/>
      <c r="J102" s="5">
        <f>_xlfn.TEXTJOIN(CHAR(10),TRUE,IF(G102="","","• "&amp;G102),IF(H102="","","• "&amp;H102),IF(I102="","","• "&amp;I102))</f>
        <v/>
      </c>
      <c r="K102" s="4" t="n"/>
      <c r="L102" s="4" t="n"/>
      <c r="M102" s="4" t="n"/>
      <c r="N102" s="16" t="n"/>
      <c r="O102" s="4" t="n"/>
      <c r="P102" s="16" t="n"/>
      <c r="Q102" s="4" t="n"/>
      <c r="R102" s="16" t="n"/>
      <c r="S102" s="20">
        <f>IF(OR(N102="",P102="",R102=""),"",(--TRIM(LEFT(N102,2)))*(--TRIM(LEFT(P102,2)))*(--TRIM(LEFT(R102,2))))</f>
        <v/>
      </c>
      <c r="T102" s="20">
        <f>IF(OR(N102="",P102="",R102=""),"",INDEX(APGrid,COUNTIF(APS,"&gt;"&amp;(--TRIM(LEFT(N102,2))))*5+COUNTIF(APO,"&gt;"&amp;(--TRIM(LEFT(P102,2))))+1,COUNTIF(APD,"&gt;"&amp;(--TRIM(LEFT(R102,2))))+1))</f>
        <v/>
      </c>
      <c r="U102" s="20">
        <f>IF(S102="","",IF(OR((--TRIM(LEFT(N102,2)))&gt;=SThr,S102&gt;=RPNThr,T102="H"),"Yes","No"))</f>
        <v/>
      </c>
      <c r="V102" s="4" t="n"/>
      <c r="W102" s="4" t="n"/>
      <c r="X102" s="4" t="n"/>
      <c r="Y102" s="29" t="n"/>
      <c r="Z102" s="16" t="n"/>
      <c r="AA102" s="16" t="n"/>
      <c r="AB102" s="16" t="n"/>
      <c r="AC102" s="20">
        <f>IF(OR(Z102="",AA102="",AB102=""),"",(--TRIM(LEFT(Z102,2)))*(--TRIM(LEFT(AA102,2)))*(--TRIM(LEFT(AB102,2))))</f>
        <v/>
      </c>
      <c r="AD102" s="20">
        <f>IF(OR(Z102="",AA102="",AB102=""),"",INDEX(APGrid,COUNTIF(APS,"&gt;"&amp;(--TRIM(LEFT(Z102,2))))*5+COUNTIF(APO,"&gt;"&amp;(--TRIM(LEFT(AA102,2))))+1,COUNTIF(APD,"&gt;"&amp;(--TRIM(LEFT(AB102,2))))+1))</f>
        <v/>
      </c>
      <c r="AE102" s="4" t="n"/>
      <c r="AF102" s="4" t="n"/>
      <c r="AH102">
        <f>IFERROR(INDEX(EqTag,_xlfn.AGGREGATE(15,6,(ROW(EqTag)-4)/((EqSys=$D$3)*(EqTag&lt;&gt;"")),ROWS($AH$14:AH102))),"")</f>
        <v/>
      </c>
    </row>
    <row r="103">
      <c r="A103" s="20">
        <f>IF(F103="","",LEFT($D$3,3)&amp;"-"&amp;TEXT(COUNTIF(F$14:F103,"?*"),"00"))</f>
        <v/>
      </c>
      <c r="B103" s="4" t="n"/>
      <c r="C103" s="5">
        <f>IF(B103="","",IFERROR(INDEX(EqTypeCol,MATCH(B103,EqTag,0)),"Tag not in register"))</f>
        <v/>
      </c>
      <c r="D103" s="4" t="n"/>
      <c r="E103" s="4" t="n"/>
      <c r="F103" s="4" t="n"/>
      <c r="G103" s="4" t="n"/>
      <c r="H103" s="4" t="n"/>
      <c r="I103" s="4" t="n"/>
      <c r="J103" s="5">
        <f>_xlfn.TEXTJOIN(CHAR(10),TRUE,IF(G103="","","• "&amp;G103),IF(H103="","","• "&amp;H103),IF(I103="","","• "&amp;I103))</f>
        <v/>
      </c>
      <c r="K103" s="4" t="n"/>
      <c r="L103" s="4" t="n"/>
      <c r="M103" s="4" t="n"/>
      <c r="N103" s="16" t="n"/>
      <c r="O103" s="4" t="n"/>
      <c r="P103" s="16" t="n"/>
      <c r="Q103" s="4" t="n"/>
      <c r="R103" s="16" t="n"/>
      <c r="S103" s="20">
        <f>IF(OR(N103="",P103="",R103=""),"",(--TRIM(LEFT(N103,2)))*(--TRIM(LEFT(P103,2)))*(--TRIM(LEFT(R103,2))))</f>
        <v/>
      </c>
      <c r="T103" s="20">
        <f>IF(OR(N103="",P103="",R103=""),"",INDEX(APGrid,COUNTIF(APS,"&gt;"&amp;(--TRIM(LEFT(N103,2))))*5+COUNTIF(APO,"&gt;"&amp;(--TRIM(LEFT(P103,2))))+1,COUNTIF(APD,"&gt;"&amp;(--TRIM(LEFT(R103,2))))+1))</f>
        <v/>
      </c>
      <c r="U103" s="20">
        <f>IF(S103="","",IF(OR((--TRIM(LEFT(N103,2)))&gt;=SThr,S103&gt;=RPNThr,T103="H"),"Yes","No"))</f>
        <v/>
      </c>
      <c r="V103" s="4" t="n"/>
      <c r="W103" s="4" t="n"/>
      <c r="X103" s="4" t="n"/>
      <c r="Y103" s="29" t="n"/>
      <c r="Z103" s="16" t="n"/>
      <c r="AA103" s="16" t="n"/>
      <c r="AB103" s="16" t="n"/>
      <c r="AC103" s="20">
        <f>IF(OR(Z103="",AA103="",AB103=""),"",(--TRIM(LEFT(Z103,2)))*(--TRIM(LEFT(AA103,2)))*(--TRIM(LEFT(AB103,2))))</f>
        <v/>
      </c>
      <c r="AD103" s="20">
        <f>IF(OR(Z103="",AA103="",AB103=""),"",INDEX(APGrid,COUNTIF(APS,"&gt;"&amp;(--TRIM(LEFT(Z103,2))))*5+COUNTIF(APO,"&gt;"&amp;(--TRIM(LEFT(AA103,2))))+1,COUNTIF(APD,"&gt;"&amp;(--TRIM(LEFT(AB103,2))))+1))</f>
        <v/>
      </c>
      <c r="AE103" s="4" t="n"/>
      <c r="AF103" s="4" t="n"/>
      <c r="AH103">
        <f>IFERROR(INDEX(EqTag,_xlfn.AGGREGATE(15,6,(ROW(EqTag)-4)/((EqSys=$D$3)*(EqTag&lt;&gt;"")),ROWS($AH$14:AH103))),"")</f>
        <v/>
      </c>
    </row>
    <row r="104">
      <c r="A104" s="20">
        <f>IF(F104="","",LEFT($D$3,3)&amp;"-"&amp;TEXT(COUNTIF(F$14:F104,"?*"),"00"))</f>
        <v/>
      </c>
      <c r="B104" s="4" t="n"/>
      <c r="C104" s="5">
        <f>IF(B104="","",IFERROR(INDEX(EqTypeCol,MATCH(B104,EqTag,0)),"Tag not in register"))</f>
        <v/>
      </c>
      <c r="D104" s="4" t="n"/>
      <c r="E104" s="4" t="n"/>
      <c r="F104" s="4" t="n"/>
      <c r="G104" s="4" t="n"/>
      <c r="H104" s="4" t="n"/>
      <c r="I104" s="4" t="n"/>
      <c r="J104" s="5">
        <f>_xlfn.TEXTJOIN(CHAR(10),TRUE,IF(G104="","","• "&amp;G104),IF(H104="","","• "&amp;H104),IF(I104="","","• "&amp;I104))</f>
        <v/>
      </c>
      <c r="K104" s="4" t="n"/>
      <c r="L104" s="4" t="n"/>
      <c r="M104" s="4" t="n"/>
      <c r="N104" s="16" t="n"/>
      <c r="O104" s="4" t="n"/>
      <c r="P104" s="16" t="n"/>
      <c r="Q104" s="4" t="n"/>
      <c r="R104" s="16" t="n"/>
      <c r="S104" s="20">
        <f>IF(OR(N104="",P104="",R104=""),"",(--TRIM(LEFT(N104,2)))*(--TRIM(LEFT(P104,2)))*(--TRIM(LEFT(R104,2))))</f>
        <v/>
      </c>
      <c r="T104" s="20">
        <f>IF(OR(N104="",P104="",R104=""),"",INDEX(APGrid,COUNTIF(APS,"&gt;"&amp;(--TRIM(LEFT(N104,2))))*5+COUNTIF(APO,"&gt;"&amp;(--TRIM(LEFT(P104,2))))+1,COUNTIF(APD,"&gt;"&amp;(--TRIM(LEFT(R104,2))))+1))</f>
        <v/>
      </c>
      <c r="U104" s="20">
        <f>IF(S104="","",IF(OR((--TRIM(LEFT(N104,2)))&gt;=SThr,S104&gt;=RPNThr,T104="H"),"Yes","No"))</f>
        <v/>
      </c>
      <c r="V104" s="4" t="n"/>
      <c r="W104" s="4" t="n"/>
      <c r="X104" s="4" t="n"/>
      <c r="Y104" s="29" t="n"/>
      <c r="Z104" s="16" t="n"/>
      <c r="AA104" s="16" t="n"/>
      <c r="AB104" s="16" t="n"/>
      <c r="AC104" s="20">
        <f>IF(OR(Z104="",AA104="",AB104=""),"",(--TRIM(LEFT(Z104,2)))*(--TRIM(LEFT(AA104,2)))*(--TRIM(LEFT(AB104,2))))</f>
        <v/>
      </c>
      <c r="AD104" s="20">
        <f>IF(OR(Z104="",AA104="",AB104=""),"",INDEX(APGrid,COUNTIF(APS,"&gt;"&amp;(--TRIM(LEFT(Z104,2))))*5+COUNTIF(APO,"&gt;"&amp;(--TRIM(LEFT(AA104,2))))+1,COUNTIF(APD,"&gt;"&amp;(--TRIM(LEFT(AB104,2))))+1))</f>
        <v/>
      </c>
      <c r="AE104" s="4" t="n"/>
      <c r="AF104" s="4" t="n"/>
      <c r="AH104">
        <f>IFERROR(INDEX(EqTag,_xlfn.AGGREGATE(15,6,(ROW(EqTag)-4)/((EqSys=$D$3)*(EqTag&lt;&gt;"")),ROWS($AH$14:AH104))),"")</f>
        <v/>
      </c>
    </row>
    <row r="105">
      <c r="A105" s="20">
        <f>IF(F105="","",LEFT($D$3,3)&amp;"-"&amp;TEXT(COUNTIF(F$14:F105,"?*"),"00"))</f>
        <v/>
      </c>
      <c r="B105" s="4" t="n"/>
      <c r="C105" s="5">
        <f>IF(B105="","",IFERROR(INDEX(EqTypeCol,MATCH(B105,EqTag,0)),"Tag not in register"))</f>
        <v/>
      </c>
      <c r="D105" s="4" t="n"/>
      <c r="E105" s="4" t="n"/>
      <c r="F105" s="4" t="n"/>
      <c r="G105" s="4" t="n"/>
      <c r="H105" s="4" t="n"/>
      <c r="I105" s="4" t="n"/>
      <c r="J105" s="5">
        <f>_xlfn.TEXTJOIN(CHAR(10),TRUE,IF(G105="","","• "&amp;G105),IF(H105="","","• "&amp;H105),IF(I105="","","• "&amp;I105))</f>
        <v/>
      </c>
      <c r="K105" s="4" t="n"/>
      <c r="L105" s="4" t="n"/>
      <c r="M105" s="4" t="n"/>
      <c r="N105" s="16" t="n"/>
      <c r="O105" s="4" t="n"/>
      <c r="P105" s="16" t="n"/>
      <c r="Q105" s="4" t="n"/>
      <c r="R105" s="16" t="n"/>
      <c r="S105" s="20">
        <f>IF(OR(N105="",P105="",R105=""),"",(--TRIM(LEFT(N105,2)))*(--TRIM(LEFT(P105,2)))*(--TRIM(LEFT(R105,2))))</f>
        <v/>
      </c>
      <c r="T105" s="20">
        <f>IF(OR(N105="",P105="",R105=""),"",INDEX(APGrid,COUNTIF(APS,"&gt;"&amp;(--TRIM(LEFT(N105,2))))*5+COUNTIF(APO,"&gt;"&amp;(--TRIM(LEFT(P105,2))))+1,COUNTIF(APD,"&gt;"&amp;(--TRIM(LEFT(R105,2))))+1))</f>
        <v/>
      </c>
      <c r="U105" s="20">
        <f>IF(S105="","",IF(OR((--TRIM(LEFT(N105,2)))&gt;=SThr,S105&gt;=RPNThr,T105="H"),"Yes","No"))</f>
        <v/>
      </c>
      <c r="V105" s="4" t="n"/>
      <c r="W105" s="4" t="n"/>
      <c r="X105" s="4" t="n"/>
      <c r="Y105" s="29" t="n"/>
      <c r="Z105" s="16" t="n"/>
      <c r="AA105" s="16" t="n"/>
      <c r="AB105" s="16" t="n"/>
      <c r="AC105" s="20">
        <f>IF(OR(Z105="",AA105="",AB105=""),"",(--TRIM(LEFT(Z105,2)))*(--TRIM(LEFT(AA105,2)))*(--TRIM(LEFT(AB105,2))))</f>
        <v/>
      </c>
      <c r="AD105" s="20">
        <f>IF(OR(Z105="",AA105="",AB105=""),"",INDEX(APGrid,COUNTIF(APS,"&gt;"&amp;(--TRIM(LEFT(Z105,2))))*5+COUNTIF(APO,"&gt;"&amp;(--TRIM(LEFT(AA105,2))))+1,COUNTIF(APD,"&gt;"&amp;(--TRIM(LEFT(AB105,2))))+1))</f>
        <v/>
      </c>
      <c r="AE105" s="4" t="n"/>
      <c r="AF105" s="4" t="n"/>
      <c r="AH105">
        <f>IFERROR(INDEX(EqTag,_xlfn.AGGREGATE(15,6,(ROW(EqTag)-4)/((EqSys=$D$3)*(EqTag&lt;&gt;"")),ROWS($AH$14:AH105))),"")</f>
        <v/>
      </c>
    </row>
    <row r="106">
      <c r="A106" s="20">
        <f>IF(F106="","",LEFT($D$3,3)&amp;"-"&amp;TEXT(COUNTIF(F$14:F106,"?*"),"00"))</f>
        <v/>
      </c>
      <c r="B106" s="4" t="n"/>
      <c r="C106" s="5">
        <f>IF(B106="","",IFERROR(INDEX(EqTypeCol,MATCH(B106,EqTag,0)),"Tag not in register"))</f>
        <v/>
      </c>
      <c r="D106" s="4" t="n"/>
      <c r="E106" s="4" t="n"/>
      <c r="F106" s="4" t="n"/>
      <c r="G106" s="4" t="n"/>
      <c r="H106" s="4" t="n"/>
      <c r="I106" s="4" t="n"/>
      <c r="J106" s="5">
        <f>_xlfn.TEXTJOIN(CHAR(10),TRUE,IF(G106="","","• "&amp;G106),IF(H106="","","• "&amp;H106),IF(I106="","","• "&amp;I106))</f>
        <v/>
      </c>
      <c r="K106" s="4" t="n"/>
      <c r="L106" s="4" t="n"/>
      <c r="M106" s="4" t="n"/>
      <c r="N106" s="16" t="n"/>
      <c r="O106" s="4" t="n"/>
      <c r="P106" s="16" t="n"/>
      <c r="Q106" s="4" t="n"/>
      <c r="R106" s="16" t="n"/>
      <c r="S106" s="20">
        <f>IF(OR(N106="",P106="",R106=""),"",(--TRIM(LEFT(N106,2)))*(--TRIM(LEFT(P106,2)))*(--TRIM(LEFT(R106,2))))</f>
        <v/>
      </c>
      <c r="T106" s="20">
        <f>IF(OR(N106="",P106="",R106=""),"",INDEX(APGrid,COUNTIF(APS,"&gt;"&amp;(--TRIM(LEFT(N106,2))))*5+COUNTIF(APO,"&gt;"&amp;(--TRIM(LEFT(P106,2))))+1,COUNTIF(APD,"&gt;"&amp;(--TRIM(LEFT(R106,2))))+1))</f>
        <v/>
      </c>
      <c r="U106" s="20">
        <f>IF(S106="","",IF(OR((--TRIM(LEFT(N106,2)))&gt;=SThr,S106&gt;=RPNThr,T106="H"),"Yes","No"))</f>
        <v/>
      </c>
      <c r="V106" s="4" t="n"/>
      <c r="W106" s="4" t="n"/>
      <c r="X106" s="4" t="n"/>
      <c r="Y106" s="29" t="n"/>
      <c r="Z106" s="16" t="n"/>
      <c r="AA106" s="16" t="n"/>
      <c r="AB106" s="16" t="n"/>
      <c r="AC106" s="20">
        <f>IF(OR(Z106="",AA106="",AB106=""),"",(--TRIM(LEFT(Z106,2)))*(--TRIM(LEFT(AA106,2)))*(--TRIM(LEFT(AB106,2))))</f>
        <v/>
      </c>
      <c r="AD106" s="20">
        <f>IF(OR(Z106="",AA106="",AB106=""),"",INDEX(APGrid,COUNTIF(APS,"&gt;"&amp;(--TRIM(LEFT(Z106,2))))*5+COUNTIF(APO,"&gt;"&amp;(--TRIM(LEFT(AA106,2))))+1,COUNTIF(APD,"&gt;"&amp;(--TRIM(LEFT(AB106,2))))+1))</f>
        <v/>
      </c>
      <c r="AE106" s="4" t="n"/>
      <c r="AF106" s="4" t="n"/>
      <c r="AH106">
        <f>IFERROR(INDEX(EqTag,_xlfn.AGGREGATE(15,6,(ROW(EqTag)-4)/((EqSys=$D$3)*(EqTag&lt;&gt;"")),ROWS($AH$14:AH106))),"")</f>
        <v/>
      </c>
    </row>
    <row r="107">
      <c r="A107" s="20">
        <f>IF(F107="","",LEFT($D$3,3)&amp;"-"&amp;TEXT(COUNTIF(F$14:F107,"?*"),"00"))</f>
        <v/>
      </c>
      <c r="B107" s="4" t="n"/>
      <c r="C107" s="5">
        <f>IF(B107="","",IFERROR(INDEX(EqTypeCol,MATCH(B107,EqTag,0)),"Tag not in register"))</f>
        <v/>
      </c>
      <c r="D107" s="4" t="n"/>
      <c r="E107" s="4" t="n"/>
      <c r="F107" s="4" t="n"/>
      <c r="G107" s="4" t="n"/>
      <c r="H107" s="4" t="n"/>
      <c r="I107" s="4" t="n"/>
      <c r="J107" s="5">
        <f>_xlfn.TEXTJOIN(CHAR(10),TRUE,IF(G107="","","• "&amp;G107),IF(H107="","","• "&amp;H107),IF(I107="","","• "&amp;I107))</f>
        <v/>
      </c>
      <c r="K107" s="4" t="n"/>
      <c r="L107" s="4" t="n"/>
      <c r="M107" s="4" t="n"/>
      <c r="N107" s="16" t="n"/>
      <c r="O107" s="4" t="n"/>
      <c r="P107" s="16" t="n"/>
      <c r="Q107" s="4" t="n"/>
      <c r="R107" s="16" t="n"/>
      <c r="S107" s="20">
        <f>IF(OR(N107="",P107="",R107=""),"",(--TRIM(LEFT(N107,2)))*(--TRIM(LEFT(P107,2)))*(--TRIM(LEFT(R107,2))))</f>
        <v/>
      </c>
      <c r="T107" s="20">
        <f>IF(OR(N107="",P107="",R107=""),"",INDEX(APGrid,COUNTIF(APS,"&gt;"&amp;(--TRIM(LEFT(N107,2))))*5+COUNTIF(APO,"&gt;"&amp;(--TRIM(LEFT(P107,2))))+1,COUNTIF(APD,"&gt;"&amp;(--TRIM(LEFT(R107,2))))+1))</f>
        <v/>
      </c>
      <c r="U107" s="20">
        <f>IF(S107="","",IF(OR((--TRIM(LEFT(N107,2)))&gt;=SThr,S107&gt;=RPNThr,T107="H"),"Yes","No"))</f>
        <v/>
      </c>
      <c r="V107" s="4" t="n"/>
      <c r="W107" s="4" t="n"/>
      <c r="X107" s="4" t="n"/>
      <c r="Y107" s="29" t="n"/>
      <c r="Z107" s="16" t="n"/>
      <c r="AA107" s="16" t="n"/>
      <c r="AB107" s="16" t="n"/>
      <c r="AC107" s="20">
        <f>IF(OR(Z107="",AA107="",AB107=""),"",(--TRIM(LEFT(Z107,2)))*(--TRIM(LEFT(AA107,2)))*(--TRIM(LEFT(AB107,2))))</f>
        <v/>
      </c>
      <c r="AD107" s="20">
        <f>IF(OR(Z107="",AA107="",AB107=""),"",INDEX(APGrid,COUNTIF(APS,"&gt;"&amp;(--TRIM(LEFT(Z107,2))))*5+COUNTIF(APO,"&gt;"&amp;(--TRIM(LEFT(AA107,2))))+1,COUNTIF(APD,"&gt;"&amp;(--TRIM(LEFT(AB107,2))))+1))</f>
        <v/>
      </c>
      <c r="AE107" s="4" t="n"/>
      <c r="AF107" s="4" t="n"/>
      <c r="AH107">
        <f>IFERROR(INDEX(EqTag,_xlfn.AGGREGATE(15,6,(ROW(EqTag)-4)/((EqSys=$D$3)*(EqTag&lt;&gt;"")),ROWS($AH$14:AH107))),"")</f>
        <v/>
      </c>
    </row>
    <row r="108">
      <c r="A108" s="20">
        <f>IF(F108="","",LEFT($D$3,3)&amp;"-"&amp;TEXT(COUNTIF(F$14:F108,"?*"),"00"))</f>
        <v/>
      </c>
      <c r="B108" s="4" t="n"/>
      <c r="C108" s="5">
        <f>IF(B108="","",IFERROR(INDEX(EqTypeCol,MATCH(B108,EqTag,0)),"Tag not in register"))</f>
        <v/>
      </c>
      <c r="D108" s="4" t="n"/>
      <c r="E108" s="4" t="n"/>
      <c r="F108" s="4" t="n"/>
      <c r="G108" s="4" t="n"/>
      <c r="H108" s="4" t="n"/>
      <c r="I108" s="4" t="n"/>
      <c r="J108" s="5">
        <f>_xlfn.TEXTJOIN(CHAR(10),TRUE,IF(G108="","","• "&amp;G108),IF(H108="","","• "&amp;H108),IF(I108="","","• "&amp;I108))</f>
        <v/>
      </c>
      <c r="K108" s="4" t="n"/>
      <c r="L108" s="4" t="n"/>
      <c r="M108" s="4" t="n"/>
      <c r="N108" s="16" t="n"/>
      <c r="O108" s="4" t="n"/>
      <c r="P108" s="16" t="n"/>
      <c r="Q108" s="4" t="n"/>
      <c r="R108" s="16" t="n"/>
      <c r="S108" s="20">
        <f>IF(OR(N108="",P108="",R108=""),"",(--TRIM(LEFT(N108,2)))*(--TRIM(LEFT(P108,2)))*(--TRIM(LEFT(R108,2))))</f>
        <v/>
      </c>
      <c r="T108" s="20">
        <f>IF(OR(N108="",P108="",R108=""),"",INDEX(APGrid,COUNTIF(APS,"&gt;"&amp;(--TRIM(LEFT(N108,2))))*5+COUNTIF(APO,"&gt;"&amp;(--TRIM(LEFT(P108,2))))+1,COUNTIF(APD,"&gt;"&amp;(--TRIM(LEFT(R108,2))))+1))</f>
        <v/>
      </c>
      <c r="U108" s="20">
        <f>IF(S108="","",IF(OR((--TRIM(LEFT(N108,2)))&gt;=SThr,S108&gt;=RPNThr,T108="H"),"Yes","No"))</f>
        <v/>
      </c>
      <c r="V108" s="4" t="n"/>
      <c r="W108" s="4" t="n"/>
      <c r="X108" s="4" t="n"/>
      <c r="Y108" s="29" t="n"/>
      <c r="Z108" s="16" t="n"/>
      <c r="AA108" s="16" t="n"/>
      <c r="AB108" s="16" t="n"/>
      <c r="AC108" s="20">
        <f>IF(OR(Z108="",AA108="",AB108=""),"",(--TRIM(LEFT(Z108,2)))*(--TRIM(LEFT(AA108,2)))*(--TRIM(LEFT(AB108,2))))</f>
        <v/>
      </c>
      <c r="AD108" s="20">
        <f>IF(OR(Z108="",AA108="",AB108=""),"",INDEX(APGrid,COUNTIF(APS,"&gt;"&amp;(--TRIM(LEFT(Z108,2))))*5+COUNTIF(APO,"&gt;"&amp;(--TRIM(LEFT(AA108,2))))+1,COUNTIF(APD,"&gt;"&amp;(--TRIM(LEFT(AB108,2))))+1))</f>
        <v/>
      </c>
      <c r="AE108" s="4" t="n"/>
      <c r="AF108" s="4" t="n"/>
      <c r="AH108">
        <f>IFERROR(INDEX(EqTag,_xlfn.AGGREGATE(15,6,(ROW(EqTag)-4)/((EqSys=$D$3)*(EqTag&lt;&gt;"")),ROWS($AH$14:AH108))),"")</f>
        <v/>
      </c>
    </row>
    <row r="109">
      <c r="A109" s="20">
        <f>IF(F109="","",LEFT($D$3,3)&amp;"-"&amp;TEXT(COUNTIF(F$14:F109,"?*"),"00"))</f>
        <v/>
      </c>
      <c r="B109" s="4" t="n"/>
      <c r="C109" s="5">
        <f>IF(B109="","",IFERROR(INDEX(EqTypeCol,MATCH(B109,EqTag,0)),"Tag not in register"))</f>
        <v/>
      </c>
      <c r="D109" s="4" t="n"/>
      <c r="E109" s="4" t="n"/>
      <c r="F109" s="4" t="n"/>
      <c r="G109" s="4" t="n"/>
      <c r="H109" s="4" t="n"/>
      <c r="I109" s="4" t="n"/>
      <c r="J109" s="5">
        <f>_xlfn.TEXTJOIN(CHAR(10),TRUE,IF(G109="","","• "&amp;G109),IF(H109="","","• "&amp;H109),IF(I109="","","• "&amp;I109))</f>
        <v/>
      </c>
      <c r="K109" s="4" t="n"/>
      <c r="L109" s="4" t="n"/>
      <c r="M109" s="4" t="n"/>
      <c r="N109" s="16" t="n"/>
      <c r="O109" s="4" t="n"/>
      <c r="P109" s="16" t="n"/>
      <c r="Q109" s="4" t="n"/>
      <c r="R109" s="16" t="n"/>
      <c r="S109" s="20">
        <f>IF(OR(N109="",P109="",R109=""),"",(--TRIM(LEFT(N109,2)))*(--TRIM(LEFT(P109,2)))*(--TRIM(LEFT(R109,2))))</f>
        <v/>
      </c>
      <c r="T109" s="20">
        <f>IF(OR(N109="",P109="",R109=""),"",INDEX(APGrid,COUNTIF(APS,"&gt;"&amp;(--TRIM(LEFT(N109,2))))*5+COUNTIF(APO,"&gt;"&amp;(--TRIM(LEFT(P109,2))))+1,COUNTIF(APD,"&gt;"&amp;(--TRIM(LEFT(R109,2))))+1))</f>
        <v/>
      </c>
      <c r="U109" s="20">
        <f>IF(S109="","",IF(OR((--TRIM(LEFT(N109,2)))&gt;=SThr,S109&gt;=RPNThr,T109="H"),"Yes","No"))</f>
        <v/>
      </c>
      <c r="V109" s="4" t="n"/>
      <c r="W109" s="4" t="n"/>
      <c r="X109" s="4" t="n"/>
      <c r="Y109" s="29" t="n"/>
      <c r="Z109" s="16" t="n"/>
      <c r="AA109" s="16" t="n"/>
      <c r="AB109" s="16" t="n"/>
      <c r="AC109" s="20">
        <f>IF(OR(Z109="",AA109="",AB109=""),"",(--TRIM(LEFT(Z109,2)))*(--TRIM(LEFT(AA109,2)))*(--TRIM(LEFT(AB109,2))))</f>
        <v/>
      </c>
      <c r="AD109" s="20">
        <f>IF(OR(Z109="",AA109="",AB109=""),"",INDEX(APGrid,COUNTIF(APS,"&gt;"&amp;(--TRIM(LEFT(Z109,2))))*5+COUNTIF(APO,"&gt;"&amp;(--TRIM(LEFT(AA109,2))))+1,COUNTIF(APD,"&gt;"&amp;(--TRIM(LEFT(AB109,2))))+1))</f>
        <v/>
      </c>
      <c r="AE109" s="4" t="n"/>
      <c r="AF109" s="4" t="n"/>
      <c r="AH109">
        <f>IFERROR(INDEX(EqTag,_xlfn.AGGREGATE(15,6,(ROW(EqTag)-4)/((EqSys=$D$3)*(EqTag&lt;&gt;"")),ROWS($AH$14:AH109))),"")</f>
        <v/>
      </c>
    </row>
    <row r="110">
      <c r="A110" s="20">
        <f>IF(F110="","",LEFT($D$3,3)&amp;"-"&amp;TEXT(COUNTIF(F$14:F110,"?*"),"00"))</f>
        <v/>
      </c>
      <c r="B110" s="4" t="n"/>
      <c r="C110" s="5">
        <f>IF(B110="","",IFERROR(INDEX(EqTypeCol,MATCH(B110,EqTag,0)),"Tag not in register"))</f>
        <v/>
      </c>
      <c r="D110" s="4" t="n"/>
      <c r="E110" s="4" t="n"/>
      <c r="F110" s="4" t="n"/>
      <c r="G110" s="4" t="n"/>
      <c r="H110" s="4" t="n"/>
      <c r="I110" s="4" t="n"/>
      <c r="J110" s="5">
        <f>_xlfn.TEXTJOIN(CHAR(10),TRUE,IF(G110="","","• "&amp;G110),IF(H110="","","• "&amp;H110),IF(I110="","","• "&amp;I110))</f>
        <v/>
      </c>
      <c r="K110" s="4" t="n"/>
      <c r="L110" s="4" t="n"/>
      <c r="M110" s="4" t="n"/>
      <c r="N110" s="16" t="n"/>
      <c r="O110" s="4" t="n"/>
      <c r="P110" s="16" t="n"/>
      <c r="Q110" s="4" t="n"/>
      <c r="R110" s="16" t="n"/>
      <c r="S110" s="20">
        <f>IF(OR(N110="",P110="",R110=""),"",(--TRIM(LEFT(N110,2)))*(--TRIM(LEFT(P110,2)))*(--TRIM(LEFT(R110,2))))</f>
        <v/>
      </c>
      <c r="T110" s="20">
        <f>IF(OR(N110="",P110="",R110=""),"",INDEX(APGrid,COUNTIF(APS,"&gt;"&amp;(--TRIM(LEFT(N110,2))))*5+COUNTIF(APO,"&gt;"&amp;(--TRIM(LEFT(P110,2))))+1,COUNTIF(APD,"&gt;"&amp;(--TRIM(LEFT(R110,2))))+1))</f>
        <v/>
      </c>
      <c r="U110" s="20">
        <f>IF(S110="","",IF(OR((--TRIM(LEFT(N110,2)))&gt;=SThr,S110&gt;=RPNThr,T110="H"),"Yes","No"))</f>
        <v/>
      </c>
      <c r="V110" s="4" t="n"/>
      <c r="W110" s="4" t="n"/>
      <c r="X110" s="4" t="n"/>
      <c r="Y110" s="29" t="n"/>
      <c r="Z110" s="16" t="n"/>
      <c r="AA110" s="16" t="n"/>
      <c r="AB110" s="16" t="n"/>
      <c r="AC110" s="20">
        <f>IF(OR(Z110="",AA110="",AB110=""),"",(--TRIM(LEFT(Z110,2)))*(--TRIM(LEFT(AA110,2)))*(--TRIM(LEFT(AB110,2))))</f>
        <v/>
      </c>
      <c r="AD110" s="20">
        <f>IF(OR(Z110="",AA110="",AB110=""),"",INDEX(APGrid,COUNTIF(APS,"&gt;"&amp;(--TRIM(LEFT(Z110,2))))*5+COUNTIF(APO,"&gt;"&amp;(--TRIM(LEFT(AA110,2))))+1,COUNTIF(APD,"&gt;"&amp;(--TRIM(LEFT(AB110,2))))+1))</f>
        <v/>
      </c>
      <c r="AE110" s="4" t="n"/>
      <c r="AF110" s="4" t="n"/>
      <c r="AH110">
        <f>IFERROR(INDEX(EqTag,_xlfn.AGGREGATE(15,6,(ROW(EqTag)-4)/((EqSys=$D$3)*(EqTag&lt;&gt;"")),ROWS($AH$14:AH110))),"")</f>
        <v/>
      </c>
    </row>
    <row r="111">
      <c r="A111" s="20">
        <f>IF(F111="","",LEFT($D$3,3)&amp;"-"&amp;TEXT(COUNTIF(F$14:F111,"?*"),"00"))</f>
        <v/>
      </c>
      <c r="B111" s="4" t="n"/>
      <c r="C111" s="5">
        <f>IF(B111="","",IFERROR(INDEX(EqTypeCol,MATCH(B111,EqTag,0)),"Tag not in register"))</f>
        <v/>
      </c>
      <c r="D111" s="4" t="n"/>
      <c r="E111" s="4" t="n"/>
      <c r="F111" s="4" t="n"/>
      <c r="G111" s="4" t="n"/>
      <c r="H111" s="4" t="n"/>
      <c r="I111" s="4" t="n"/>
      <c r="J111" s="5">
        <f>_xlfn.TEXTJOIN(CHAR(10),TRUE,IF(G111="","","• "&amp;G111),IF(H111="","","• "&amp;H111),IF(I111="","","• "&amp;I111))</f>
        <v/>
      </c>
      <c r="K111" s="4" t="n"/>
      <c r="L111" s="4" t="n"/>
      <c r="M111" s="4" t="n"/>
      <c r="N111" s="16" t="n"/>
      <c r="O111" s="4" t="n"/>
      <c r="P111" s="16" t="n"/>
      <c r="Q111" s="4" t="n"/>
      <c r="R111" s="16" t="n"/>
      <c r="S111" s="20">
        <f>IF(OR(N111="",P111="",R111=""),"",(--TRIM(LEFT(N111,2)))*(--TRIM(LEFT(P111,2)))*(--TRIM(LEFT(R111,2))))</f>
        <v/>
      </c>
      <c r="T111" s="20">
        <f>IF(OR(N111="",P111="",R111=""),"",INDEX(APGrid,COUNTIF(APS,"&gt;"&amp;(--TRIM(LEFT(N111,2))))*5+COUNTIF(APO,"&gt;"&amp;(--TRIM(LEFT(P111,2))))+1,COUNTIF(APD,"&gt;"&amp;(--TRIM(LEFT(R111,2))))+1))</f>
        <v/>
      </c>
      <c r="U111" s="20">
        <f>IF(S111="","",IF(OR((--TRIM(LEFT(N111,2)))&gt;=SThr,S111&gt;=RPNThr,T111="H"),"Yes","No"))</f>
        <v/>
      </c>
      <c r="V111" s="4" t="n"/>
      <c r="W111" s="4" t="n"/>
      <c r="X111" s="4" t="n"/>
      <c r="Y111" s="29" t="n"/>
      <c r="Z111" s="16" t="n"/>
      <c r="AA111" s="16" t="n"/>
      <c r="AB111" s="16" t="n"/>
      <c r="AC111" s="20">
        <f>IF(OR(Z111="",AA111="",AB111=""),"",(--TRIM(LEFT(Z111,2)))*(--TRIM(LEFT(AA111,2)))*(--TRIM(LEFT(AB111,2))))</f>
        <v/>
      </c>
      <c r="AD111" s="20">
        <f>IF(OR(Z111="",AA111="",AB111=""),"",INDEX(APGrid,COUNTIF(APS,"&gt;"&amp;(--TRIM(LEFT(Z111,2))))*5+COUNTIF(APO,"&gt;"&amp;(--TRIM(LEFT(AA111,2))))+1,COUNTIF(APD,"&gt;"&amp;(--TRIM(LEFT(AB111,2))))+1))</f>
        <v/>
      </c>
      <c r="AE111" s="4" t="n"/>
      <c r="AF111" s="4" t="n"/>
      <c r="AH111">
        <f>IFERROR(INDEX(EqTag,_xlfn.AGGREGATE(15,6,(ROW(EqTag)-4)/((EqSys=$D$3)*(EqTag&lt;&gt;"")),ROWS($AH$14:AH111))),"")</f>
        <v/>
      </c>
    </row>
    <row r="112">
      <c r="A112" s="20">
        <f>IF(F112="","",LEFT($D$3,3)&amp;"-"&amp;TEXT(COUNTIF(F$14:F112,"?*"),"00"))</f>
        <v/>
      </c>
      <c r="B112" s="4" t="n"/>
      <c r="C112" s="5">
        <f>IF(B112="","",IFERROR(INDEX(EqTypeCol,MATCH(B112,EqTag,0)),"Tag not in register"))</f>
        <v/>
      </c>
      <c r="D112" s="4" t="n"/>
      <c r="E112" s="4" t="n"/>
      <c r="F112" s="4" t="n"/>
      <c r="G112" s="4" t="n"/>
      <c r="H112" s="4" t="n"/>
      <c r="I112" s="4" t="n"/>
      <c r="J112" s="5">
        <f>_xlfn.TEXTJOIN(CHAR(10),TRUE,IF(G112="","","• "&amp;G112),IF(H112="","","• "&amp;H112),IF(I112="","","• "&amp;I112))</f>
        <v/>
      </c>
      <c r="K112" s="4" t="n"/>
      <c r="L112" s="4" t="n"/>
      <c r="M112" s="4" t="n"/>
      <c r="N112" s="16" t="n"/>
      <c r="O112" s="4" t="n"/>
      <c r="P112" s="16" t="n"/>
      <c r="Q112" s="4" t="n"/>
      <c r="R112" s="16" t="n"/>
      <c r="S112" s="20">
        <f>IF(OR(N112="",P112="",R112=""),"",(--TRIM(LEFT(N112,2)))*(--TRIM(LEFT(P112,2)))*(--TRIM(LEFT(R112,2))))</f>
        <v/>
      </c>
      <c r="T112" s="20">
        <f>IF(OR(N112="",P112="",R112=""),"",INDEX(APGrid,COUNTIF(APS,"&gt;"&amp;(--TRIM(LEFT(N112,2))))*5+COUNTIF(APO,"&gt;"&amp;(--TRIM(LEFT(P112,2))))+1,COUNTIF(APD,"&gt;"&amp;(--TRIM(LEFT(R112,2))))+1))</f>
        <v/>
      </c>
      <c r="U112" s="20">
        <f>IF(S112="","",IF(OR((--TRIM(LEFT(N112,2)))&gt;=SThr,S112&gt;=RPNThr,T112="H"),"Yes","No"))</f>
        <v/>
      </c>
      <c r="V112" s="4" t="n"/>
      <c r="W112" s="4" t="n"/>
      <c r="X112" s="4" t="n"/>
      <c r="Y112" s="29" t="n"/>
      <c r="Z112" s="16" t="n"/>
      <c r="AA112" s="16" t="n"/>
      <c r="AB112" s="16" t="n"/>
      <c r="AC112" s="20">
        <f>IF(OR(Z112="",AA112="",AB112=""),"",(--TRIM(LEFT(Z112,2)))*(--TRIM(LEFT(AA112,2)))*(--TRIM(LEFT(AB112,2))))</f>
        <v/>
      </c>
      <c r="AD112" s="20">
        <f>IF(OR(Z112="",AA112="",AB112=""),"",INDEX(APGrid,COUNTIF(APS,"&gt;"&amp;(--TRIM(LEFT(Z112,2))))*5+COUNTIF(APO,"&gt;"&amp;(--TRIM(LEFT(AA112,2))))+1,COUNTIF(APD,"&gt;"&amp;(--TRIM(LEFT(AB112,2))))+1))</f>
        <v/>
      </c>
      <c r="AE112" s="4" t="n"/>
      <c r="AF112" s="4" t="n"/>
      <c r="AH112">
        <f>IFERROR(INDEX(EqTag,_xlfn.AGGREGATE(15,6,(ROW(EqTag)-4)/((EqSys=$D$3)*(EqTag&lt;&gt;"")),ROWS($AH$14:AH112))),"")</f>
        <v/>
      </c>
    </row>
    <row r="113">
      <c r="A113" s="20">
        <f>IF(F113="","",LEFT($D$3,3)&amp;"-"&amp;TEXT(COUNTIF(F$14:F113,"?*"),"00"))</f>
        <v/>
      </c>
      <c r="B113" s="4" t="n"/>
      <c r="C113" s="5">
        <f>IF(B113="","",IFERROR(INDEX(EqTypeCol,MATCH(B113,EqTag,0)),"Tag not in register"))</f>
        <v/>
      </c>
      <c r="D113" s="4" t="n"/>
      <c r="E113" s="4" t="n"/>
      <c r="F113" s="4" t="n"/>
      <c r="G113" s="4" t="n"/>
      <c r="H113" s="4" t="n"/>
      <c r="I113" s="4" t="n"/>
      <c r="J113" s="5">
        <f>_xlfn.TEXTJOIN(CHAR(10),TRUE,IF(G113="","","• "&amp;G113),IF(H113="","","• "&amp;H113),IF(I113="","","• "&amp;I113))</f>
        <v/>
      </c>
      <c r="K113" s="4" t="n"/>
      <c r="L113" s="4" t="n"/>
      <c r="M113" s="4" t="n"/>
      <c r="N113" s="16" t="n"/>
      <c r="O113" s="4" t="n"/>
      <c r="P113" s="16" t="n"/>
      <c r="Q113" s="4" t="n"/>
      <c r="R113" s="16" t="n"/>
      <c r="S113" s="20">
        <f>IF(OR(N113="",P113="",R113=""),"",(--TRIM(LEFT(N113,2)))*(--TRIM(LEFT(P113,2)))*(--TRIM(LEFT(R113,2))))</f>
        <v/>
      </c>
      <c r="T113" s="20">
        <f>IF(OR(N113="",P113="",R113=""),"",INDEX(APGrid,COUNTIF(APS,"&gt;"&amp;(--TRIM(LEFT(N113,2))))*5+COUNTIF(APO,"&gt;"&amp;(--TRIM(LEFT(P113,2))))+1,COUNTIF(APD,"&gt;"&amp;(--TRIM(LEFT(R113,2))))+1))</f>
        <v/>
      </c>
      <c r="U113" s="20">
        <f>IF(S113="","",IF(OR((--TRIM(LEFT(N113,2)))&gt;=SThr,S113&gt;=RPNThr,T113="H"),"Yes","No"))</f>
        <v/>
      </c>
      <c r="V113" s="4" t="n"/>
      <c r="W113" s="4" t="n"/>
      <c r="X113" s="4" t="n"/>
      <c r="Y113" s="29" t="n"/>
      <c r="Z113" s="16" t="n"/>
      <c r="AA113" s="16" t="n"/>
      <c r="AB113" s="16" t="n"/>
      <c r="AC113" s="20">
        <f>IF(OR(Z113="",AA113="",AB113=""),"",(--TRIM(LEFT(Z113,2)))*(--TRIM(LEFT(AA113,2)))*(--TRIM(LEFT(AB113,2))))</f>
        <v/>
      </c>
      <c r="AD113" s="20">
        <f>IF(OR(Z113="",AA113="",AB113=""),"",INDEX(APGrid,COUNTIF(APS,"&gt;"&amp;(--TRIM(LEFT(Z113,2))))*5+COUNTIF(APO,"&gt;"&amp;(--TRIM(LEFT(AA113,2))))+1,COUNTIF(APD,"&gt;"&amp;(--TRIM(LEFT(AB113,2))))+1))</f>
        <v/>
      </c>
      <c r="AE113" s="4" t="n"/>
      <c r="AF113" s="4" t="n"/>
      <c r="AH113">
        <f>IFERROR(INDEX(EqTag,_xlfn.AGGREGATE(15,6,(ROW(EqTag)-4)/((EqSys=$D$3)*(EqTag&lt;&gt;"")),ROWS($AH$14:AH113))),"")</f>
        <v/>
      </c>
    </row>
  </sheetData>
  <mergeCells count="23">
    <mergeCell ref="D3:J3"/>
    <mergeCell ref="J12:M12"/>
    <mergeCell ref="A3:C3"/>
    <mergeCell ref="A11:N11"/>
    <mergeCell ref="A12:F12"/>
    <mergeCell ref="L3:M3"/>
    <mergeCell ref="AE12:AF12"/>
    <mergeCell ref="D6:N6"/>
    <mergeCell ref="A5:C5"/>
    <mergeCell ref="N12:U12"/>
    <mergeCell ref="A8:C8"/>
    <mergeCell ref="V12:Y12"/>
    <mergeCell ref="A4:C4"/>
    <mergeCell ref="Z12:AD12"/>
    <mergeCell ref="D7:N7"/>
    <mergeCell ref="A9:C9"/>
    <mergeCell ref="G12:I12"/>
    <mergeCell ref="D4:N4"/>
    <mergeCell ref="D9:N9"/>
    <mergeCell ref="D8:N8"/>
    <mergeCell ref="A6:C6"/>
    <mergeCell ref="D5:N5"/>
    <mergeCell ref="A7:C7"/>
  </mergeCells>
  <conditionalFormatting sqref="T14:T113">
    <cfRule type="expression" priority="1" dxfId="0">
      <formula>T14="H"</formula>
    </cfRule>
    <cfRule type="expression" priority="3" dxfId="1">
      <formula>T14="M"</formula>
    </cfRule>
    <cfRule type="expression" priority="5" dxfId="2">
      <formula>T14="L"</formula>
    </cfRule>
  </conditionalFormatting>
  <conditionalFormatting sqref="AD14:AD113">
    <cfRule type="expression" priority="2" dxfId="0">
      <formula>AD14="H"</formula>
    </cfRule>
    <cfRule type="expression" priority="4" dxfId="1">
      <formula>AD14="M"</formula>
    </cfRule>
    <cfRule type="expression" priority="6" dxfId="2">
      <formula>AD14="L"</formula>
    </cfRule>
  </conditionalFormatting>
  <conditionalFormatting sqref="U14:U113">
    <cfRule type="expression" priority="7" dxfId="3">
      <formula>U14="Yes"</formula>
    </cfRule>
  </conditionalFormatting>
  <conditionalFormatting sqref="S14:S113">
    <cfRule type="expression" priority="8" dxfId="4">
      <formula>AND(ISNUMBER(S14),S14&gt;=RPNThr)</formula>
    </cfRule>
  </conditionalFormatting>
  <conditionalFormatting sqref="AC14:AC113">
    <cfRule type="expression" priority="9" dxfId="4">
      <formula>AND(ISNUMBER(AC14),AC14&gt;=RPNThr)</formula>
    </cfRule>
  </conditionalFormatting>
  <dataValidations count="13">
    <dataValidation sqref="D3" showDropDown="0" showInputMessage="1" showErrorMessage="1" allowBlank="1" promptTitle="Select" prompt="Choose the system analysed on this sheet" type="list">
      <formula1>=SystemList</formula1>
    </dataValidation>
    <dataValidation sqref="B14:B113" showDropDown="0" showInputMessage="1" showErrorMessage="1" allowBlank="1" errorTitle="Not in list" error="Entry is not in the list – it will be accepted as free text." promptTitle="Select" prompt="Equipment tags of the selected system (from the Equipment Register)" type="list" errorStyle="information">
      <formula1>=OFFSET($AH$14,0,0,MAX(1,COUNTIFS(EqSys,$D$3,EqTag,"?*")),1)</formula1>
    </dataValidation>
    <dataValidation sqref="D14:D113" showDropDown="0" showInputMessage="1" showErrorMessage="1" allowBlank="1" errorTitle="Not in list" error="Entry is not in the list – it will be accepted as free text." promptTitle="Select" prompt="Components for this equipment type – or type your own" type="list" errorStyle="information">
      <formula1>=OFFSET(CompStart,MATCH($C14,CompType,0)-1,0,MAX(1,COUNTIF(CompType,$C14)),1)</formula1>
    </dataValidation>
    <dataValidation sqref="F14:F113" showDropDown="0" showInputMessage="1" showErrorMessage="1" allowBlank="1" errorTitle="Not in list" error="Entry is not in the list – it will be accepted as free text." promptTitle="Select" prompt="Failure modes for this equipment type – or type your own" type="list" errorStyle="information">
      <formula1>=OFFSET(FMStart,MATCH($C14,FMType,0)-1,0,MAX(1,COUNTIF(FMType,$C14)),1)</formula1>
    </dataValidation>
    <dataValidation sqref="G14:I113" showDropDown="0" showInputMessage="1" showErrorMessage="1" allowBlank="1" errorTitle="Not in list" error="Entry is not in the list – it will be accepted as free text." promptTitle="Select" prompt="Failure cause / mechanism – or type your own" type="list" errorStyle="information">
      <formula1>=MechList</formula1>
    </dataValidation>
    <dataValidation sqref="Q14:Q113" showDropDown="0" showInputMessage="1" showErrorMessage="1" allowBlank="1" errorTitle="Not in list" error="Entry is not in the list – it will be accepted as free text." promptTitle="Select" prompt="Detection method – or type your own" type="list" errorStyle="information">
      <formula1>=DetList</formula1>
    </dataValidation>
    <dataValidation sqref="W14:W113" showDropDown="0" showInputMessage="0" showErrorMessage="1" allowBlank="1" errorTitle="Not in list" error="Entry is not in the list – it will be accepted as free text." type="list" errorStyle="information">
      <formula1>=TaskList</formula1>
    </dataValidation>
    <dataValidation sqref="N14:N113" showDropDown="0" showInputMessage="0" showErrorMessage="1" allowBlank="1" type="list">
      <formula1>=SevList</formula1>
    </dataValidation>
    <dataValidation sqref="P14:P113" showDropDown="0" showInputMessage="0" showErrorMessage="1" allowBlank="1" type="list">
      <formula1>=OccList</formula1>
    </dataValidation>
    <dataValidation sqref="R14:R113" showDropDown="0" showInputMessage="0" showErrorMessage="1" allowBlank="1" type="list">
      <formula1>=DetScaleList</formula1>
    </dataValidation>
    <dataValidation sqref="Z14:Z113" showDropDown="0" showInputMessage="0" showErrorMessage="1" allowBlank="1" type="list">
      <formula1>=SevList</formula1>
    </dataValidation>
    <dataValidation sqref="AA14:AA113" showDropDown="0" showInputMessage="0" showErrorMessage="1" allowBlank="1" type="list">
      <formula1>=OccList</formula1>
    </dataValidation>
    <dataValidation sqref="AB14:AB113" showDropDown="0" showInputMessage="0" showErrorMessage="1" allowBlank="1" type="list">
      <formula1>=DetScaleList</formula1>
    </dataValidation>
  </dataValidations>
  <pageMargins left="0.75" right="0.75" top="1" bottom="1" header="0.5" footer="0.5"/>
  <pageSetup orientation="landscape" paperSize="8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AH113"/>
  <sheetViews>
    <sheetView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22" customWidth="1" min="4" max="4"/>
    <col width="26" customWidth="1" min="5" max="5"/>
    <col width="26" customWidth="1" min="6" max="6"/>
    <col outlineLevel="1" width="26" customWidth="1" min="7" max="9"/>
    <col width="38" customWidth="1" min="10" max="10"/>
    <col width="28" customWidth="1" min="11" max="11"/>
    <col width="28" customWidth="1" min="12" max="12"/>
    <col width="32" customWidth="1" min="13" max="13"/>
    <col width="18" customWidth="1" min="14" max="14"/>
    <col width="30" customWidth="1" min="15" max="15"/>
    <col width="18" customWidth="1" min="16" max="16"/>
    <col width="28" customWidth="1" min="17" max="17"/>
    <col width="18" customWidth="1" min="18" max="18"/>
    <col width="7" customWidth="1" min="19" max="19"/>
    <col width="6" customWidth="1" min="20" max="20"/>
    <col width="9" customWidth="1" min="21" max="21"/>
    <col width="34" customWidth="1" min="22" max="22"/>
    <col width="22" customWidth="1" min="23" max="23"/>
    <col width="14" customWidth="1" min="24" max="24"/>
    <col width="12" customWidth="1" min="25" max="25"/>
    <col width="18" customWidth="1" min="26" max="26"/>
    <col width="18" customWidth="1" min="27" max="27"/>
    <col width="18" customWidth="1" min="28" max="28"/>
    <col width="7" customWidth="1" min="29" max="29"/>
    <col width="6" customWidth="1" min="30" max="30"/>
    <col width="12" customWidth="1" min="31" max="31"/>
    <col width="24" customWidth="1" min="32" max="32"/>
    <col hidden="1" width="13" customWidth="1" min="34" max="34"/>
  </cols>
  <sheetData>
    <row r="1">
      <c r="A1" s="22" t="inlineStr">
        <is>
          <t>FMECA WORKSHEET</t>
        </is>
      </c>
      <c r="F1" s="23">
        <f>Cover!B7</f>
        <v/>
      </c>
    </row>
    <row r="3">
      <c r="A3" s="24" t="inlineStr">
        <is>
          <t>Select system ▸</t>
        </is>
      </c>
      <c r="B3" s="8" t="n"/>
      <c r="C3" s="9" t="n"/>
      <c r="D3" s="25" t="n"/>
      <c r="K3" s="24" t="inlineStr">
        <is>
          <t>Session date</t>
        </is>
      </c>
      <c r="L3" s="13" t="n"/>
      <c r="N3" s="24" t="inlineStr">
        <is>
          <t>Equipment items</t>
        </is>
      </c>
      <c r="O3" s="20">
        <f>IF($D$3="","",COUNTIFS(EqSys,$D$3,EqTag,"?*"))</f>
        <v/>
      </c>
    </row>
    <row r="4" ht="16" customHeight="1">
      <c r="A4" s="10" t="inlineStr">
        <is>
          <t>System title</t>
        </is>
      </c>
      <c r="D4" s="6">
        <f>IF($D$3="","",IFERROR(INDEX(Systems!$B$5:$B$34,MATCH($D$3,Systems!$C$5:$C$34,0))&amp;"",""))</f>
        <v/>
      </c>
    </row>
    <row r="5" ht="30" customHeight="1">
      <c r="A5" s="10" t="inlineStr">
        <is>
          <t>Function / performance standard</t>
        </is>
      </c>
      <c r="D5" s="6">
        <f>IF($D$3="","",IFERROR(INDEX(Systems!$D$5:$D$34,MATCH($D$3,Systems!$C$5:$C$34,0))&amp;"",""))</f>
        <v/>
      </c>
    </row>
    <row r="6" ht="30" customHeight="1">
      <c r="A6" s="10" t="inlineStr">
        <is>
          <t>Operating context</t>
        </is>
      </c>
      <c r="D6" s="6">
        <f>IF($D$3="","",IFERROR(INDEX(Systems!$E$5:$E$34,MATCH($D$3,Systems!$C$5:$C$34,0))&amp;"",""))</f>
        <v/>
      </c>
    </row>
    <row r="7" ht="30" customHeight="1">
      <c r="A7" s="10" t="inlineStr">
        <is>
          <t>System boundaries</t>
        </is>
      </c>
      <c r="D7" s="6">
        <f>IF($D$3="","",IFERROR(INDEX(Systems!$F$5:$F$34,MATCH($D$3,Systems!$C$5:$C$34,0))&amp;"",""))</f>
        <v/>
      </c>
    </row>
    <row r="8" ht="16" customHeight="1">
      <c r="A8" s="10" t="inlineStr">
        <is>
          <t>P&amp;IDs / drawings</t>
        </is>
      </c>
      <c r="D8" s="6">
        <f>IF($D$3="","",IFERROR(INDEX(Systems!$G$5:$G$34,MATCH($D$3,Systems!$C$5:$C$34,0))&amp;"",""))</f>
        <v/>
      </c>
    </row>
    <row r="9" ht="16" customHeight="1">
      <c r="A9" s="10" t="inlineStr">
        <is>
          <t>Related HAZOP node(s)</t>
        </is>
      </c>
      <c r="D9" s="6">
        <f>IF($D$3="","",IFERROR(INDEX(Systems!$H$5:$H$34,MATCH($D$3,Systems!$C$5:$C$34,0))&amp;"",""))</f>
        <v/>
      </c>
    </row>
    <row r="11" ht="26" customHeight="1">
      <c r="A11" s="26" t="inlineStr">
        <is>
          <t>ONE ROW PER FAILURE MODE. Pick the equipment tag (tags of the selected system), component and failure mode; pick up to 3 causes (listed line by line in 'Failure causes / mechanisms'). Rate S, O, D – RPN, Action Priority and 'Action required?' are calculated. Rate again after the recommended action. Use the [–] button above the Cause columns to collapse them.</t>
        </is>
      </c>
    </row>
    <row r="12">
      <c r="A12" s="7" t="inlineStr">
        <is>
          <t>ITEM / FAILURE MODE</t>
        </is>
      </c>
      <c r="B12" s="27" t="n"/>
      <c r="C12" s="27" t="n"/>
      <c r="D12" s="27" t="n"/>
      <c r="E12" s="27" t="n"/>
      <c r="F12" s="27" t="n"/>
      <c r="G12" s="7" t="inlineStr">
        <is>
          <t>CAUSE PICK-LIST</t>
        </is>
      </c>
      <c r="H12" s="27" t="n"/>
      <c r="I12" s="27" t="n"/>
      <c r="J12" s="7" t="inlineStr">
        <is>
          <t>CAUSES &amp; EFFECTS</t>
        </is>
      </c>
      <c r="K12" s="27" t="n"/>
      <c r="L12" s="27" t="n"/>
      <c r="M12" s="27" t="n"/>
      <c r="N12" s="7" t="inlineStr">
        <is>
          <t>CRITICALITY – CURRENT</t>
        </is>
      </c>
      <c r="O12" s="27" t="n"/>
      <c r="P12" s="27" t="n"/>
      <c r="Q12" s="27" t="n"/>
      <c r="R12" s="27" t="n"/>
      <c r="S12" s="27" t="n"/>
      <c r="T12" s="27" t="n"/>
      <c r="U12" s="27" t="n"/>
      <c r="V12" s="7" t="inlineStr">
        <is>
          <t>RECOMMENDED ACTIONS</t>
        </is>
      </c>
      <c r="W12" s="27" t="n"/>
      <c r="X12" s="27" t="n"/>
      <c r="Y12" s="27" t="n"/>
      <c r="Z12" s="7" t="inlineStr">
        <is>
          <t>CRITICALITY – AFTER ACTION</t>
        </is>
      </c>
      <c r="AA12" s="27" t="n"/>
      <c r="AB12" s="27" t="n"/>
      <c r="AC12" s="27" t="n"/>
      <c r="AD12" s="27" t="n"/>
      <c r="AE12" s="7" t="inlineStr">
        <is>
          <t>LINKS</t>
        </is>
      </c>
      <c r="AF12" s="27" t="n"/>
    </row>
    <row r="13" ht="42" customHeight="1">
      <c r="A13" s="7" t="inlineStr">
        <is>
          <t>Ref</t>
        </is>
      </c>
      <c r="B13" s="7" t="inlineStr">
        <is>
          <t>Equipment tag</t>
        </is>
      </c>
      <c r="C13" s="7" t="inlineStr">
        <is>
          <t>Equipment type (auto)</t>
        </is>
      </c>
      <c r="D13" s="7" t="inlineStr">
        <is>
          <t>Component / maintainable item</t>
        </is>
      </c>
      <c r="E13" s="7" t="inlineStr">
        <is>
          <t>Function of item</t>
        </is>
      </c>
      <c r="F13" s="7" t="inlineStr">
        <is>
          <t>Failure mode</t>
        </is>
      </c>
      <c r="G13" s="28" t="inlineStr">
        <is>
          <t>Cause 1</t>
        </is>
      </c>
      <c r="H13" s="28" t="inlineStr">
        <is>
          <t>Cause 2</t>
        </is>
      </c>
      <c r="I13" s="28" t="inlineStr">
        <is>
          <t>Cause 3</t>
        </is>
      </c>
      <c r="J13" s="7" t="inlineStr">
        <is>
          <t>Failure causes / mechanisms</t>
        </is>
      </c>
      <c r="K13" s="7" t="inlineStr">
        <is>
          <t>Local effect</t>
        </is>
      </c>
      <c r="L13" s="7" t="inlineStr">
        <is>
          <t>System effect</t>
        </is>
      </c>
      <c r="M13" s="7" t="inlineStr">
        <is>
          <t>End effect (safety / environment / production)</t>
        </is>
      </c>
      <c r="N13" s="7" t="inlineStr">
        <is>
          <t>Severity (S)</t>
        </is>
      </c>
      <c r="O13" s="7" t="inlineStr">
        <is>
          <t>Current prevention controls</t>
        </is>
      </c>
      <c r="P13" s="7" t="inlineStr">
        <is>
          <t>Occurrence (O)</t>
        </is>
      </c>
      <c r="Q13" s="7" t="inlineStr">
        <is>
          <t>Current detection method</t>
        </is>
      </c>
      <c r="R13" s="7" t="inlineStr">
        <is>
          <t>Detection (D)</t>
        </is>
      </c>
      <c r="S13" s="7" t="inlineStr">
        <is>
          <t>RPN</t>
        </is>
      </c>
      <c r="T13" s="7" t="inlineStr">
        <is>
          <t>AP</t>
        </is>
      </c>
      <c r="U13" s="7" t="inlineStr">
        <is>
          <t>Action required?</t>
        </is>
      </c>
      <c r="V13" s="7" t="inlineStr">
        <is>
          <t>Recommended action</t>
        </is>
      </c>
      <c r="W13" s="7" t="inlineStr">
        <is>
          <t>Action / task type</t>
        </is>
      </c>
      <c r="X13" s="7" t="inlineStr">
        <is>
          <t>Action by</t>
        </is>
      </c>
      <c r="Y13" s="7" t="inlineStr">
        <is>
          <t>Due date</t>
        </is>
      </c>
      <c r="Z13" s="7" t="inlineStr">
        <is>
          <t>Severity (S)</t>
        </is>
      </c>
      <c r="AA13" s="7" t="inlineStr">
        <is>
          <t>Occurrence (O)</t>
        </is>
      </c>
      <c r="AB13" s="7" t="inlineStr">
        <is>
          <t>Detection (D)</t>
        </is>
      </c>
      <c r="AC13" s="7" t="inlineStr">
        <is>
          <t>RPN after</t>
        </is>
      </c>
      <c r="AD13" s="7" t="inlineStr">
        <is>
          <t>AP after</t>
        </is>
      </c>
      <c r="AE13" s="7" t="inlineStr">
        <is>
          <t>HAZOP ref.</t>
        </is>
      </c>
      <c r="AF13" s="7" t="inlineStr">
        <is>
          <t>Comments</t>
        </is>
      </c>
    </row>
    <row r="14">
      <c r="A14" s="20">
        <f>IF(F14="","",LEFT($D$3,3)&amp;"-"&amp;TEXT(COUNTIF(F$14:F14,"?*"),"00"))</f>
        <v/>
      </c>
      <c r="B14" s="4" t="n"/>
      <c r="C14" s="5">
        <f>IF(B14="","",IFERROR(INDEX(EqTypeCol,MATCH(B14,EqTag,0)),"Tag not in register"))</f>
        <v/>
      </c>
      <c r="D14" s="4" t="n"/>
      <c r="E14" s="4" t="n"/>
      <c r="F14" s="4" t="n"/>
      <c r="G14" s="4" t="n"/>
      <c r="H14" s="4" t="n"/>
      <c r="I14" s="4" t="n"/>
      <c r="J14" s="5">
        <f>_xlfn.TEXTJOIN(CHAR(10),TRUE,IF(G14="","","• "&amp;G14),IF(H14="","","• "&amp;H14),IF(I14="","","• "&amp;I14))</f>
        <v/>
      </c>
      <c r="K14" s="4" t="n"/>
      <c r="L14" s="4" t="n"/>
      <c r="M14" s="4" t="n"/>
      <c r="N14" s="16" t="n"/>
      <c r="O14" s="4" t="n"/>
      <c r="P14" s="16" t="n"/>
      <c r="Q14" s="4" t="n"/>
      <c r="R14" s="16" t="n"/>
      <c r="S14" s="20">
        <f>IF(OR(N14="",P14="",R14=""),"",(--TRIM(LEFT(N14,2)))*(--TRIM(LEFT(P14,2)))*(--TRIM(LEFT(R14,2))))</f>
        <v/>
      </c>
      <c r="T14" s="20">
        <f>IF(OR(N14="",P14="",R14=""),"",INDEX(APGrid,COUNTIF(APS,"&gt;"&amp;(--TRIM(LEFT(N14,2))))*5+COUNTIF(APO,"&gt;"&amp;(--TRIM(LEFT(P14,2))))+1,COUNTIF(APD,"&gt;"&amp;(--TRIM(LEFT(R14,2))))+1))</f>
        <v/>
      </c>
      <c r="U14" s="20">
        <f>IF(S14="","",IF(OR((--TRIM(LEFT(N14,2)))&gt;=SThr,S14&gt;=RPNThr,T14="H"),"Yes","No"))</f>
        <v/>
      </c>
      <c r="V14" s="4" t="n"/>
      <c r="W14" s="4" t="n"/>
      <c r="X14" s="4" t="n"/>
      <c r="Y14" s="29" t="n"/>
      <c r="Z14" s="16" t="n"/>
      <c r="AA14" s="16" t="n"/>
      <c r="AB14" s="16" t="n"/>
      <c r="AC14" s="20">
        <f>IF(OR(Z14="",AA14="",AB14=""),"",(--TRIM(LEFT(Z14,2)))*(--TRIM(LEFT(AA14,2)))*(--TRIM(LEFT(AB14,2))))</f>
        <v/>
      </c>
      <c r="AD14" s="20">
        <f>IF(OR(Z14="",AA14="",AB14=""),"",INDEX(APGrid,COUNTIF(APS,"&gt;"&amp;(--TRIM(LEFT(Z14,2))))*5+COUNTIF(APO,"&gt;"&amp;(--TRIM(LEFT(AA14,2))))+1,COUNTIF(APD,"&gt;"&amp;(--TRIM(LEFT(AB14,2))))+1))</f>
        <v/>
      </c>
      <c r="AE14" s="4" t="n"/>
      <c r="AF14" s="4" t="n"/>
      <c r="AH14">
        <f>IFERROR(INDEX(EqTag,_xlfn.AGGREGATE(15,6,(ROW(EqTag)-4)/((EqSys=$D$3)*(EqTag&lt;&gt;"")),ROWS($AH$14:AH14))),"")</f>
        <v/>
      </c>
    </row>
    <row r="15">
      <c r="A15" s="20">
        <f>IF(F15="","",LEFT($D$3,3)&amp;"-"&amp;TEXT(COUNTIF(F$14:F15,"?*"),"00"))</f>
        <v/>
      </c>
      <c r="B15" s="4" t="n"/>
      <c r="C15" s="5">
        <f>IF(B15="","",IFERROR(INDEX(EqTypeCol,MATCH(B15,EqTag,0)),"Tag not in register"))</f>
        <v/>
      </c>
      <c r="D15" s="4" t="n"/>
      <c r="E15" s="4" t="n"/>
      <c r="F15" s="4" t="n"/>
      <c r="G15" s="4" t="n"/>
      <c r="H15" s="4" t="n"/>
      <c r="I15" s="4" t="n"/>
      <c r="J15" s="5">
        <f>_xlfn.TEXTJOIN(CHAR(10),TRUE,IF(G15="","","• "&amp;G15),IF(H15="","","• "&amp;H15),IF(I15="","","• "&amp;I15))</f>
        <v/>
      </c>
      <c r="K15" s="4" t="n"/>
      <c r="L15" s="4" t="n"/>
      <c r="M15" s="4" t="n"/>
      <c r="N15" s="16" t="n"/>
      <c r="O15" s="4" t="n"/>
      <c r="P15" s="16" t="n"/>
      <c r="Q15" s="4" t="n"/>
      <c r="R15" s="16" t="n"/>
      <c r="S15" s="20">
        <f>IF(OR(N15="",P15="",R15=""),"",(--TRIM(LEFT(N15,2)))*(--TRIM(LEFT(P15,2)))*(--TRIM(LEFT(R15,2))))</f>
        <v/>
      </c>
      <c r="T15" s="20">
        <f>IF(OR(N15="",P15="",R15=""),"",INDEX(APGrid,COUNTIF(APS,"&gt;"&amp;(--TRIM(LEFT(N15,2))))*5+COUNTIF(APO,"&gt;"&amp;(--TRIM(LEFT(P15,2))))+1,COUNTIF(APD,"&gt;"&amp;(--TRIM(LEFT(R15,2))))+1))</f>
        <v/>
      </c>
      <c r="U15" s="20">
        <f>IF(S15="","",IF(OR((--TRIM(LEFT(N15,2)))&gt;=SThr,S15&gt;=RPNThr,T15="H"),"Yes","No"))</f>
        <v/>
      </c>
      <c r="V15" s="4" t="n"/>
      <c r="W15" s="4" t="n"/>
      <c r="X15" s="4" t="n"/>
      <c r="Y15" s="29" t="n"/>
      <c r="Z15" s="16" t="n"/>
      <c r="AA15" s="16" t="n"/>
      <c r="AB15" s="16" t="n"/>
      <c r="AC15" s="20">
        <f>IF(OR(Z15="",AA15="",AB15=""),"",(--TRIM(LEFT(Z15,2)))*(--TRIM(LEFT(AA15,2)))*(--TRIM(LEFT(AB15,2))))</f>
        <v/>
      </c>
      <c r="AD15" s="20">
        <f>IF(OR(Z15="",AA15="",AB15=""),"",INDEX(APGrid,COUNTIF(APS,"&gt;"&amp;(--TRIM(LEFT(Z15,2))))*5+COUNTIF(APO,"&gt;"&amp;(--TRIM(LEFT(AA15,2))))+1,COUNTIF(APD,"&gt;"&amp;(--TRIM(LEFT(AB15,2))))+1))</f>
        <v/>
      </c>
      <c r="AE15" s="4" t="n"/>
      <c r="AF15" s="4" t="n"/>
      <c r="AH15">
        <f>IFERROR(INDEX(EqTag,_xlfn.AGGREGATE(15,6,(ROW(EqTag)-4)/((EqSys=$D$3)*(EqTag&lt;&gt;"")),ROWS($AH$14:AH15))),"")</f>
        <v/>
      </c>
    </row>
    <row r="16">
      <c r="A16" s="20">
        <f>IF(F16="","",LEFT($D$3,3)&amp;"-"&amp;TEXT(COUNTIF(F$14:F16,"?*"),"00"))</f>
        <v/>
      </c>
      <c r="B16" s="4" t="n"/>
      <c r="C16" s="5">
        <f>IF(B16="","",IFERROR(INDEX(EqTypeCol,MATCH(B16,EqTag,0)),"Tag not in register"))</f>
        <v/>
      </c>
      <c r="D16" s="4" t="n"/>
      <c r="E16" s="4" t="n"/>
      <c r="F16" s="4" t="n"/>
      <c r="G16" s="4" t="n"/>
      <c r="H16" s="4" t="n"/>
      <c r="I16" s="4" t="n"/>
      <c r="J16" s="5">
        <f>_xlfn.TEXTJOIN(CHAR(10),TRUE,IF(G16="","","• "&amp;G16),IF(H16="","","• "&amp;H16),IF(I16="","","• "&amp;I16))</f>
        <v/>
      </c>
      <c r="K16" s="4" t="n"/>
      <c r="L16" s="4" t="n"/>
      <c r="M16" s="4" t="n"/>
      <c r="N16" s="16" t="n"/>
      <c r="O16" s="4" t="n"/>
      <c r="P16" s="16" t="n"/>
      <c r="Q16" s="4" t="n"/>
      <c r="R16" s="16" t="n"/>
      <c r="S16" s="20">
        <f>IF(OR(N16="",P16="",R16=""),"",(--TRIM(LEFT(N16,2)))*(--TRIM(LEFT(P16,2)))*(--TRIM(LEFT(R16,2))))</f>
        <v/>
      </c>
      <c r="T16" s="20">
        <f>IF(OR(N16="",P16="",R16=""),"",INDEX(APGrid,COUNTIF(APS,"&gt;"&amp;(--TRIM(LEFT(N16,2))))*5+COUNTIF(APO,"&gt;"&amp;(--TRIM(LEFT(P16,2))))+1,COUNTIF(APD,"&gt;"&amp;(--TRIM(LEFT(R16,2))))+1))</f>
        <v/>
      </c>
      <c r="U16" s="20">
        <f>IF(S16="","",IF(OR((--TRIM(LEFT(N16,2)))&gt;=SThr,S16&gt;=RPNThr,T16="H"),"Yes","No"))</f>
        <v/>
      </c>
      <c r="V16" s="4" t="n"/>
      <c r="W16" s="4" t="n"/>
      <c r="X16" s="4" t="n"/>
      <c r="Y16" s="29" t="n"/>
      <c r="Z16" s="16" t="n"/>
      <c r="AA16" s="16" t="n"/>
      <c r="AB16" s="16" t="n"/>
      <c r="AC16" s="20">
        <f>IF(OR(Z16="",AA16="",AB16=""),"",(--TRIM(LEFT(Z16,2)))*(--TRIM(LEFT(AA16,2)))*(--TRIM(LEFT(AB16,2))))</f>
        <v/>
      </c>
      <c r="AD16" s="20">
        <f>IF(OR(Z16="",AA16="",AB16=""),"",INDEX(APGrid,COUNTIF(APS,"&gt;"&amp;(--TRIM(LEFT(Z16,2))))*5+COUNTIF(APO,"&gt;"&amp;(--TRIM(LEFT(AA16,2))))+1,COUNTIF(APD,"&gt;"&amp;(--TRIM(LEFT(AB16,2))))+1))</f>
        <v/>
      </c>
      <c r="AE16" s="4" t="n"/>
      <c r="AF16" s="4" t="n"/>
      <c r="AH16">
        <f>IFERROR(INDEX(EqTag,_xlfn.AGGREGATE(15,6,(ROW(EqTag)-4)/((EqSys=$D$3)*(EqTag&lt;&gt;"")),ROWS($AH$14:AH16))),"")</f>
        <v/>
      </c>
    </row>
    <row r="17">
      <c r="A17" s="20">
        <f>IF(F17="","",LEFT($D$3,3)&amp;"-"&amp;TEXT(COUNTIF(F$14:F17,"?*"),"00"))</f>
        <v/>
      </c>
      <c r="B17" s="4" t="n"/>
      <c r="C17" s="5">
        <f>IF(B17="","",IFERROR(INDEX(EqTypeCol,MATCH(B17,EqTag,0)),"Tag not in register"))</f>
        <v/>
      </c>
      <c r="D17" s="4" t="n"/>
      <c r="E17" s="4" t="n"/>
      <c r="F17" s="4" t="n"/>
      <c r="G17" s="4" t="n"/>
      <c r="H17" s="4" t="n"/>
      <c r="I17" s="4" t="n"/>
      <c r="J17" s="5">
        <f>_xlfn.TEXTJOIN(CHAR(10),TRUE,IF(G17="","","• "&amp;G17),IF(H17="","","• "&amp;H17),IF(I17="","","• "&amp;I17))</f>
        <v/>
      </c>
      <c r="K17" s="4" t="n"/>
      <c r="L17" s="4" t="n"/>
      <c r="M17" s="4" t="n"/>
      <c r="N17" s="16" t="n"/>
      <c r="O17" s="4" t="n"/>
      <c r="P17" s="16" t="n"/>
      <c r="Q17" s="4" t="n"/>
      <c r="R17" s="16" t="n"/>
      <c r="S17" s="20">
        <f>IF(OR(N17="",P17="",R17=""),"",(--TRIM(LEFT(N17,2)))*(--TRIM(LEFT(P17,2)))*(--TRIM(LEFT(R17,2))))</f>
        <v/>
      </c>
      <c r="T17" s="20">
        <f>IF(OR(N17="",P17="",R17=""),"",INDEX(APGrid,COUNTIF(APS,"&gt;"&amp;(--TRIM(LEFT(N17,2))))*5+COUNTIF(APO,"&gt;"&amp;(--TRIM(LEFT(P17,2))))+1,COUNTIF(APD,"&gt;"&amp;(--TRIM(LEFT(R17,2))))+1))</f>
        <v/>
      </c>
      <c r="U17" s="20">
        <f>IF(S17="","",IF(OR((--TRIM(LEFT(N17,2)))&gt;=SThr,S17&gt;=RPNThr,T17="H"),"Yes","No"))</f>
        <v/>
      </c>
      <c r="V17" s="4" t="n"/>
      <c r="W17" s="4" t="n"/>
      <c r="X17" s="4" t="n"/>
      <c r="Y17" s="29" t="n"/>
      <c r="Z17" s="16" t="n"/>
      <c r="AA17" s="16" t="n"/>
      <c r="AB17" s="16" t="n"/>
      <c r="AC17" s="20">
        <f>IF(OR(Z17="",AA17="",AB17=""),"",(--TRIM(LEFT(Z17,2)))*(--TRIM(LEFT(AA17,2)))*(--TRIM(LEFT(AB17,2))))</f>
        <v/>
      </c>
      <c r="AD17" s="20">
        <f>IF(OR(Z17="",AA17="",AB17=""),"",INDEX(APGrid,COUNTIF(APS,"&gt;"&amp;(--TRIM(LEFT(Z17,2))))*5+COUNTIF(APO,"&gt;"&amp;(--TRIM(LEFT(AA17,2))))+1,COUNTIF(APD,"&gt;"&amp;(--TRIM(LEFT(AB17,2))))+1))</f>
        <v/>
      </c>
      <c r="AE17" s="4" t="n"/>
      <c r="AF17" s="4" t="n"/>
      <c r="AH17">
        <f>IFERROR(INDEX(EqTag,_xlfn.AGGREGATE(15,6,(ROW(EqTag)-4)/((EqSys=$D$3)*(EqTag&lt;&gt;"")),ROWS($AH$14:AH17))),"")</f>
        <v/>
      </c>
    </row>
    <row r="18">
      <c r="A18" s="20">
        <f>IF(F18="","",LEFT($D$3,3)&amp;"-"&amp;TEXT(COUNTIF(F$14:F18,"?*"),"00"))</f>
        <v/>
      </c>
      <c r="B18" s="4" t="n"/>
      <c r="C18" s="5">
        <f>IF(B18="","",IFERROR(INDEX(EqTypeCol,MATCH(B18,EqTag,0)),"Tag not in register"))</f>
        <v/>
      </c>
      <c r="D18" s="4" t="n"/>
      <c r="E18" s="4" t="n"/>
      <c r="F18" s="4" t="n"/>
      <c r="G18" s="4" t="n"/>
      <c r="H18" s="4" t="n"/>
      <c r="I18" s="4" t="n"/>
      <c r="J18" s="5">
        <f>_xlfn.TEXTJOIN(CHAR(10),TRUE,IF(G18="","","• "&amp;G18),IF(H18="","","• "&amp;H18),IF(I18="","","• "&amp;I18))</f>
        <v/>
      </c>
      <c r="K18" s="4" t="n"/>
      <c r="L18" s="4" t="n"/>
      <c r="M18" s="4" t="n"/>
      <c r="N18" s="16" t="n"/>
      <c r="O18" s="4" t="n"/>
      <c r="P18" s="16" t="n"/>
      <c r="Q18" s="4" t="n"/>
      <c r="R18" s="16" t="n"/>
      <c r="S18" s="20">
        <f>IF(OR(N18="",P18="",R18=""),"",(--TRIM(LEFT(N18,2)))*(--TRIM(LEFT(P18,2)))*(--TRIM(LEFT(R18,2))))</f>
        <v/>
      </c>
      <c r="T18" s="20">
        <f>IF(OR(N18="",P18="",R18=""),"",INDEX(APGrid,COUNTIF(APS,"&gt;"&amp;(--TRIM(LEFT(N18,2))))*5+COUNTIF(APO,"&gt;"&amp;(--TRIM(LEFT(P18,2))))+1,COUNTIF(APD,"&gt;"&amp;(--TRIM(LEFT(R18,2))))+1))</f>
        <v/>
      </c>
      <c r="U18" s="20">
        <f>IF(S18="","",IF(OR((--TRIM(LEFT(N18,2)))&gt;=SThr,S18&gt;=RPNThr,T18="H"),"Yes","No"))</f>
        <v/>
      </c>
      <c r="V18" s="4" t="n"/>
      <c r="W18" s="4" t="n"/>
      <c r="X18" s="4" t="n"/>
      <c r="Y18" s="29" t="n"/>
      <c r="Z18" s="16" t="n"/>
      <c r="AA18" s="16" t="n"/>
      <c r="AB18" s="16" t="n"/>
      <c r="AC18" s="20">
        <f>IF(OR(Z18="",AA18="",AB18=""),"",(--TRIM(LEFT(Z18,2)))*(--TRIM(LEFT(AA18,2)))*(--TRIM(LEFT(AB18,2))))</f>
        <v/>
      </c>
      <c r="AD18" s="20">
        <f>IF(OR(Z18="",AA18="",AB18=""),"",INDEX(APGrid,COUNTIF(APS,"&gt;"&amp;(--TRIM(LEFT(Z18,2))))*5+COUNTIF(APO,"&gt;"&amp;(--TRIM(LEFT(AA18,2))))+1,COUNTIF(APD,"&gt;"&amp;(--TRIM(LEFT(AB18,2))))+1))</f>
        <v/>
      </c>
      <c r="AE18" s="4" t="n"/>
      <c r="AF18" s="4" t="n"/>
      <c r="AH18">
        <f>IFERROR(INDEX(EqTag,_xlfn.AGGREGATE(15,6,(ROW(EqTag)-4)/((EqSys=$D$3)*(EqTag&lt;&gt;"")),ROWS($AH$14:AH18))),"")</f>
        <v/>
      </c>
    </row>
    <row r="19">
      <c r="A19" s="20">
        <f>IF(F19="","",LEFT($D$3,3)&amp;"-"&amp;TEXT(COUNTIF(F$14:F19,"?*"),"00"))</f>
        <v/>
      </c>
      <c r="B19" s="4" t="n"/>
      <c r="C19" s="5">
        <f>IF(B19="","",IFERROR(INDEX(EqTypeCol,MATCH(B19,EqTag,0)),"Tag not in register"))</f>
        <v/>
      </c>
      <c r="D19" s="4" t="n"/>
      <c r="E19" s="4" t="n"/>
      <c r="F19" s="4" t="n"/>
      <c r="G19" s="4" t="n"/>
      <c r="H19" s="4" t="n"/>
      <c r="I19" s="4" t="n"/>
      <c r="J19" s="5">
        <f>_xlfn.TEXTJOIN(CHAR(10),TRUE,IF(G19="","","• "&amp;G19),IF(H19="","","• "&amp;H19),IF(I19="","","• "&amp;I19))</f>
        <v/>
      </c>
      <c r="K19" s="4" t="n"/>
      <c r="L19" s="4" t="n"/>
      <c r="M19" s="4" t="n"/>
      <c r="N19" s="16" t="n"/>
      <c r="O19" s="4" t="n"/>
      <c r="P19" s="16" t="n"/>
      <c r="Q19" s="4" t="n"/>
      <c r="R19" s="16" t="n"/>
      <c r="S19" s="20">
        <f>IF(OR(N19="",P19="",R19=""),"",(--TRIM(LEFT(N19,2)))*(--TRIM(LEFT(P19,2)))*(--TRIM(LEFT(R19,2))))</f>
        <v/>
      </c>
      <c r="T19" s="20">
        <f>IF(OR(N19="",P19="",R19=""),"",INDEX(APGrid,COUNTIF(APS,"&gt;"&amp;(--TRIM(LEFT(N19,2))))*5+COUNTIF(APO,"&gt;"&amp;(--TRIM(LEFT(P19,2))))+1,COUNTIF(APD,"&gt;"&amp;(--TRIM(LEFT(R19,2))))+1))</f>
        <v/>
      </c>
      <c r="U19" s="20">
        <f>IF(S19="","",IF(OR((--TRIM(LEFT(N19,2)))&gt;=SThr,S19&gt;=RPNThr,T19="H"),"Yes","No"))</f>
        <v/>
      </c>
      <c r="V19" s="4" t="n"/>
      <c r="W19" s="4" t="n"/>
      <c r="X19" s="4" t="n"/>
      <c r="Y19" s="29" t="n"/>
      <c r="Z19" s="16" t="n"/>
      <c r="AA19" s="16" t="n"/>
      <c r="AB19" s="16" t="n"/>
      <c r="AC19" s="20">
        <f>IF(OR(Z19="",AA19="",AB19=""),"",(--TRIM(LEFT(Z19,2)))*(--TRIM(LEFT(AA19,2)))*(--TRIM(LEFT(AB19,2))))</f>
        <v/>
      </c>
      <c r="AD19" s="20">
        <f>IF(OR(Z19="",AA19="",AB19=""),"",INDEX(APGrid,COUNTIF(APS,"&gt;"&amp;(--TRIM(LEFT(Z19,2))))*5+COUNTIF(APO,"&gt;"&amp;(--TRIM(LEFT(AA19,2))))+1,COUNTIF(APD,"&gt;"&amp;(--TRIM(LEFT(AB19,2))))+1))</f>
        <v/>
      </c>
      <c r="AE19" s="4" t="n"/>
      <c r="AF19" s="4" t="n"/>
      <c r="AH19">
        <f>IFERROR(INDEX(EqTag,_xlfn.AGGREGATE(15,6,(ROW(EqTag)-4)/((EqSys=$D$3)*(EqTag&lt;&gt;"")),ROWS($AH$14:AH19))),"")</f>
        <v/>
      </c>
    </row>
    <row r="20">
      <c r="A20" s="20">
        <f>IF(F20="","",LEFT($D$3,3)&amp;"-"&amp;TEXT(COUNTIF(F$14:F20,"?*"),"00"))</f>
        <v/>
      </c>
      <c r="B20" s="4" t="n"/>
      <c r="C20" s="5">
        <f>IF(B20="","",IFERROR(INDEX(EqTypeCol,MATCH(B20,EqTag,0)),"Tag not in register"))</f>
        <v/>
      </c>
      <c r="D20" s="4" t="n"/>
      <c r="E20" s="4" t="n"/>
      <c r="F20" s="4" t="n"/>
      <c r="G20" s="4" t="n"/>
      <c r="H20" s="4" t="n"/>
      <c r="I20" s="4" t="n"/>
      <c r="J20" s="5">
        <f>_xlfn.TEXTJOIN(CHAR(10),TRUE,IF(G20="","","• "&amp;G20),IF(H20="","","• "&amp;H20),IF(I20="","","• "&amp;I20))</f>
        <v/>
      </c>
      <c r="K20" s="4" t="n"/>
      <c r="L20" s="4" t="n"/>
      <c r="M20" s="4" t="n"/>
      <c r="N20" s="16" t="n"/>
      <c r="O20" s="4" t="n"/>
      <c r="P20" s="16" t="n"/>
      <c r="Q20" s="4" t="n"/>
      <c r="R20" s="16" t="n"/>
      <c r="S20" s="20">
        <f>IF(OR(N20="",P20="",R20=""),"",(--TRIM(LEFT(N20,2)))*(--TRIM(LEFT(P20,2)))*(--TRIM(LEFT(R20,2))))</f>
        <v/>
      </c>
      <c r="T20" s="20">
        <f>IF(OR(N20="",P20="",R20=""),"",INDEX(APGrid,COUNTIF(APS,"&gt;"&amp;(--TRIM(LEFT(N20,2))))*5+COUNTIF(APO,"&gt;"&amp;(--TRIM(LEFT(P20,2))))+1,COUNTIF(APD,"&gt;"&amp;(--TRIM(LEFT(R20,2))))+1))</f>
        <v/>
      </c>
      <c r="U20" s="20">
        <f>IF(S20="","",IF(OR((--TRIM(LEFT(N20,2)))&gt;=SThr,S20&gt;=RPNThr,T20="H"),"Yes","No"))</f>
        <v/>
      </c>
      <c r="V20" s="4" t="n"/>
      <c r="W20" s="4" t="n"/>
      <c r="X20" s="4" t="n"/>
      <c r="Y20" s="29" t="n"/>
      <c r="Z20" s="16" t="n"/>
      <c r="AA20" s="16" t="n"/>
      <c r="AB20" s="16" t="n"/>
      <c r="AC20" s="20">
        <f>IF(OR(Z20="",AA20="",AB20=""),"",(--TRIM(LEFT(Z20,2)))*(--TRIM(LEFT(AA20,2)))*(--TRIM(LEFT(AB20,2))))</f>
        <v/>
      </c>
      <c r="AD20" s="20">
        <f>IF(OR(Z20="",AA20="",AB20=""),"",INDEX(APGrid,COUNTIF(APS,"&gt;"&amp;(--TRIM(LEFT(Z20,2))))*5+COUNTIF(APO,"&gt;"&amp;(--TRIM(LEFT(AA20,2))))+1,COUNTIF(APD,"&gt;"&amp;(--TRIM(LEFT(AB20,2))))+1))</f>
        <v/>
      </c>
      <c r="AE20" s="4" t="n"/>
      <c r="AF20" s="4" t="n"/>
      <c r="AH20">
        <f>IFERROR(INDEX(EqTag,_xlfn.AGGREGATE(15,6,(ROW(EqTag)-4)/((EqSys=$D$3)*(EqTag&lt;&gt;"")),ROWS($AH$14:AH20))),"")</f>
        <v/>
      </c>
    </row>
    <row r="21">
      <c r="A21" s="20">
        <f>IF(F21="","",LEFT($D$3,3)&amp;"-"&amp;TEXT(COUNTIF(F$14:F21,"?*"),"00"))</f>
        <v/>
      </c>
      <c r="B21" s="4" t="n"/>
      <c r="C21" s="5">
        <f>IF(B21="","",IFERROR(INDEX(EqTypeCol,MATCH(B21,EqTag,0)),"Tag not in register"))</f>
        <v/>
      </c>
      <c r="D21" s="4" t="n"/>
      <c r="E21" s="4" t="n"/>
      <c r="F21" s="4" t="n"/>
      <c r="G21" s="4" t="n"/>
      <c r="H21" s="4" t="n"/>
      <c r="I21" s="4" t="n"/>
      <c r="J21" s="5">
        <f>_xlfn.TEXTJOIN(CHAR(10),TRUE,IF(G21="","","• "&amp;G21),IF(H21="","","• "&amp;H21),IF(I21="","","• "&amp;I21))</f>
        <v/>
      </c>
      <c r="K21" s="4" t="n"/>
      <c r="L21" s="4" t="n"/>
      <c r="M21" s="4" t="n"/>
      <c r="N21" s="16" t="n"/>
      <c r="O21" s="4" t="n"/>
      <c r="P21" s="16" t="n"/>
      <c r="Q21" s="4" t="n"/>
      <c r="R21" s="16" t="n"/>
      <c r="S21" s="20">
        <f>IF(OR(N21="",P21="",R21=""),"",(--TRIM(LEFT(N21,2)))*(--TRIM(LEFT(P21,2)))*(--TRIM(LEFT(R21,2))))</f>
        <v/>
      </c>
      <c r="T21" s="20">
        <f>IF(OR(N21="",P21="",R21=""),"",INDEX(APGrid,COUNTIF(APS,"&gt;"&amp;(--TRIM(LEFT(N21,2))))*5+COUNTIF(APO,"&gt;"&amp;(--TRIM(LEFT(P21,2))))+1,COUNTIF(APD,"&gt;"&amp;(--TRIM(LEFT(R21,2))))+1))</f>
        <v/>
      </c>
      <c r="U21" s="20">
        <f>IF(S21="","",IF(OR((--TRIM(LEFT(N21,2)))&gt;=SThr,S21&gt;=RPNThr,T21="H"),"Yes","No"))</f>
        <v/>
      </c>
      <c r="V21" s="4" t="n"/>
      <c r="W21" s="4" t="n"/>
      <c r="X21" s="4" t="n"/>
      <c r="Y21" s="29" t="n"/>
      <c r="Z21" s="16" t="n"/>
      <c r="AA21" s="16" t="n"/>
      <c r="AB21" s="16" t="n"/>
      <c r="AC21" s="20">
        <f>IF(OR(Z21="",AA21="",AB21=""),"",(--TRIM(LEFT(Z21,2)))*(--TRIM(LEFT(AA21,2)))*(--TRIM(LEFT(AB21,2))))</f>
        <v/>
      </c>
      <c r="AD21" s="20">
        <f>IF(OR(Z21="",AA21="",AB21=""),"",INDEX(APGrid,COUNTIF(APS,"&gt;"&amp;(--TRIM(LEFT(Z21,2))))*5+COUNTIF(APO,"&gt;"&amp;(--TRIM(LEFT(AA21,2))))+1,COUNTIF(APD,"&gt;"&amp;(--TRIM(LEFT(AB21,2))))+1))</f>
        <v/>
      </c>
      <c r="AE21" s="4" t="n"/>
      <c r="AF21" s="4" t="n"/>
      <c r="AH21">
        <f>IFERROR(INDEX(EqTag,_xlfn.AGGREGATE(15,6,(ROW(EqTag)-4)/((EqSys=$D$3)*(EqTag&lt;&gt;"")),ROWS($AH$14:AH21))),"")</f>
        <v/>
      </c>
    </row>
    <row r="22">
      <c r="A22" s="20">
        <f>IF(F22="","",LEFT($D$3,3)&amp;"-"&amp;TEXT(COUNTIF(F$14:F22,"?*"),"00"))</f>
        <v/>
      </c>
      <c r="B22" s="4" t="n"/>
      <c r="C22" s="5">
        <f>IF(B22="","",IFERROR(INDEX(EqTypeCol,MATCH(B22,EqTag,0)),"Tag not in register"))</f>
        <v/>
      </c>
      <c r="D22" s="4" t="n"/>
      <c r="E22" s="4" t="n"/>
      <c r="F22" s="4" t="n"/>
      <c r="G22" s="4" t="n"/>
      <c r="H22" s="4" t="n"/>
      <c r="I22" s="4" t="n"/>
      <c r="J22" s="5">
        <f>_xlfn.TEXTJOIN(CHAR(10),TRUE,IF(G22="","","• "&amp;G22),IF(H22="","","• "&amp;H22),IF(I22="","","• "&amp;I22))</f>
        <v/>
      </c>
      <c r="K22" s="4" t="n"/>
      <c r="L22" s="4" t="n"/>
      <c r="M22" s="4" t="n"/>
      <c r="N22" s="16" t="n"/>
      <c r="O22" s="4" t="n"/>
      <c r="P22" s="16" t="n"/>
      <c r="Q22" s="4" t="n"/>
      <c r="R22" s="16" t="n"/>
      <c r="S22" s="20">
        <f>IF(OR(N22="",P22="",R22=""),"",(--TRIM(LEFT(N22,2)))*(--TRIM(LEFT(P22,2)))*(--TRIM(LEFT(R22,2))))</f>
        <v/>
      </c>
      <c r="T22" s="20">
        <f>IF(OR(N22="",P22="",R22=""),"",INDEX(APGrid,COUNTIF(APS,"&gt;"&amp;(--TRIM(LEFT(N22,2))))*5+COUNTIF(APO,"&gt;"&amp;(--TRIM(LEFT(P22,2))))+1,COUNTIF(APD,"&gt;"&amp;(--TRIM(LEFT(R22,2))))+1))</f>
        <v/>
      </c>
      <c r="U22" s="20">
        <f>IF(S22="","",IF(OR((--TRIM(LEFT(N22,2)))&gt;=SThr,S22&gt;=RPNThr,T22="H"),"Yes","No"))</f>
        <v/>
      </c>
      <c r="V22" s="4" t="n"/>
      <c r="W22" s="4" t="n"/>
      <c r="X22" s="4" t="n"/>
      <c r="Y22" s="29" t="n"/>
      <c r="Z22" s="16" t="n"/>
      <c r="AA22" s="16" t="n"/>
      <c r="AB22" s="16" t="n"/>
      <c r="AC22" s="20">
        <f>IF(OR(Z22="",AA22="",AB22=""),"",(--TRIM(LEFT(Z22,2)))*(--TRIM(LEFT(AA22,2)))*(--TRIM(LEFT(AB22,2))))</f>
        <v/>
      </c>
      <c r="AD22" s="20">
        <f>IF(OR(Z22="",AA22="",AB22=""),"",INDEX(APGrid,COUNTIF(APS,"&gt;"&amp;(--TRIM(LEFT(Z22,2))))*5+COUNTIF(APO,"&gt;"&amp;(--TRIM(LEFT(AA22,2))))+1,COUNTIF(APD,"&gt;"&amp;(--TRIM(LEFT(AB22,2))))+1))</f>
        <v/>
      </c>
      <c r="AE22" s="4" t="n"/>
      <c r="AF22" s="4" t="n"/>
      <c r="AH22">
        <f>IFERROR(INDEX(EqTag,_xlfn.AGGREGATE(15,6,(ROW(EqTag)-4)/((EqSys=$D$3)*(EqTag&lt;&gt;"")),ROWS($AH$14:AH22))),"")</f>
        <v/>
      </c>
    </row>
    <row r="23">
      <c r="A23" s="20">
        <f>IF(F23="","",LEFT($D$3,3)&amp;"-"&amp;TEXT(COUNTIF(F$14:F23,"?*"),"00"))</f>
        <v/>
      </c>
      <c r="B23" s="4" t="n"/>
      <c r="C23" s="5">
        <f>IF(B23="","",IFERROR(INDEX(EqTypeCol,MATCH(B23,EqTag,0)),"Tag not in register"))</f>
        <v/>
      </c>
      <c r="D23" s="4" t="n"/>
      <c r="E23" s="4" t="n"/>
      <c r="F23" s="4" t="n"/>
      <c r="G23" s="4" t="n"/>
      <c r="H23" s="4" t="n"/>
      <c r="I23" s="4" t="n"/>
      <c r="J23" s="5">
        <f>_xlfn.TEXTJOIN(CHAR(10),TRUE,IF(G23="","","• "&amp;G23),IF(H23="","","• "&amp;H23),IF(I23="","","• "&amp;I23))</f>
        <v/>
      </c>
      <c r="K23" s="4" t="n"/>
      <c r="L23" s="4" t="n"/>
      <c r="M23" s="4" t="n"/>
      <c r="N23" s="16" t="n"/>
      <c r="O23" s="4" t="n"/>
      <c r="P23" s="16" t="n"/>
      <c r="Q23" s="4" t="n"/>
      <c r="R23" s="16" t="n"/>
      <c r="S23" s="20">
        <f>IF(OR(N23="",P23="",R23=""),"",(--TRIM(LEFT(N23,2)))*(--TRIM(LEFT(P23,2)))*(--TRIM(LEFT(R23,2))))</f>
        <v/>
      </c>
      <c r="T23" s="20">
        <f>IF(OR(N23="",P23="",R23=""),"",INDEX(APGrid,COUNTIF(APS,"&gt;"&amp;(--TRIM(LEFT(N23,2))))*5+COUNTIF(APO,"&gt;"&amp;(--TRIM(LEFT(P23,2))))+1,COUNTIF(APD,"&gt;"&amp;(--TRIM(LEFT(R23,2))))+1))</f>
        <v/>
      </c>
      <c r="U23" s="20">
        <f>IF(S23="","",IF(OR((--TRIM(LEFT(N23,2)))&gt;=SThr,S23&gt;=RPNThr,T23="H"),"Yes","No"))</f>
        <v/>
      </c>
      <c r="V23" s="4" t="n"/>
      <c r="W23" s="4" t="n"/>
      <c r="X23" s="4" t="n"/>
      <c r="Y23" s="29" t="n"/>
      <c r="Z23" s="16" t="n"/>
      <c r="AA23" s="16" t="n"/>
      <c r="AB23" s="16" t="n"/>
      <c r="AC23" s="20">
        <f>IF(OR(Z23="",AA23="",AB23=""),"",(--TRIM(LEFT(Z23,2)))*(--TRIM(LEFT(AA23,2)))*(--TRIM(LEFT(AB23,2))))</f>
        <v/>
      </c>
      <c r="AD23" s="20">
        <f>IF(OR(Z23="",AA23="",AB23=""),"",INDEX(APGrid,COUNTIF(APS,"&gt;"&amp;(--TRIM(LEFT(Z23,2))))*5+COUNTIF(APO,"&gt;"&amp;(--TRIM(LEFT(AA23,2))))+1,COUNTIF(APD,"&gt;"&amp;(--TRIM(LEFT(AB23,2))))+1))</f>
        <v/>
      </c>
      <c r="AE23" s="4" t="n"/>
      <c r="AF23" s="4" t="n"/>
      <c r="AH23">
        <f>IFERROR(INDEX(EqTag,_xlfn.AGGREGATE(15,6,(ROW(EqTag)-4)/((EqSys=$D$3)*(EqTag&lt;&gt;"")),ROWS($AH$14:AH23))),"")</f>
        <v/>
      </c>
    </row>
    <row r="24">
      <c r="A24" s="20">
        <f>IF(F24="","",LEFT($D$3,3)&amp;"-"&amp;TEXT(COUNTIF(F$14:F24,"?*"),"00"))</f>
        <v/>
      </c>
      <c r="B24" s="4" t="n"/>
      <c r="C24" s="5">
        <f>IF(B24="","",IFERROR(INDEX(EqTypeCol,MATCH(B24,EqTag,0)),"Tag not in register"))</f>
        <v/>
      </c>
      <c r="D24" s="4" t="n"/>
      <c r="E24" s="4" t="n"/>
      <c r="F24" s="4" t="n"/>
      <c r="G24" s="4" t="n"/>
      <c r="H24" s="4" t="n"/>
      <c r="I24" s="4" t="n"/>
      <c r="J24" s="5">
        <f>_xlfn.TEXTJOIN(CHAR(10),TRUE,IF(G24="","","• "&amp;G24),IF(H24="","","• "&amp;H24),IF(I24="","","• "&amp;I24))</f>
        <v/>
      </c>
      <c r="K24" s="4" t="n"/>
      <c r="L24" s="4" t="n"/>
      <c r="M24" s="4" t="n"/>
      <c r="N24" s="16" t="n"/>
      <c r="O24" s="4" t="n"/>
      <c r="P24" s="16" t="n"/>
      <c r="Q24" s="4" t="n"/>
      <c r="R24" s="16" t="n"/>
      <c r="S24" s="20">
        <f>IF(OR(N24="",P24="",R24=""),"",(--TRIM(LEFT(N24,2)))*(--TRIM(LEFT(P24,2)))*(--TRIM(LEFT(R24,2))))</f>
        <v/>
      </c>
      <c r="T24" s="20">
        <f>IF(OR(N24="",P24="",R24=""),"",INDEX(APGrid,COUNTIF(APS,"&gt;"&amp;(--TRIM(LEFT(N24,2))))*5+COUNTIF(APO,"&gt;"&amp;(--TRIM(LEFT(P24,2))))+1,COUNTIF(APD,"&gt;"&amp;(--TRIM(LEFT(R24,2))))+1))</f>
        <v/>
      </c>
      <c r="U24" s="20">
        <f>IF(S24="","",IF(OR((--TRIM(LEFT(N24,2)))&gt;=SThr,S24&gt;=RPNThr,T24="H"),"Yes","No"))</f>
        <v/>
      </c>
      <c r="V24" s="4" t="n"/>
      <c r="W24" s="4" t="n"/>
      <c r="X24" s="4" t="n"/>
      <c r="Y24" s="29" t="n"/>
      <c r="Z24" s="16" t="n"/>
      <c r="AA24" s="16" t="n"/>
      <c r="AB24" s="16" t="n"/>
      <c r="AC24" s="20">
        <f>IF(OR(Z24="",AA24="",AB24=""),"",(--TRIM(LEFT(Z24,2)))*(--TRIM(LEFT(AA24,2)))*(--TRIM(LEFT(AB24,2))))</f>
        <v/>
      </c>
      <c r="AD24" s="20">
        <f>IF(OR(Z24="",AA24="",AB24=""),"",INDEX(APGrid,COUNTIF(APS,"&gt;"&amp;(--TRIM(LEFT(Z24,2))))*5+COUNTIF(APO,"&gt;"&amp;(--TRIM(LEFT(AA24,2))))+1,COUNTIF(APD,"&gt;"&amp;(--TRIM(LEFT(AB24,2))))+1))</f>
        <v/>
      </c>
      <c r="AE24" s="4" t="n"/>
      <c r="AF24" s="4" t="n"/>
      <c r="AH24">
        <f>IFERROR(INDEX(EqTag,_xlfn.AGGREGATE(15,6,(ROW(EqTag)-4)/((EqSys=$D$3)*(EqTag&lt;&gt;"")),ROWS($AH$14:AH24))),"")</f>
        <v/>
      </c>
    </row>
    <row r="25">
      <c r="A25" s="20">
        <f>IF(F25="","",LEFT($D$3,3)&amp;"-"&amp;TEXT(COUNTIF(F$14:F25,"?*"),"00"))</f>
        <v/>
      </c>
      <c r="B25" s="4" t="n"/>
      <c r="C25" s="5">
        <f>IF(B25="","",IFERROR(INDEX(EqTypeCol,MATCH(B25,EqTag,0)),"Tag not in register"))</f>
        <v/>
      </c>
      <c r="D25" s="4" t="n"/>
      <c r="E25" s="4" t="n"/>
      <c r="F25" s="4" t="n"/>
      <c r="G25" s="4" t="n"/>
      <c r="H25" s="4" t="n"/>
      <c r="I25" s="4" t="n"/>
      <c r="J25" s="5">
        <f>_xlfn.TEXTJOIN(CHAR(10),TRUE,IF(G25="","","• "&amp;G25),IF(H25="","","• "&amp;H25),IF(I25="","","• "&amp;I25))</f>
        <v/>
      </c>
      <c r="K25" s="4" t="n"/>
      <c r="L25" s="4" t="n"/>
      <c r="M25" s="4" t="n"/>
      <c r="N25" s="16" t="n"/>
      <c r="O25" s="4" t="n"/>
      <c r="P25" s="16" t="n"/>
      <c r="Q25" s="4" t="n"/>
      <c r="R25" s="16" t="n"/>
      <c r="S25" s="20">
        <f>IF(OR(N25="",P25="",R25=""),"",(--TRIM(LEFT(N25,2)))*(--TRIM(LEFT(P25,2)))*(--TRIM(LEFT(R25,2))))</f>
        <v/>
      </c>
      <c r="T25" s="20">
        <f>IF(OR(N25="",P25="",R25=""),"",INDEX(APGrid,COUNTIF(APS,"&gt;"&amp;(--TRIM(LEFT(N25,2))))*5+COUNTIF(APO,"&gt;"&amp;(--TRIM(LEFT(P25,2))))+1,COUNTIF(APD,"&gt;"&amp;(--TRIM(LEFT(R25,2))))+1))</f>
        <v/>
      </c>
      <c r="U25" s="20">
        <f>IF(S25="","",IF(OR((--TRIM(LEFT(N25,2)))&gt;=SThr,S25&gt;=RPNThr,T25="H"),"Yes","No"))</f>
        <v/>
      </c>
      <c r="V25" s="4" t="n"/>
      <c r="W25" s="4" t="n"/>
      <c r="X25" s="4" t="n"/>
      <c r="Y25" s="29" t="n"/>
      <c r="Z25" s="16" t="n"/>
      <c r="AA25" s="16" t="n"/>
      <c r="AB25" s="16" t="n"/>
      <c r="AC25" s="20">
        <f>IF(OR(Z25="",AA25="",AB25=""),"",(--TRIM(LEFT(Z25,2)))*(--TRIM(LEFT(AA25,2)))*(--TRIM(LEFT(AB25,2))))</f>
        <v/>
      </c>
      <c r="AD25" s="20">
        <f>IF(OR(Z25="",AA25="",AB25=""),"",INDEX(APGrid,COUNTIF(APS,"&gt;"&amp;(--TRIM(LEFT(Z25,2))))*5+COUNTIF(APO,"&gt;"&amp;(--TRIM(LEFT(AA25,2))))+1,COUNTIF(APD,"&gt;"&amp;(--TRIM(LEFT(AB25,2))))+1))</f>
        <v/>
      </c>
      <c r="AE25" s="4" t="n"/>
      <c r="AF25" s="4" t="n"/>
      <c r="AH25">
        <f>IFERROR(INDEX(EqTag,_xlfn.AGGREGATE(15,6,(ROW(EqTag)-4)/((EqSys=$D$3)*(EqTag&lt;&gt;"")),ROWS($AH$14:AH25))),"")</f>
        <v/>
      </c>
    </row>
    <row r="26">
      <c r="A26" s="20">
        <f>IF(F26="","",LEFT($D$3,3)&amp;"-"&amp;TEXT(COUNTIF(F$14:F26,"?*"),"00"))</f>
        <v/>
      </c>
      <c r="B26" s="4" t="n"/>
      <c r="C26" s="5">
        <f>IF(B26="","",IFERROR(INDEX(EqTypeCol,MATCH(B26,EqTag,0)),"Tag not in register"))</f>
        <v/>
      </c>
      <c r="D26" s="4" t="n"/>
      <c r="E26" s="4" t="n"/>
      <c r="F26" s="4" t="n"/>
      <c r="G26" s="4" t="n"/>
      <c r="H26" s="4" t="n"/>
      <c r="I26" s="4" t="n"/>
      <c r="J26" s="5">
        <f>_xlfn.TEXTJOIN(CHAR(10),TRUE,IF(G26="","","• "&amp;G26),IF(H26="","","• "&amp;H26),IF(I26="","","• "&amp;I26))</f>
        <v/>
      </c>
      <c r="K26" s="4" t="n"/>
      <c r="L26" s="4" t="n"/>
      <c r="M26" s="4" t="n"/>
      <c r="N26" s="16" t="n"/>
      <c r="O26" s="4" t="n"/>
      <c r="P26" s="16" t="n"/>
      <c r="Q26" s="4" t="n"/>
      <c r="R26" s="16" t="n"/>
      <c r="S26" s="20">
        <f>IF(OR(N26="",P26="",R26=""),"",(--TRIM(LEFT(N26,2)))*(--TRIM(LEFT(P26,2)))*(--TRIM(LEFT(R26,2))))</f>
        <v/>
      </c>
      <c r="T26" s="20">
        <f>IF(OR(N26="",P26="",R26=""),"",INDEX(APGrid,COUNTIF(APS,"&gt;"&amp;(--TRIM(LEFT(N26,2))))*5+COUNTIF(APO,"&gt;"&amp;(--TRIM(LEFT(P26,2))))+1,COUNTIF(APD,"&gt;"&amp;(--TRIM(LEFT(R26,2))))+1))</f>
        <v/>
      </c>
      <c r="U26" s="20">
        <f>IF(S26="","",IF(OR((--TRIM(LEFT(N26,2)))&gt;=SThr,S26&gt;=RPNThr,T26="H"),"Yes","No"))</f>
        <v/>
      </c>
      <c r="V26" s="4" t="n"/>
      <c r="W26" s="4" t="n"/>
      <c r="X26" s="4" t="n"/>
      <c r="Y26" s="29" t="n"/>
      <c r="Z26" s="16" t="n"/>
      <c r="AA26" s="16" t="n"/>
      <c r="AB26" s="16" t="n"/>
      <c r="AC26" s="20">
        <f>IF(OR(Z26="",AA26="",AB26=""),"",(--TRIM(LEFT(Z26,2)))*(--TRIM(LEFT(AA26,2)))*(--TRIM(LEFT(AB26,2))))</f>
        <v/>
      </c>
      <c r="AD26" s="20">
        <f>IF(OR(Z26="",AA26="",AB26=""),"",INDEX(APGrid,COUNTIF(APS,"&gt;"&amp;(--TRIM(LEFT(Z26,2))))*5+COUNTIF(APO,"&gt;"&amp;(--TRIM(LEFT(AA26,2))))+1,COUNTIF(APD,"&gt;"&amp;(--TRIM(LEFT(AB26,2))))+1))</f>
        <v/>
      </c>
      <c r="AE26" s="4" t="n"/>
      <c r="AF26" s="4" t="n"/>
      <c r="AH26">
        <f>IFERROR(INDEX(EqTag,_xlfn.AGGREGATE(15,6,(ROW(EqTag)-4)/((EqSys=$D$3)*(EqTag&lt;&gt;"")),ROWS($AH$14:AH26))),"")</f>
        <v/>
      </c>
    </row>
    <row r="27">
      <c r="A27" s="20">
        <f>IF(F27="","",LEFT($D$3,3)&amp;"-"&amp;TEXT(COUNTIF(F$14:F27,"?*"),"00"))</f>
        <v/>
      </c>
      <c r="B27" s="4" t="n"/>
      <c r="C27" s="5">
        <f>IF(B27="","",IFERROR(INDEX(EqTypeCol,MATCH(B27,EqTag,0)),"Tag not in register"))</f>
        <v/>
      </c>
      <c r="D27" s="4" t="n"/>
      <c r="E27" s="4" t="n"/>
      <c r="F27" s="4" t="n"/>
      <c r="G27" s="4" t="n"/>
      <c r="H27" s="4" t="n"/>
      <c r="I27" s="4" t="n"/>
      <c r="J27" s="5">
        <f>_xlfn.TEXTJOIN(CHAR(10),TRUE,IF(G27="","","• "&amp;G27),IF(H27="","","• "&amp;H27),IF(I27="","","• "&amp;I27))</f>
        <v/>
      </c>
      <c r="K27" s="4" t="n"/>
      <c r="L27" s="4" t="n"/>
      <c r="M27" s="4" t="n"/>
      <c r="N27" s="16" t="n"/>
      <c r="O27" s="4" t="n"/>
      <c r="P27" s="16" t="n"/>
      <c r="Q27" s="4" t="n"/>
      <c r="R27" s="16" t="n"/>
      <c r="S27" s="20">
        <f>IF(OR(N27="",P27="",R27=""),"",(--TRIM(LEFT(N27,2)))*(--TRIM(LEFT(P27,2)))*(--TRIM(LEFT(R27,2))))</f>
        <v/>
      </c>
      <c r="T27" s="20">
        <f>IF(OR(N27="",P27="",R27=""),"",INDEX(APGrid,COUNTIF(APS,"&gt;"&amp;(--TRIM(LEFT(N27,2))))*5+COUNTIF(APO,"&gt;"&amp;(--TRIM(LEFT(P27,2))))+1,COUNTIF(APD,"&gt;"&amp;(--TRIM(LEFT(R27,2))))+1))</f>
        <v/>
      </c>
      <c r="U27" s="20">
        <f>IF(S27="","",IF(OR((--TRIM(LEFT(N27,2)))&gt;=SThr,S27&gt;=RPNThr,T27="H"),"Yes","No"))</f>
        <v/>
      </c>
      <c r="V27" s="4" t="n"/>
      <c r="W27" s="4" t="n"/>
      <c r="X27" s="4" t="n"/>
      <c r="Y27" s="29" t="n"/>
      <c r="Z27" s="16" t="n"/>
      <c r="AA27" s="16" t="n"/>
      <c r="AB27" s="16" t="n"/>
      <c r="AC27" s="20">
        <f>IF(OR(Z27="",AA27="",AB27=""),"",(--TRIM(LEFT(Z27,2)))*(--TRIM(LEFT(AA27,2)))*(--TRIM(LEFT(AB27,2))))</f>
        <v/>
      </c>
      <c r="AD27" s="20">
        <f>IF(OR(Z27="",AA27="",AB27=""),"",INDEX(APGrid,COUNTIF(APS,"&gt;"&amp;(--TRIM(LEFT(Z27,2))))*5+COUNTIF(APO,"&gt;"&amp;(--TRIM(LEFT(AA27,2))))+1,COUNTIF(APD,"&gt;"&amp;(--TRIM(LEFT(AB27,2))))+1))</f>
        <v/>
      </c>
      <c r="AE27" s="4" t="n"/>
      <c r="AF27" s="4" t="n"/>
      <c r="AH27">
        <f>IFERROR(INDEX(EqTag,_xlfn.AGGREGATE(15,6,(ROW(EqTag)-4)/((EqSys=$D$3)*(EqTag&lt;&gt;"")),ROWS($AH$14:AH27))),"")</f>
        <v/>
      </c>
    </row>
    <row r="28">
      <c r="A28" s="20">
        <f>IF(F28="","",LEFT($D$3,3)&amp;"-"&amp;TEXT(COUNTIF(F$14:F28,"?*"),"00"))</f>
        <v/>
      </c>
      <c r="B28" s="4" t="n"/>
      <c r="C28" s="5">
        <f>IF(B28="","",IFERROR(INDEX(EqTypeCol,MATCH(B28,EqTag,0)),"Tag not in register"))</f>
        <v/>
      </c>
      <c r="D28" s="4" t="n"/>
      <c r="E28" s="4" t="n"/>
      <c r="F28" s="4" t="n"/>
      <c r="G28" s="4" t="n"/>
      <c r="H28" s="4" t="n"/>
      <c r="I28" s="4" t="n"/>
      <c r="J28" s="5">
        <f>_xlfn.TEXTJOIN(CHAR(10),TRUE,IF(G28="","","• "&amp;G28),IF(H28="","","• "&amp;H28),IF(I28="","","• "&amp;I28))</f>
        <v/>
      </c>
      <c r="K28" s="4" t="n"/>
      <c r="L28" s="4" t="n"/>
      <c r="M28" s="4" t="n"/>
      <c r="N28" s="16" t="n"/>
      <c r="O28" s="4" t="n"/>
      <c r="P28" s="16" t="n"/>
      <c r="Q28" s="4" t="n"/>
      <c r="R28" s="16" t="n"/>
      <c r="S28" s="20">
        <f>IF(OR(N28="",P28="",R28=""),"",(--TRIM(LEFT(N28,2)))*(--TRIM(LEFT(P28,2)))*(--TRIM(LEFT(R28,2))))</f>
        <v/>
      </c>
      <c r="T28" s="20">
        <f>IF(OR(N28="",P28="",R28=""),"",INDEX(APGrid,COUNTIF(APS,"&gt;"&amp;(--TRIM(LEFT(N28,2))))*5+COUNTIF(APO,"&gt;"&amp;(--TRIM(LEFT(P28,2))))+1,COUNTIF(APD,"&gt;"&amp;(--TRIM(LEFT(R28,2))))+1))</f>
        <v/>
      </c>
      <c r="U28" s="20">
        <f>IF(S28="","",IF(OR((--TRIM(LEFT(N28,2)))&gt;=SThr,S28&gt;=RPNThr,T28="H"),"Yes","No"))</f>
        <v/>
      </c>
      <c r="V28" s="4" t="n"/>
      <c r="W28" s="4" t="n"/>
      <c r="X28" s="4" t="n"/>
      <c r="Y28" s="29" t="n"/>
      <c r="Z28" s="16" t="n"/>
      <c r="AA28" s="16" t="n"/>
      <c r="AB28" s="16" t="n"/>
      <c r="AC28" s="20">
        <f>IF(OR(Z28="",AA28="",AB28=""),"",(--TRIM(LEFT(Z28,2)))*(--TRIM(LEFT(AA28,2)))*(--TRIM(LEFT(AB28,2))))</f>
        <v/>
      </c>
      <c r="AD28" s="20">
        <f>IF(OR(Z28="",AA28="",AB28=""),"",INDEX(APGrid,COUNTIF(APS,"&gt;"&amp;(--TRIM(LEFT(Z28,2))))*5+COUNTIF(APO,"&gt;"&amp;(--TRIM(LEFT(AA28,2))))+1,COUNTIF(APD,"&gt;"&amp;(--TRIM(LEFT(AB28,2))))+1))</f>
        <v/>
      </c>
      <c r="AE28" s="4" t="n"/>
      <c r="AF28" s="4" t="n"/>
      <c r="AH28">
        <f>IFERROR(INDEX(EqTag,_xlfn.AGGREGATE(15,6,(ROW(EqTag)-4)/((EqSys=$D$3)*(EqTag&lt;&gt;"")),ROWS($AH$14:AH28))),"")</f>
        <v/>
      </c>
    </row>
    <row r="29">
      <c r="A29" s="20">
        <f>IF(F29="","",LEFT($D$3,3)&amp;"-"&amp;TEXT(COUNTIF(F$14:F29,"?*"),"00"))</f>
        <v/>
      </c>
      <c r="B29" s="4" t="n"/>
      <c r="C29" s="5">
        <f>IF(B29="","",IFERROR(INDEX(EqTypeCol,MATCH(B29,EqTag,0)),"Tag not in register"))</f>
        <v/>
      </c>
      <c r="D29" s="4" t="n"/>
      <c r="E29" s="4" t="n"/>
      <c r="F29" s="4" t="n"/>
      <c r="G29" s="4" t="n"/>
      <c r="H29" s="4" t="n"/>
      <c r="I29" s="4" t="n"/>
      <c r="J29" s="5">
        <f>_xlfn.TEXTJOIN(CHAR(10),TRUE,IF(G29="","","• "&amp;G29),IF(H29="","","• "&amp;H29),IF(I29="","","• "&amp;I29))</f>
        <v/>
      </c>
      <c r="K29" s="4" t="n"/>
      <c r="L29" s="4" t="n"/>
      <c r="M29" s="4" t="n"/>
      <c r="N29" s="16" t="n"/>
      <c r="O29" s="4" t="n"/>
      <c r="P29" s="16" t="n"/>
      <c r="Q29" s="4" t="n"/>
      <c r="R29" s="16" t="n"/>
      <c r="S29" s="20">
        <f>IF(OR(N29="",P29="",R29=""),"",(--TRIM(LEFT(N29,2)))*(--TRIM(LEFT(P29,2)))*(--TRIM(LEFT(R29,2))))</f>
        <v/>
      </c>
      <c r="T29" s="20">
        <f>IF(OR(N29="",P29="",R29=""),"",INDEX(APGrid,COUNTIF(APS,"&gt;"&amp;(--TRIM(LEFT(N29,2))))*5+COUNTIF(APO,"&gt;"&amp;(--TRIM(LEFT(P29,2))))+1,COUNTIF(APD,"&gt;"&amp;(--TRIM(LEFT(R29,2))))+1))</f>
        <v/>
      </c>
      <c r="U29" s="20">
        <f>IF(S29="","",IF(OR((--TRIM(LEFT(N29,2)))&gt;=SThr,S29&gt;=RPNThr,T29="H"),"Yes","No"))</f>
        <v/>
      </c>
      <c r="V29" s="4" t="n"/>
      <c r="W29" s="4" t="n"/>
      <c r="X29" s="4" t="n"/>
      <c r="Y29" s="29" t="n"/>
      <c r="Z29" s="16" t="n"/>
      <c r="AA29" s="16" t="n"/>
      <c r="AB29" s="16" t="n"/>
      <c r="AC29" s="20">
        <f>IF(OR(Z29="",AA29="",AB29=""),"",(--TRIM(LEFT(Z29,2)))*(--TRIM(LEFT(AA29,2)))*(--TRIM(LEFT(AB29,2))))</f>
        <v/>
      </c>
      <c r="AD29" s="20">
        <f>IF(OR(Z29="",AA29="",AB29=""),"",INDEX(APGrid,COUNTIF(APS,"&gt;"&amp;(--TRIM(LEFT(Z29,2))))*5+COUNTIF(APO,"&gt;"&amp;(--TRIM(LEFT(AA29,2))))+1,COUNTIF(APD,"&gt;"&amp;(--TRIM(LEFT(AB29,2))))+1))</f>
        <v/>
      </c>
      <c r="AE29" s="4" t="n"/>
      <c r="AF29" s="4" t="n"/>
      <c r="AH29">
        <f>IFERROR(INDEX(EqTag,_xlfn.AGGREGATE(15,6,(ROW(EqTag)-4)/((EqSys=$D$3)*(EqTag&lt;&gt;"")),ROWS($AH$14:AH29))),"")</f>
        <v/>
      </c>
    </row>
    <row r="30">
      <c r="A30" s="20">
        <f>IF(F30="","",LEFT($D$3,3)&amp;"-"&amp;TEXT(COUNTIF(F$14:F30,"?*"),"00"))</f>
        <v/>
      </c>
      <c r="B30" s="4" t="n"/>
      <c r="C30" s="5">
        <f>IF(B30="","",IFERROR(INDEX(EqTypeCol,MATCH(B30,EqTag,0)),"Tag not in register"))</f>
        <v/>
      </c>
      <c r="D30" s="4" t="n"/>
      <c r="E30" s="4" t="n"/>
      <c r="F30" s="4" t="n"/>
      <c r="G30" s="4" t="n"/>
      <c r="H30" s="4" t="n"/>
      <c r="I30" s="4" t="n"/>
      <c r="J30" s="5">
        <f>_xlfn.TEXTJOIN(CHAR(10),TRUE,IF(G30="","","• "&amp;G30),IF(H30="","","• "&amp;H30),IF(I30="","","• "&amp;I30))</f>
        <v/>
      </c>
      <c r="K30" s="4" t="n"/>
      <c r="L30" s="4" t="n"/>
      <c r="M30" s="4" t="n"/>
      <c r="N30" s="16" t="n"/>
      <c r="O30" s="4" t="n"/>
      <c r="P30" s="16" t="n"/>
      <c r="Q30" s="4" t="n"/>
      <c r="R30" s="16" t="n"/>
      <c r="S30" s="20">
        <f>IF(OR(N30="",P30="",R30=""),"",(--TRIM(LEFT(N30,2)))*(--TRIM(LEFT(P30,2)))*(--TRIM(LEFT(R30,2))))</f>
        <v/>
      </c>
      <c r="T30" s="20">
        <f>IF(OR(N30="",P30="",R30=""),"",INDEX(APGrid,COUNTIF(APS,"&gt;"&amp;(--TRIM(LEFT(N30,2))))*5+COUNTIF(APO,"&gt;"&amp;(--TRIM(LEFT(P30,2))))+1,COUNTIF(APD,"&gt;"&amp;(--TRIM(LEFT(R30,2))))+1))</f>
        <v/>
      </c>
      <c r="U30" s="20">
        <f>IF(S30="","",IF(OR((--TRIM(LEFT(N30,2)))&gt;=SThr,S30&gt;=RPNThr,T30="H"),"Yes","No"))</f>
        <v/>
      </c>
      <c r="V30" s="4" t="n"/>
      <c r="W30" s="4" t="n"/>
      <c r="X30" s="4" t="n"/>
      <c r="Y30" s="29" t="n"/>
      <c r="Z30" s="16" t="n"/>
      <c r="AA30" s="16" t="n"/>
      <c r="AB30" s="16" t="n"/>
      <c r="AC30" s="20">
        <f>IF(OR(Z30="",AA30="",AB30=""),"",(--TRIM(LEFT(Z30,2)))*(--TRIM(LEFT(AA30,2)))*(--TRIM(LEFT(AB30,2))))</f>
        <v/>
      </c>
      <c r="AD30" s="20">
        <f>IF(OR(Z30="",AA30="",AB30=""),"",INDEX(APGrid,COUNTIF(APS,"&gt;"&amp;(--TRIM(LEFT(Z30,2))))*5+COUNTIF(APO,"&gt;"&amp;(--TRIM(LEFT(AA30,2))))+1,COUNTIF(APD,"&gt;"&amp;(--TRIM(LEFT(AB30,2))))+1))</f>
        <v/>
      </c>
      <c r="AE30" s="4" t="n"/>
      <c r="AF30" s="4" t="n"/>
      <c r="AH30">
        <f>IFERROR(INDEX(EqTag,_xlfn.AGGREGATE(15,6,(ROW(EqTag)-4)/((EqSys=$D$3)*(EqTag&lt;&gt;"")),ROWS($AH$14:AH30))),"")</f>
        <v/>
      </c>
    </row>
    <row r="31">
      <c r="A31" s="20">
        <f>IF(F31="","",LEFT($D$3,3)&amp;"-"&amp;TEXT(COUNTIF(F$14:F31,"?*"),"00"))</f>
        <v/>
      </c>
      <c r="B31" s="4" t="n"/>
      <c r="C31" s="5">
        <f>IF(B31="","",IFERROR(INDEX(EqTypeCol,MATCH(B31,EqTag,0)),"Tag not in register"))</f>
        <v/>
      </c>
      <c r="D31" s="4" t="n"/>
      <c r="E31" s="4" t="n"/>
      <c r="F31" s="4" t="n"/>
      <c r="G31" s="4" t="n"/>
      <c r="H31" s="4" t="n"/>
      <c r="I31" s="4" t="n"/>
      <c r="J31" s="5">
        <f>_xlfn.TEXTJOIN(CHAR(10),TRUE,IF(G31="","","• "&amp;G31),IF(H31="","","• "&amp;H31),IF(I31="","","• "&amp;I31))</f>
        <v/>
      </c>
      <c r="K31" s="4" t="n"/>
      <c r="L31" s="4" t="n"/>
      <c r="M31" s="4" t="n"/>
      <c r="N31" s="16" t="n"/>
      <c r="O31" s="4" t="n"/>
      <c r="P31" s="16" t="n"/>
      <c r="Q31" s="4" t="n"/>
      <c r="R31" s="16" t="n"/>
      <c r="S31" s="20">
        <f>IF(OR(N31="",P31="",R31=""),"",(--TRIM(LEFT(N31,2)))*(--TRIM(LEFT(P31,2)))*(--TRIM(LEFT(R31,2))))</f>
        <v/>
      </c>
      <c r="T31" s="20">
        <f>IF(OR(N31="",P31="",R31=""),"",INDEX(APGrid,COUNTIF(APS,"&gt;"&amp;(--TRIM(LEFT(N31,2))))*5+COUNTIF(APO,"&gt;"&amp;(--TRIM(LEFT(P31,2))))+1,COUNTIF(APD,"&gt;"&amp;(--TRIM(LEFT(R31,2))))+1))</f>
        <v/>
      </c>
      <c r="U31" s="20">
        <f>IF(S31="","",IF(OR((--TRIM(LEFT(N31,2)))&gt;=SThr,S31&gt;=RPNThr,T31="H"),"Yes","No"))</f>
        <v/>
      </c>
      <c r="V31" s="4" t="n"/>
      <c r="W31" s="4" t="n"/>
      <c r="X31" s="4" t="n"/>
      <c r="Y31" s="29" t="n"/>
      <c r="Z31" s="16" t="n"/>
      <c r="AA31" s="16" t="n"/>
      <c r="AB31" s="16" t="n"/>
      <c r="AC31" s="20">
        <f>IF(OR(Z31="",AA31="",AB31=""),"",(--TRIM(LEFT(Z31,2)))*(--TRIM(LEFT(AA31,2)))*(--TRIM(LEFT(AB31,2))))</f>
        <v/>
      </c>
      <c r="AD31" s="20">
        <f>IF(OR(Z31="",AA31="",AB31=""),"",INDEX(APGrid,COUNTIF(APS,"&gt;"&amp;(--TRIM(LEFT(Z31,2))))*5+COUNTIF(APO,"&gt;"&amp;(--TRIM(LEFT(AA31,2))))+1,COUNTIF(APD,"&gt;"&amp;(--TRIM(LEFT(AB31,2))))+1))</f>
        <v/>
      </c>
      <c r="AE31" s="4" t="n"/>
      <c r="AF31" s="4" t="n"/>
      <c r="AH31">
        <f>IFERROR(INDEX(EqTag,_xlfn.AGGREGATE(15,6,(ROW(EqTag)-4)/((EqSys=$D$3)*(EqTag&lt;&gt;"")),ROWS($AH$14:AH31))),"")</f>
        <v/>
      </c>
    </row>
    <row r="32">
      <c r="A32" s="20">
        <f>IF(F32="","",LEFT($D$3,3)&amp;"-"&amp;TEXT(COUNTIF(F$14:F32,"?*"),"00"))</f>
        <v/>
      </c>
      <c r="B32" s="4" t="n"/>
      <c r="C32" s="5">
        <f>IF(B32="","",IFERROR(INDEX(EqTypeCol,MATCH(B32,EqTag,0)),"Tag not in register"))</f>
        <v/>
      </c>
      <c r="D32" s="4" t="n"/>
      <c r="E32" s="4" t="n"/>
      <c r="F32" s="4" t="n"/>
      <c r="G32" s="4" t="n"/>
      <c r="H32" s="4" t="n"/>
      <c r="I32" s="4" t="n"/>
      <c r="J32" s="5">
        <f>_xlfn.TEXTJOIN(CHAR(10),TRUE,IF(G32="","","• "&amp;G32),IF(H32="","","• "&amp;H32),IF(I32="","","• "&amp;I32))</f>
        <v/>
      </c>
      <c r="K32" s="4" t="n"/>
      <c r="L32" s="4" t="n"/>
      <c r="M32" s="4" t="n"/>
      <c r="N32" s="16" t="n"/>
      <c r="O32" s="4" t="n"/>
      <c r="P32" s="16" t="n"/>
      <c r="Q32" s="4" t="n"/>
      <c r="R32" s="16" t="n"/>
      <c r="S32" s="20">
        <f>IF(OR(N32="",P32="",R32=""),"",(--TRIM(LEFT(N32,2)))*(--TRIM(LEFT(P32,2)))*(--TRIM(LEFT(R32,2))))</f>
        <v/>
      </c>
      <c r="T32" s="20">
        <f>IF(OR(N32="",P32="",R32=""),"",INDEX(APGrid,COUNTIF(APS,"&gt;"&amp;(--TRIM(LEFT(N32,2))))*5+COUNTIF(APO,"&gt;"&amp;(--TRIM(LEFT(P32,2))))+1,COUNTIF(APD,"&gt;"&amp;(--TRIM(LEFT(R32,2))))+1))</f>
        <v/>
      </c>
      <c r="U32" s="20">
        <f>IF(S32="","",IF(OR((--TRIM(LEFT(N32,2)))&gt;=SThr,S32&gt;=RPNThr,T32="H"),"Yes","No"))</f>
        <v/>
      </c>
      <c r="V32" s="4" t="n"/>
      <c r="W32" s="4" t="n"/>
      <c r="X32" s="4" t="n"/>
      <c r="Y32" s="29" t="n"/>
      <c r="Z32" s="16" t="n"/>
      <c r="AA32" s="16" t="n"/>
      <c r="AB32" s="16" t="n"/>
      <c r="AC32" s="20">
        <f>IF(OR(Z32="",AA32="",AB32=""),"",(--TRIM(LEFT(Z32,2)))*(--TRIM(LEFT(AA32,2)))*(--TRIM(LEFT(AB32,2))))</f>
        <v/>
      </c>
      <c r="AD32" s="20">
        <f>IF(OR(Z32="",AA32="",AB32=""),"",INDEX(APGrid,COUNTIF(APS,"&gt;"&amp;(--TRIM(LEFT(Z32,2))))*5+COUNTIF(APO,"&gt;"&amp;(--TRIM(LEFT(AA32,2))))+1,COUNTIF(APD,"&gt;"&amp;(--TRIM(LEFT(AB32,2))))+1))</f>
        <v/>
      </c>
      <c r="AE32" s="4" t="n"/>
      <c r="AF32" s="4" t="n"/>
      <c r="AH32">
        <f>IFERROR(INDEX(EqTag,_xlfn.AGGREGATE(15,6,(ROW(EqTag)-4)/((EqSys=$D$3)*(EqTag&lt;&gt;"")),ROWS($AH$14:AH32))),"")</f>
        <v/>
      </c>
    </row>
    <row r="33">
      <c r="A33" s="20">
        <f>IF(F33="","",LEFT($D$3,3)&amp;"-"&amp;TEXT(COUNTIF(F$14:F33,"?*"),"00"))</f>
        <v/>
      </c>
      <c r="B33" s="4" t="n"/>
      <c r="C33" s="5">
        <f>IF(B33="","",IFERROR(INDEX(EqTypeCol,MATCH(B33,EqTag,0)),"Tag not in register"))</f>
        <v/>
      </c>
      <c r="D33" s="4" t="n"/>
      <c r="E33" s="4" t="n"/>
      <c r="F33" s="4" t="n"/>
      <c r="G33" s="4" t="n"/>
      <c r="H33" s="4" t="n"/>
      <c r="I33" s="4" t="n"/>
      <c r="J33" s="5">
        <f>_xlfn.TEXTJOIN(CHAR(10),TRUE,IF(G33="","","• "&amp;G33),IF(H33="","","• "&amp;H33),IF(I33="","","• "&amp;I33))</f>
        <v/>
      </c>
      <c r="K33" s="4" t="n"/>
      <c r="L33" s="4" t="n"/>
      <c r="M33" s="4" t="n"/>
      <c r="N33" s="16" t="n"/>
      <c r="O33" s="4" t="n"/>
      <c r="P33" s="16" t="n"/>
      <c r="Q33" s="4" t="n"/>
      <c r="R33" s="16" t="n"/>
      <c r="S33" s="20">
        <f>IF(OR(N33="",P33="",R33=""),"",(--TRIM(LEFT(N33,2)))*(--TRIM(LEFT(P33,2)))*(--TRIM(LEFT(R33,2))))</f>
        <v/>
      </c>
      <c r="T33" s="20">
        <f>IF(OR(N33="",P33="",R33=""),"",INDEX(APGrid,COUNTIF(APS,"&gt;"&amp;(--TRIM(LEFT(N33,2))))*5+COUNTIF(APO,"&gt;"&amp;(--TRIM(LEFT(P33,2))))+1,COUNTIF(APD,"&gt;"&amp;(--TRIM(LEFT(R33,2))))+1))</f>
        <v/>
      </c>
      <c r="U33" s="20">
        <f>IF(S33="","",IF(OR((--TRIM(LEFT(N33,2)))&gt;=SThr,S33&gt;=RPNThr,T33="H"),"Yes","No"))</f>
        <v/>
      </c>
      <c r="V33" s="4" t="n"/>
      <c r="W33" s="4" t="n"/>
      <c r="X33" s="4" t="n"/>
      <c r="Y33" s="29" t="n"/>
      <c r="Z33" s="16" t="n"/>
      <c r="AA33" s="16" t="n"/>
      <c r="AB33" s="16" t="n"/>
      <c r="AC33" s="20">
        <f>IF(OR(Z33="",AA33="",AB33=""),"",(--TRIM(LEFT(Z33,2)))*(--TRIM(LEFT(AA33,2)))*(--TRIM(LEFT(AB33,2))))</f>
        <v/>
      </c>
      <c r="AD33" s="20">
        <f>IF(OR(Z33="",AA33="",AB33=""),"",INDEX(APGrid,COUNTIF(APS,"&gt;"&amp;(--TRIM(LEFT(Z33,2))))*5+COUNTIF(APO,"&gt;"&amp;(--TRIM(LEFT(AA33,2))))+1,COUNTIF(APD,"&gt;"&amp;(--TRIM(LEFT(AB33,2))))+1))</f>
        <v/>
      </c>
      <c r="AE33" s="4" t="n"/>
      <c r="AF33" s="4" t="n"/>
      <c r="AH33">
        <f>IFERROR(INDEX(EqTag,_xlfn.AGGREGATE(15,6,(ROW(EqTag)-4)/((EqSys=$D$3)*(EqTag&lt;&gt;"")),ROWS($AH$14:AH33))),"")</f>
        <v/>
      </c>
    </row>
    <row r="34">
      <c r="A34" s="20">
        <f>IF(F34="","",LEFT($D$3,3)&amp;"-"&amp;TEXT(COUNTIF(F$14:F34,"?*"),"00"))</f>
        <v/>
      </c>
      <c r="B34" s="4" t="n"/>
      <c r="C34" s="5">
        <f>IF(B34="","",IFERROR(INDEX(EqTypeCol,MATCH(B34,EqTag,0)),"Tag not in register"))</f>
        <v/>
      </c>
      <c r="D34" s="4" t="n"/>
      <c r="E34" s="4" t="n"/>
      <c r="F34" s="4" t="n"/>
      <c r="G34" s="4" t="n"/>
      <c r="H34" s="4" t="n"/>
      <c r="I34" s="4" t="n"/>
      <c r="J34" s="5">
        <f>_xlfn.TEXTJOIN(CHAR(10),TRUE,IF(G34="","","• "&amp;G34),IF(H34="","","• "&amp;H34),IF(I34="","","• "&amp;I34))</f>
        <v/>
      </c>
      <c r="K34" s="4" t="n"/>
      <c r="L34" s="4" t="n"/>
      <c r="M34" s="4" t="n"/>
      <c r="N34" s="16" t="n"/>
      <c r="O34" s="4" t="n"/>
      <c r="P34" s="16" t="n"/>
      <c r="Q34" s="4" t="n"/>
      <c r="R34" s="16" t="n"/>
      <c r="S34" s="20">
        <f>IF(OR(N34="",P34="",R34=""),"",(--TRIM(LEFT(N34,2)))*(--TRIM(LEFT(P34,2)))*(--TRIM(LEFT(R34,2))))</f>
        <v/>
      </c>
      <c r="T34" s="20">
        <f>IF(OR(N34="",P34="",R34=""),"",INDEX(APGrid,COUNTIF(APS,"&gt;"&amp;(--TRIM(LEFT(N34,2))))*5+COUNTIF(APO,"&gt;"&amp;(--TRIM(LEFT(P34,2))))+1,COUNTIF(APD,"&gt;"&amp;(--TRIM(LEFT(R34,2))))+1))</f>
        <v/>
      </c>
      <c r="U34" s="20">
        <f>IF(S34="","",IF(OR((--TRIM(LEFT(N34,2)))&gt;=SThr,S34&gt;=RPNThr,T34="H"),"Yes","No"))</f>
        <v/>
      </c>
      <c r="V34" s="4" t="n"/>
      <c r="W34" s="4" t="n"/>
      <c r="X34" s="4" t="n"/>
      <c r="Y34" s="29" t="n"/>
      <c r="Z34" s="16" t="n"/>
      <c r="AA34" s="16" t="n"/>
      <c r="AB34" s="16" t="n"/>
      <c r="AC34" s="20">
        <f>IF(OR(Z34="",AA34="",AB34=""),"",(--TRIM(LEFT(Z34,2)))*(--TRIM(LEFT(AA34,2)))*(--TRIM(LEFT(AB34,2))))</f>
        <v/>
      </c>
      <c r="AD34" s="20">
        <f>IF(OR(Z34="",AA34="",AB34=""),"",INDEX(APGrid,COUNTIF(APS,"&gt;"&amp;(--TRIM(LEFT(Z34,2))))*5+COUNTIF(APO,"&gt;"&amp;(--TRIM(LEFT(AA34,2))))+1,COUNTIF(APD,"&gt;"&amp;(--TRIM(LEFT(AB34,2))))+1))</f>
        <v/>
      </c>
      <c r="AE34" s="4" t="n"/>
      <c r="AF34" s="4" t="n"/>
      <c r="AH34">
        <f>IFERROR(INDEX(EqTag,_xlfn.AGGREGATE(15,6,(ROW(EqTag)-4)/((EqSys=$D$3)*(EqTag&lt;&gt;"")),ROWS($AH$14:AH34))),"")</f>
        <v/>
      </c>
    </row>
    <row r="35">
      <c r="A35" s="20">
        <f>IF(F35="","",LEFT($D$3,3)&amp;"-"&amp;TEXT(COUNTIF(F$14:F35,"?*"),"00"))</f>
        <v/>
      </c>
      <c r="B35" s="4" t="n"/>
      <c r="C35" s="5">
        <f>IF(B35="","",IFERROR(INDEX(EqTypeCol,MATCH(B35,EqTag,0)),"Tag not in register"))</f>
        <v/>
      </c>
      <c r="D35" s="4" t="n"/>
      <c r="E35" s="4" t="n"/>
      <c r="F35" s="4" t="n"/>
      <c r="G35" s="4" t="n"/>
      <c r="H35" s="4" t="n"/>
      <c r="I35" s="4" t="n"/>
      <c r="J35" s="5">
        <f>_xlfn.TEXTJOIN(CHAR(10),TRUE,IF(G35="","","• "&amp;G35),IF(H35="","","• "&amp;H35),IF(I35="","","• "&amp;I35))</f>
        <v/>
      </c>
      <c r="K35" s="4" t="n"/>
      <c r="L35" s="4" t="n"/>
      <c r="M35" s="4" t="n"/>
      <c r="N35" s="16" t="n"/>
      <c r="O35" s="4" t="n"/>
      <c r="P35" s="16" t="n"/>
      <c r="Q35" s="4" t="n"/>
      <c r="R35" s="16" t="n"/>
      <c r="S35" s="20">
        <f>IF(OR(N35="",P35="",R35=""),"",(--TRIM(LEFT(N35,2)))*(--TRIM(LEFT(P35,2)))*(--TRIM(LEFT(R35,2))))</f>
        <v/>
      </c>
      <c r="T35" s="20">
        <f>IF(OR(N35="",P35="",R35=""),"",INDEX(APGrid,COUNTIF(APS,"&gt;"&amp;(--TRIM(LEFT(N35,2))))*5+COUNTIF(APO,"&gt;"&amp;(--TRIM(LEFT(P35,2))))+1,COUNTIF(APD,"&gt;"&amp;(--TRIM(LEFT(R35,2))))+1))</f>
        <v/>
      </c>
      <c r="U35" s="20">
        <f>IF(S35="","",IF(OR((--TRIM(LEFT(N35,2)))&gt;=SThr,S35&gt;=RPNThr,T35="H"),"Yes","No"))</f>
        <v/>
      </c>
      <c r="V35" s="4" t="n"/>
      <c r="W35" s="4" t="n"/>
      <c r="X35" s="4" t="n"/>
      <c r="Y35" s="29" t="n"/>
      <c r="Z35" s="16" t="n"/>
      <c r="AA35" s="16" t="n"/>
      <c r="AB35" s="16" t="n"/>
      <c r="AC35" s="20">
        <f>IF(OR(Z35="",AA35="",AB35=""),"",(--TRIM(LEFT(Z35,2)))*(--TRIM(LEFT(AA35,2)))*(--TRIM(LEFT(AB35,2))))</f>
        <v/>
      </c>
      <c r="AD35" s="20">
        <f>IF(OR(Z35="",AA35="",AB35=""),"",INDEX(APGrid,COUNTIF(APS,"&gt;"&amp;(--TRIM(LEFT(Z35,2))))*5+COUNTIF(APO,"&gt;"&amp;(--TRIM(LEFT(AA35,2))))+1,COUNTIF(APD,"&gt;"&amp;(--TRIM(LEFT(AB35,2))))+1))</f>
        <v/>
      </c>
      <c r="AE35" s="4" t="n"/>
      <c r="AF35" s="4" t="n"/>
      <c r="AH35">
        <f>IFERROR(INDEX(EqTag,_xlfn.AGGREGATE(15,6,(ROW(EqTag)-4)/((EqSys=$D$3)*(EqTag&lt;&gt;"")),ROWS($AH$14:AH35))),"")</f>
        <v/>
      </c>
    </row>
    <row r="36">
      <c r="A36" s="20">
        <f>IF(F36="","",LEFT($D$3,3)&amp;"-"&amp;TEXT(COUNTIF(F$14:F36,"?*"),"00"))</f>
        <v/>
      </c>
      <c r="B36" s="4" t="n"/>
      <c r="C36" s="5">
        <f>IF(B36="","",IFERROR(INDEX(EqTypeCol,MATCH(B36,EqTag,0)),"Tag not in register"))</f>
        <v/>
      </c>
      <c r="D36" s="4" t="n"/>
      <c r="E36" s="4" t="n"/>
      <c r="F36" s="4" t="n"/>
      <c r="G36" s="4" t="n"/>
      <c r="H36" s="4" t="n"/>
      <c r="I36" s="4" t="n"/>
      <c r="J36" s="5">
        <f>_xlfn.TEXTJOIN(CHAR(10),TRUE,IF(G36="","","• "&amp;G36),IF(H36="","","• "&amp;H36),IF(I36="","","• "&amp;I36))</f>
        <v/>
      </c>
      <c r="K36" s="4" t="n"/>
      <c r="L36" s="4" t="n"/>
      <c r="M36" s="4" t="n"/>
      <c r="N36" s="16" t="n"/>
      <c r="O36" s="4" t="n"/>
      <c r="P36" s="16" t="n"/>
      <c r="Q36" s="4" t="n"/>
      <c r="R36" s="16" t="n"/>
      <c r="S36" s="20">
        <f>IF(OR(N36="",P36="",R36=""),"",(--TRIM(LEFT(N36,2)))*(--TRIM(LEFT(P36,2)))*(--TRIM(LEFT(R36,2))))</f>
        <v/>
      </c>
      <c r="T36" s="20">
        <f>IF(OR(N36="",P36="",R36=""),"",INDEX(APGrid,COUNTIF(APS,"&gt;"&amp;(--TRIM(LEFT(N36,2))))*5+COUNTIF(APO,"&gt;"&amp;(--TRIM(LEFT(P36,2))))+1,COUNTIF(APD,"&gt;"&amp;(--TRIM(LEFT(R36,2))))+1))</f>
        <v/>
      </c>
      <c r="U36" s="20">
        <f>IF(S36="","",IF(OR((--TRIM(LEFT(N36,2)))&gt;=SThr,S36&gt;=RPNThr,T36="H"),"Yes","No"))</f>
        <v/>
      </c>
      <c r="V36" s="4" t="n"/>
      <c r="W36" s="4" t="n"/>
      <c r="X36" s="4" t="n"/>
      <c r="Y36" s="29" t="n"/>
      <c r="Z36" s="16" t="n"/>
      <c r="AA36" s="16" t="n"/>
      <c r="AB36" s="16" t="n"/>
      <c r="AC36" s="20">
        <f>IF(OR(Z36="",AA36="",AB36=""),"",(--TRIM(LEFT(Z36,2)))*(--TRIM(LEFT(AA36,2)))*(--TRIM(LEFT(AB36,2))))</f>
        <v/>
      </c>
      <c r="AD36" s="20">
        <f>IF(OR(Z36="",AA36="",AB36=""),"",INDEX(APGrid,COUNTIF(APS,"&gt;"&amp;(--TRIM(LEFT(Z36,2))))*5+COUNTIF(APO,"&gt;"&amp;(--TRIM(LEFT(AA36,2))))+1,COUNTIF(APD,"&gt;"&amp;(--TRIM(LEFT(AB36,2))))+1))</f>
        <v/>
      </c>
      <c r="AE36" s="4" t="n"/>
      <c r="AF36" s="4" t="n"/>
      <c r="AH36">
        <f>IFERROR(INDEX(EqTag,_xlfn.AGGREGATE(15,6,(ROW(EqTag)-4)/((EqSys=$D$3)*(EqTag&lt;&gt;"")),ROWS($AH$14:AH36))),"")</f>
        <v/>
      </c>
    </row>
    <row r="37">
      <c r="A37" s="20">
        <f>IF(F37="","",LEFT($D$3,3)&amp;"-"&amp;TEXT(COUNTIF(F$14:F37,"?*"),"00"))</f>
        <v/>
      </c>
      <c r="B37" s="4" t="n"/>
      <c r="C37" s="5">
        <f>IF(B37="","",IFERROR(INDEX(EqTypeCol,MATCH(B37,EqTag,0)),"Tag not in register"))</f>
        <v/>
      </c>
      <c r="D37" s="4" t="n"/>
      <c r="E37" s="4" t="n"/>
      <c r="F37" s="4" t="n"/>
      <c r="G37" s="4" t="n"/>
      <c r="H37" s="4" t="n"/>
      <c r="I37" s="4" t="n"/>
      <c r="J37" s="5">
        <f>_xlfn.TEXTJOIN(CHAR(10),TRUE,IF(G37="","","• "&amp;G37),IF(H37="","","• "&amp;H37),IF(I37="","","• "&amp;I37))</f>
        <v/>
      </c>
      <c r="K37" s="4" t="n"/>
      <c r="L37" s="4" t="n"/>
      <c r="M37" s="4" t="n"/>
      <c r="N37" s="16" t="n"/>
      <c r="O37" s="4" t="n"/>
      <c r="P37" s="16" t="n"/>
      <c r="Q37" s="4" t="n"/>
      <c r="R37" s="16" t="n"/>
      <c r="S37" s="20">
        <f>IF(OR(N37="",P37="",R37=""),"",(--TRIM(LEFT(N37,2)))*(--TRIM(LEFT(P37,2)))*(--TRIM(LEFT(R37,2))))</f>
        <v/>
      </c>
      <c r="T37" s="20">
        <f>IF(OR(N37="",P37="",R37=""),"",INDEX(APGrid,COUNTIF(APS,"&gt;"&amp;(--TRIM(LEFT(N37,2))))*5+COUNTIF(APO,"&gt;"&amp;(--TRIM(LEFT(P37,2))))+1,COUNTIF(APD,"&gt;"&amp;(--TRIM(LEFT(R37,2))))+1))</f>
        <v/>
      </c>
      <c r="U37" s="20">
        <f>IF(S37="","",IF(OR((--TRIM(LEFT(N37,2)))&gt;=SThr,S37&gt;=RPNThr,T37="H"),"Yes","No"))</f>
        <v/>
      </c>
      <c r="V37" s="4" t="n"/>
      <c r="W37" s="4" t="n"/>
      <c r="X37" s="4" t="n"/>
      <c r="Y37" s="29" t="n"/>
      <c r="Z37" s="16" t="n"/>
      <c r="AA37" s="16" t="n"/>
      <c r="AB37" s="16" t="n"/>
      <c r="AC37" s="20">
        <f>IF(OR(Z37="",AA37="",AB37=""),"",(--TRIM(LEFT(Z37,2)))*(--TRIM(LEFT(AA37,2)))*(--TRIM(LEFT(AB37,2))))</f>
        <v/>
      </c>
      <c r="AD37" s="20">
        <f>IF(OR(Z37="",AA37="",AB37=""),"",INDEX(APGrid,COUNTIF(APS,"&gt;"&amp;(--TRIM(LEFT(Z37,2))))*5+COUNTIF(APO,"&gt;"&amp;(--TRIM(LEFT(AA37,2))))+1,COUNTIF(APD,"&gt;"&amp;(--TRIM(LEFT(AB37,2))))+1))</f>
        <v/>
      </c>
      <c r="AE37" s="4" t="n"/>
      <c r="AF37" s="4" t="n"/>
      <c r="AH37">
        <f>IFERROR(INDEX(EqTag,_xlfn.AGGREGATE(15,6,(ROW(EqTag)-4)/((EqSys=$D$3)*(EqTag&lt;&gt;"")),ROWS($AH$14:AH37))),"")</f>
        <v/>
      </c>
    </row>
    <row r="38">
      <c r="A38" s="20">
        <f>IF(F38="","",LEFT($D$3,3)&amp;"-"&amp;TEXT(COUNTIF(F$14:F38,"?*"),"00"))</f>
        <v/>
      </c>
      <c r="B38" s="4" t="n"/>
      <c r="C38" s="5">
        <f>IF(B38="","",IFERROR(INDEX(EqTypeCol,MATCH(B38,EqTag,0)),"Tag not in register"))</f>
        <v/>
      </c>
      <c r="D38" s="4" t="n"/>
      <c r="E38" s="4" t="n"/>
      <c r="F38" s="4" t="n"/>
      <c r="G38" s="4" t="n"/>
      <c r="H38" s="4" t="n"/>
      <c r="I38" s="4" t="n"/>
      <c r="J38" s="5">
        <f>_xlfn.TEXTJOIN(CHAR(10),TRUE,IF(G38="","","• "&amp;G38),IF(H38="","","• "&amp;H38),IF(I38="","","• "&amp;I38))</f>
        <v/>
      </c>
      <c r="K38" s="4" t="n"/>
      <c r="L38" s="4" t="n"/>
      <c r="M38" s="4" t="n"/>
      <c r="N38" s="16" t="n"/>
      <c r="O38" s="4" t="n"/>
      <c r="P38" s="16" t="n"/>
      <c r="Q38" s="4" t="n"/>
      <c r="R38" s="16" t="n"/>
      <c r="S38" s="20">
        <f>IF(OR(N38="",P38="",R38=""),"",(--TRIM(LEFT(N38,2)))*(--TRIM(LEFT(P38,2)))*(--TRIM(LEFT(R38,2))))</f>
        <v/>
      </c>
      <c r="T38" s="20">
        <f>IF(OR(N38="",P38="",R38=""),"",INDEX(APGrid,COUNTIF(APS,"&gt;"&amp;(--TRIM(LEFT(N38,2))))*5+COUNTIF(APO,"&gt;"&amp;(--TRIM(LEFT(P38,2))))+1,COUNTIF(APD,"&gt;"&amp;(--TRIM(LEFT(R38,2))))+1))</f>
        <v/>
      </c>
      <c r="U38" s="20">
        <f>IF(S38="","",IF(OR((--TRIM(LEFT(N38,2)))&gt;=SThr,S38&gt;=RPNThr,T38="H"),"Yes","No"))</f>
        <v/>
      </c>
      <c r="V38" s="4" t="n"/>
      <c r="W38" s="4" t="n"/>
      <c r="X38" s="4" t="n"/>
      <c r="Y38" s="29" t="n"/>
      <c r="Z38" s="16" t="n"/>
      <c r="AA38" s="16" t="n"/>
      <c r="AB38" s="16" t="n"/>
      <c r="AC38" s="20">
        <f>IF(OR(Z38="",AA38="",AB38=""),"",(--TRIM(LEFT(Z38,2)))*(--TRIM(LEFT(AA38,2)))*(--TRIM(LEFT(AB38,2))))</f>
        <v/>
      </c>
      <c r="AD38" s="20">
        <f>IF(OR(Z38="",AA38="",AB38=""),"",INDEX(APGrid,COUNTIF(APS,"&gt;"&amp;(--TRIM(LEFT(Z38,2))))*5+COUNTIF(APO,"&gt;"&amp;(--TRIM(LEFT(AA38,2))))+1,COUNTIF(APD,"&gt;"&amp;(--TRIM(LEFT(AB38,2))))+1))</f>
        <v/>
      </c>
      <c r="AE38" s="4" t="n"/>
      <c r="AF38" s="4" t="n"/>
      <c r="AH38">
        <f>IFERROR(INDEX(EqTag,_xlfn.AGGREGATE(15,6,(ROW(EqTag)-4)/((EqSys=$D$3)*(EqTag&lt;&gt;"")),ROWS($AH$14:AH38))),"")</f>
        <v/>
      </c>
    </row>
    <row r="39">
      <c r="A39" s="20">
        <f>IF(F39="","",LEFT($D$3,3)&amp;"-"&amp;TEXT(COUNTIF(F$14:F39,"?*"),"00"))</f>
        <v/>
      </c>
      <c r="B39" s="4" t="n"/>
      <c r="C39" s="5">
        <f>IF(B39="","",IFERROR(INDEX(EqTypeCol,MATCH(B39,EqTag,0)),"Tag not in register"))</f>
        <v/>
      </c>
      <c r="D39" s="4" t="n"/>
      <c r="E39" s="4" t="n"/>
      <c r="F39" s="4" t="n"/>
      <c r="G39" s="4" t="n"/>
      <c r="H39" s="4" t="n"/>
      <c r="I39" s="4" t="n"/>
      <c r="J39" s="5">
        <f>_xlfn.TEXTJOIN(CHAR(10),TRUE,IF(G39="","","• "&amp;G39),IF(H39="","","• "&amp;H39),IF(I39="","","• "&amp;I39))</f>
        <v/>
      </c>
      <c r="K39" s="4" t="n"/>
      <c r="L39" s="4" t="n"/>
      <c r="M39" s="4" t="n"/>
      <c r="N39" s="16" t="n"/>
      <c r="O39" s="4" t="n"/>
      <c r="P39" s="16" t="n"/>
      <c r="Q39" s="4" t="n"/>
      <c r="R39" s="16" t="n"/>
      <c r="S39" s="20">
        <f>IF(OR(N39="",P39="",R39=""),"",(--TRIM(LEFT(N39,2)))*(--TRIM(LEFT(P39,2)))*(--TRIM(LEFT(R39,2))))</f>
        <v/>
      </c>
      <c r="T39" s="20">
        <f>IF(OR(N39="",P39="",R39=""),"",INDEX(APGrid,COUNTIF(APS,"&gt;"&amp;(--TRIM(LEFT(N39,2))))*5+COUNTIF(APO,"&gt;"&amp;(--TRIM(LEFT(P39,2))))+1,COUNTIF(APD,"&gt;"&amp;(--TRIM(LEFT(R39,2))))+1))</f>
        <v/>
      </c>
      <c r="U39" s="20">
        <f>IF(S39="","",IF(OR((--TRIM(LEFT(N39,2)))&gt;=SThr,S39&gt;=RPNThr,T39="H"),"Yes","No"))</f>
        <v/>
      </c>
      <c r="V39" s="4" t="n"/>
      <c r="W39" s="4" t="n"/>
      <c r="X39" s="4" t="n"/>
      <c r="Y39" s="29" t="n"/>
      <c r="Z39" s="16" t="n"/>
      <c r="AA39" s="16" t="n"/>
      <c r="AB39" s="16" t="n"/>
      <c r="AC39" s="20">
        <f>IF(OR(Z39="",AA39="",AB39=""),"",(--TRIM(LEFT(Z39,2)))*(--TRIM(LEFT(AA39,2)))*(--TRIM(LEFT(AB39,2))))</f>
        <v/>
      </c>
      <c r="AD39" s="20">
        <f>IF(OR(Z39="",AA39="",AB39=""),"",INDEX(APGrid,COUNTIF(APS,"&gt;"&amp;(--TRIM(LEFT(Z39,2))))*5+COUNTIF(APO,"&gt;"&amp;(--TRIM(LEFT(AA39,2))))+1,COUNTIF(APD,"&gt;"&amp;(--TRIM(LEFT(AB39,2))))+1))</f>
        <v/>
      </c>
      <c r="AE39" s="4" t="n"/>
      <c r="AF39" s="4" t="n"/>
      <c r="AH39">
        <f>IFERROR(INDEX(EqTag,_xlfn.AGGREGATE(15,6,(ROW(EqTag)-4)/((EqSys=$D$3)*(EqTag&lt;&gt;"")),ROWS($AH$14:AH39))),"")</f>
        <v/>
      </c>
    </row>
    <row r="40">
      <c r="A40" s="20">
        <f>IF(F40="","",LEFT($D$3,3)&amp;"-"&amp;TEXT(COUNTIF(F$14:F40,"?*"),"00"))</f>
        <v/>
      </c>
      <c r="B40" s="4" t="n"/>
      <c r="C40" s="5">
        <f>IF(B40="","",IFERROR(INDEX(EqTypeCol,MATCH(B40,EqTag,0)),"Tag not in register"))</f>
        <v/>
      </c>
      <c r="D40" s="4" t="n"/>
      <c r="E40" s="4" t="n"/>
      <c r="F40" s="4" t="n"/>
      <c r="G40" s="4" t="n"/>
      <c r="H40" s="4" t="n"/>
      <c r="I40" s="4" t="n"/>
      <c r="J40" s="5">
        <f>_xlfn.TEXTJOIN(CHAR(10),TRUE,IF(G40="","","• "&amp;G40),IF(H40="","","• "&amp;H40),IF(I40="","","• "&amp;I40))</f>
        <v/>
      </c>
      <c r="K40" s="4" t="n"/>
      <c r="L40" s="4" t="n"/>
      <c r="M40" s="4" t="n"/>
      <c r="N40" s="16" t="n"/>
      <c r="O40" s="4" t="n"/>
      <c r="P40" s="16" t="n"/>
      <c r="Q40" s="4" t="n"/>
      <c r="R40" s="16" t="n"/>
      <c r="S40" s="20">
        <f>IF(OR(N40="",P40="",R40=""),"",(--TRIM(LEFT(N40,2)))*(--TRIM(LEFT(P40,2)))*(--TRIM(LEFT(R40,2))))</f>
        <v/>
      </c>
      <c r="T40" s="20">
        <f>IF(OR(N40="",P40="",R40=""),"",INDEX(APGrid,COUNTIF(APS,"&gt;"&amp;(--TRIM(LEFT(N40,2))))*5+COUNTIF(APO,"&gt;"&amp;(--TRIM(LEFT(P40,2))))+1,COUNTIF(APD,"&gt;"&amp;(--TRIM(LEFT(R40,2))))+1))</f>
        <v/>
      </c>
      <c r="U40" s="20">
        <f>IF(S40="","",IF(OR((--TRIM(LEFT(N40,2)))&gt;=SThr,S40&gt;=RPNThr,T40="H"),"Yes","No"))</f>
        <v/>
      </c>
      <c r="V40" s="4" t="n"/>
      <c r="W40" s="4" t="n"/>
      <c r="X40" s="4" t="n"/>
      <c r="Y40" s="29" t="n"/>
      <c r="Z40" s="16" t="n"/>
      <c r="AA40" s="16" t="n"/>
      <c r="AB40" s="16" t="n"/>
      <c r="AC40" s="20">
        <f>IF(OR(Z40="",AA40="",AB40=""),"",(--TRIM(LEFT(Z40,2)))*(--TRIM(LEFT(AA40,2)))*(--TRIM(LEFT(AB40,2))))</f>
        <v/>
      </c>
      <c r="AD40" s="20">
        <f>IF(OR(Z40="",AA40="",AB40=""),"",INDEX(APGrid,COUNTIF(APS,"&gt;"&amp;(--TRIM(LEFT(Z40,2))))*5+COUNTIF(APO,"&gt;"&amp;(--TRIM(LEFT(AA40,2))))+1,COUNTIF(APD,"&gt;"&amp;(--TRIM(LEFT(AB40,2))))+1))</f>
        <v/>
      </c>
      <c r="AE40" s="4" t="n"/>
      <c r="AF40" s="4" t="n"/>
      <c r="AH40">
        <f>IFERROR(INDEX(EqTag,_xlfn.AGGREGATE(15,6,(ROW(EqTag)-4)/((EqSys=$D$3)*(EqTag&lt;&gt;"")),ROWS($AH$14:AH40))),"")</f>
        <v/>
      </c>
    </row>
    <row r="41">
      <c r="A41" s="20">
        <f>IF(F41="","",LEFT($D$3,3)&amp;"-"&amp;TEXT(COUNTIF(F$14:F41,"?*"),"00"))</f>
        <v/>
      </c>
      <c r="B41" s="4" t="n"/>
      <c r="C41" s="5">
        <f>IF(B41="","",IFERROR(INDEX(EqTypeCol,MATCH(B41,EqTag,0)),"Tag not in register"))</f>
        <v/>
      </c>
      <c r="D41" s="4" t="n"/>
      <c r="E41" s="4" t="n"/>
      <c r="F41" s="4" t="n"/>
      <c r="G41" s="4" t="n"/>
      <c r="H41" s="4" t="n"/>
      <c r="I41" s="4" t="n"/>
      <c r="J41" s="5">
        <f>_xlfn.TEXTJOIN(CHAR(10),TRUE,IF(G41="","","• "&amp;G41),IF(H41="","","• "&amp;H41),IF(I41="","","• "&amp;I41))</f>
        <v/>
      </c>
      <c r="K41" s="4" t="n"/>
      <c r="L41" s="4" t="n"/>
      <c r="M41" s="4" t="n"/>
      <c r="N41" s="16" t="n"/>
      <c r="O41" s="4" t="n"/>
      <c r="P41" s="16" t="n"/>
      <c r="Q41" s="4" t="n"/>
      <c r="R41" s="16" t="n"/>
      <c r="S41" s="20">
        <f>IF(OR(N41="",P41="",R41=""),"",(--TRIM(LEFT(N41,2)))*(--TRIM(LEFT(P41,2)))*(--TRIM(LEFT(R41,2))))</f>
        <v/>
      </c>
      <c r="T41" s="20">
        <f>IF(OR(N41="",P41="",R41=""),"",INDEX(APGrid,COUNTIF(APS,"&gt;"&amp;(--TRIM(LEFT(N41,2))))*5+COUNTIF(APO,"&gt;"&amp;(--TRIM(LEFT(P41,2))))+1,COUNTIF(APD,"&gt;"&amp;(--TRIM(LEFT(R41,2))))+1))</f>
        <v/>
      </c>
      <c r="U41" s="20">
        <f>IF(S41="","",IF(OR((--TRIM(LEFT(N41,2)))&gt;=SThr,S41&gt;=RPNThr,T41="H"),"Yes","No"))</f>
        <v/>
      </c>
      <c r="V41" s="4" t="n"/>
      <c r="W41" s="4" t="n"/>
      <c r="X41" s="4" t="n"/>
      <c r="Y41" s="29" t="n"/>
      <c r="Z41" s="16" t="n"/>
      <c r="AA41" s="16" t="n"/>
      <c r="AB41" s="16" t="n"/>
      <c r="AC41" s="20">
        <f>IF(OR(Z41="",AA41="",AB41=""),"",(--TRIM(LEFT(Z41,2)))*(--TRIM(LEFT(AA41,2)))*(--TRIM(LEFT(AB41,2))))</f>
        <v/>
      </c>
      <c r="AD41" s="20">
        <f>IF(OR(Z41="",AA41="",AB41=""),"",INDEX(APGrid,COUNTIF(APS,"&gt;"&amp;(--TRIM(LEFT(Z41,2))))*5+COUNTIF(APO,"&gt;"&amp;(--TRIM(LEFT(AA41,2))))+1,COUNTIF(APD,"&gt;"&amp;(--TRIM(LEFT(AB41,2))))+1))</f>
        <v/>
      </c>
      <c r="AE41" s="4" t="n"/>
      <c r="AF41" s="4" t="n"/>
      <c r="AH41">
        <f>IFERROR(INDEX(EqTag,_xlfn.AGGREGATE(15,6,(ROW(EqTag)-4)/((EqSys=$D$3)*(EqTag&lt;&gt;"")),ROWS($AH$14:AH41))),"")</f>
        <v/>
      </c>
    </row>
    <row r="42">
      <c r="A42" s="20">
        <f>IF(F42="","",LEFT($D$3,3)&amp;"-"&amp;TEXT(COUNTIF(F$14:F42,"?*"),"00"))</f>
        <v/>
      </c>
      <c r="B42" s="4" t="n"/>
      <c r="C42" s="5">
        <f>IF(B42="","",IFERROR(INDEX(EqTypeCol,MATCH(B42,EqTag,0)),"Tag not in register"))</f>
        <v/>
      </c>
      <c r="D42" s="4" t="n"/>
      <c r="E42" s="4" t="n"/>
      <c r="F42" s="4" t="n"/>
      <c r="G42" s="4" t="n"/>
      <c r="H42" s="4" t="n"/>
      <c r="I42" s="4" t="n"/>
      <c r="J42" s="5">
        <f>_xlfn.TEXTJOIN(CHAR(10),TRUE,IF(G42="","","• "&amp;G42),IF(H42="","","• "&amp;H42),IF(I42="","","• "&amp;I42))</f>
        <v/>
      </c>
      <c r="K42" s="4" t="n"/>
      <c r="L42" s="4" t="n"/>
      <c r="M42" s="4" t="n"/>
      <c r="N42" s="16" t="n"/>
      <c r="O42" s="4" t="n"/>
      <c r="P42" s="16" t="n"/>
      <c r="Q42" s="4" t="n"/>
      <c r="R42" s="16" t="n"/>
      <c r="S42" s="20">
        <f>IF(OR(N42="",P42="",R42=""),"",(--TRIM(LEFT(N42,2)))*(--TRIM(LEFT(P42,2)))*(--TRIM(LEFT(R42,2))))</f>
        <v/>
      </c>
      <c r="T42" s="20">
        <f>IF(OR(N42="",P42="",R42=""),"",INDEX(APGrid,COUNTIF(APS,"&gt;"&amp;(--TRIM(LEFT(N42,2))))*5+COUNTIF(APO,"&gt;"&amp;(--TRIM(LEFT(P42,2))))+1,COUNTIF(APD,"&gt;"&amp;(--TRIM(LEFT(R42,2))))+1))</f>
        <v/>
      </c>
      <c r="U42" s="20">
        <f>IF(S42="","",IF(OR((--TRIM(LEFT(N42,2)))&gt;=SThr,S42&gt;=RPNThr,T42="H"),"Yes","No"))</f>
        <v/>
      </c>
      <c r="V42" s="4" t="n"/>
      <c r="W42" s="4" t="n"/>
      <c r="X42" s="4" t="n"/>
      <c r="Y42" s="29" t="n"/>
      <c r="Z42" s="16" t="n"/>
      <c r="AA42" s="16" t="n"/>
      <c r="AB42" s="16" t="n"/>
      <c r="AC42" s="20">
        <f>IF(OR(Z42="",AA42="",AB42=""),"",(--TRIM(LEFT(Z42,2)))*(--TRIM(LEFT(AA42,2)))*(--TRIM(LEFT(AB42,2))))</f>
        <v/>
      </c>
      <c r="AD42" s="20">
        <f>IF(OR(Z42="",AA42="",AB42=""),"",INDEX(APGrid,COUNTIF(APS,"&gt;"&amp;(--TRIM(LEFT(Z42,2))))*5+COUNTIF(APO,"&gt;"&amp;(--TRIM(LEFT(AA42,2))))+1,COUNTIF(APD,"&gt;"&amp;(--TRIM(LEFT(AB42,2))))+1))</f>
        <v/>
      </c>
      <c r="AE42" s="4" t="n"/>
      <c r="AF42" s="4" t="n"/>
      <c r="AH42">
        <f>IFERROR(INDEX(EqTag,_xlfn.AGGREGATE(15,6,(ROW(EqTag)-4)/((EqSys=$D$3)*(EqTag&lt;&gt;"")),ROWS($AH$14:AH42))),"")</f>
        <v/>
      </c>
    </row>
    <row r="43">
      <c r="A43" s="20">
        <f>IF(F43="","",LEFT($D$3,3)&amp;"-"&amp;TEXT(COUNTIF(F$14:F43,"?*"),"00"))</f>
        <v/>
      </c>
      <c r="B43" s="4" t="n"/>
      <c r="C43" s="5">
        <f>IF(B43="","",IFERROR(INDEX(EqTypeCol,MATCH(B43,EqTag,0)),"Tag not in register"))</f>
        <v/>
      </c>
      <c r="D43" s="4" t="n"/>
      <c r="E43" s="4" t="n"/>
      <c r="F43" s="4" t="n"/>
      <c r="G43" s="4" t="n"/>
      <c r="H43" s="4" t="n"/>
      <c r="I43" s="4" t="n"/>
      <c r="J43" s="5">
        <f>_xlfn.TEXTJOIN(CHAR(10),TRUE,IF(G43="","","• "&amp;G43),IF(H43="","","• "&amp;H43),IF(I43="","","• "&amp;I43))</f>
        <v/>
      </c>
      <c r="K43" s="4" t="n"/>
      <c r="L43" s="4" t="n"/>
      <c r="M43" s="4" t="n"/>
      <c r="N43" s="16" t="n"/>
      <c r="O43" s="4" t="n"/>
      <c r="P43" s="16" t="n"/>
      <c r="Q43" s="4" t="n"/>
      <c r="R43" s="16" t="n"/>
      <c r="S43" s="20">
        <f>IF(OR(N43="",P43="",R43=""),"",(--TRIM(LEFT(N43,2)))*(--TRIM(LEFT(P43,2)))*(--TRIM(LEFT(R43,2))))</f>
        <v/>
      </c>
      <c r="T43" s="20">
        <f>IF(OR(N43="",P43="",R43=""),"",INDEX(APGrid,COUNTIF(APS,"&gt;"&amp;(--TRIM(LEFT(N43,2))))*5+COUNTIF(APO,"&gt;"&amp;(--TRIM(LEFT(P43,2))))+1,COUNTIF(APD,"&gt;"&amp;(--TRIM(LEFT(R43,2))))+1))</f>
        <v/>
      </c>
      <c r="U43" s="20">
        <f>IF(S43="","",IF(OR((--TRIM(LEFT(N43,2)))&gt;=SThr,S43&gt;=RPNThr,T43="H"),"Yes","No"))</f>
        <v/>
      </c>
      <c r="V43" s="4" t="n"/>
      <c r="W43" s="4" t="n"/>
      <c r="X43" s="4" t="n"/>
      <c r="Y43" s="29" t="n"/>
      <c r="Z43" s="16" t="n"/>
      <c r="AA43" s="16" t="n"/>
      <c r="AB43" s="16" t="n"/>
      <c r="AC43" s="20">
        <f>IF(OR(Z43="",AA43="",AB43=""),"",(--TRIM(LEFT(Z43,2)))*(--TRIM(LEFT(AA43,2)))*(--TRIM(LEFT(AB43,2))))</f>
        <v/>
      </c>
      <c r="AD43" s="20">
        <f>IF(OR(Z43="",AA43="",AB43=""),"",INDEX(APGrid,COUNTIF(APS,"&gt;"&amp;(--TRIM(LEFT(Z43,2))))*5+COUNTIF(APO,"&gt;"&amp;(--TRIM(LEFT(AA43,2))))+1,COUNTIF(APD,"&gt;"&amp;(--TRIM(LEFT(AB43,2))))+1))</f>
        <v/>
      </c>
      <c r="AE43" s="4" t="n"/>
      <c r="AF43" s="4" t="n"/>
      <c r="AH43">
        <f>IFERROR(INDEX(EqTag,_xlfn.AGGREGATE(15,6,(ROW(EqTag)-4)/((EqSys=$D$3)*(EqTag&lt;&gt;"")),ROWS($AH$14:AH43))),"")</f>
        <v/>
      </c>
    </row>
    <row r="44">
      <c r="A44" s="20">
        <f>IF(F44="","",LEFT($D$3,3)&amp;"-"&amp;TEXT(COUNTIF(F$14:F44,"?*"),"00"))</f>
        <v/>
      </c>
      <c r="B44" s="4" t="n"/>
      <c r="C44" s="5">
        <f>IF(B44="","",IFERROR(INDEX(EqTypeCol,MATCH(B44,EqTag,0)),"Tag not in register"))</f>
        <v/>
      </c>
      <c r="D44" s="4" t="n"/>
      <c r="E44" s="4" t="n"/>
      <c r="F44" s="4" t="n"/>
      <c r="G44" s="4" t="n"/>
      <c r="H44" s="4" t="n"/>
      <c r="I44" s="4" t="n"/>
      <c r="J44" s="5">
        <f>_xlfn.TEXTJOIN(CHAR(10),TRUE,IF(G44="","","• "&amp;G44),IF(H44="","","• "&amp;H44),IF(I44="","","• "&amp;I44))</f>
        <v/>
      </c>
      <c r="K44" s="4" t="n"/>
      <c r="L44" s="4" t="n"/>
      <c r="M44" s="4" t="n"/>
      <c r="N44" s="16" t="n"/>
      <c r="O44" s="4" t="n"/>
      <c r="P44" s="16" t="n"/>
      <c r="Q44" s="4" t="n"/>
      <c r="R44" s="16" t="n"/>
      <c r="S44" s="20">
        <f>IF(OR(N44="",P44="",R44=""),"",(--TRIM(LEFT(N44,2)))*(--TRIM(LEFT(P44,2)))*(--TRIM(LEFT(R44,2))))</f>
        <v/>
      </c>
      <c r="T44" s="20">
        <f>IF(OR(N44="",P44="",R44=""),"",INDEX(APGrid,COUNTIF(APS,"&gt;"&amp;(--TRIM(LEFT(N44,2))))*5+COUNTIF(APO,"&gt;"&amp;(--TRIM(LEFT(P44,2))))+1,COUNTIF(APD,"&gt;"&amp;(--TRIM(LEFT(R44,2))))+1))</f>
        <v/>
      </c>
      <c r="U44" s="20">
        <f>IF(S44="","",IF(OR((--TRIM(LEFT(N44,2)))&gt;=SThr,S44&gt;=RPNThr,T44="H"),"Yes","No"))</f>
        <v/>
      </c>
      <c r="V44" s="4" t="n"/>
      <c r="W44" s="4" t="n"/>
      <c r="X44" s="4" t="n"/>
      <c r="Y44" s="29" t="n"/>
      <c r="Z44" s="16" t="n"/>
      <c r="AA44" s="16" t="n"/>
      <c r="AB44" s="16" t="n"/>
      <c r="AC44" s="20">
        <f>IF(OR(Z44="",AA44="",AB44=""),"",(--TRIM(LEFT(Z44,2)))*(--TRIM(LEFT(AA44,2)))*(--TRIM(LEFT(AB44,2))))</f>
        <v/>
      </c>
      <c r="AD44" s="20">
        <f>IF(OR(Z44="",AA44="",AB44=""),"",INDEX(APGrid,COUNTIF(APS,"&gt;"&amp;(--TRIM(LEFT(Z44,2))))*5+COUNTIF(APO,"&gt;"&amp;(--TRIM(LEFT(AA44,2))))+1,COUNTIF(APD,"&gt;"&amp;(--TRIM(LEFT(AB44,2))))+1))</f>
        <v/>
      </c>
      <c r="AE44" s="4" t="n"/>
      <c r="AF44" s="4" t="n"/>
      <c r="AH44">
        <f>IFERROR(INDEX(EqTag,_xlfn.AGGREGATE(15,6,(ROW(EqTag)-4)/((EqSys=$D$3)*(EqTag&lt;&gt;"")),ROWS($AH$14:AH44))),"")</f>
        <v/>
      </c>
    </row>
    <row r="45">
      <c r="A45" s="20">
        <f>IF(F45="","",LEFT($D$3,3)&amp;"-"&amp;TEXT(COUNTIF(F$14:F45,"?*"),"00"))</f>
        <v/>
      </c>
      <c r="B45" s="4" t="n"/>
      <c r="C45" s="5">
        <f>IF(B45="","",IFERROR(INDEX(EqTypeCol,MATCH(B45,EqTag,0)),"Tag not in register"))</f>
        <v/>
      </c>
      <c r="D45" s="4" t="n"/>
      <c r="E45" s="4" t="n"/>
      <c r="F45" s="4" t="n"/>
      <c r="G45" s="4" t="n"/>
      <c r="H45" s="4" t="n"/>
      <c r="I45" s="4" t="n"/>
      <c r="J45" s="5">
        <f>_xlfn.TEXTJOIN(CHAR(10),TRUE,IF(G45="","","• "&amp;G45),IF(H45="","","• "&amp;H45),IF(I45="","","• "&amp;I45))</f>
        <v/>
      </c>
      <c r="K45" s="4" t="n"/>
      <c r="L45" s="4" t="n"/>
      <c r="M45" s="4" t="n"/>
      <c r="N45" s="16" t="n"/>
      <c r="O45" s="4" t="n"/>
      <c r="P45" s="16" t="n"/>
      <c r="Q45" s="4" t="n"/>
      <c r="R45" s="16" t="n"/>
      <c r="S45" s="20">
        <f>IF(OR(N45="",P45="",R45=""),"",(--TRIM(LEFT(N45,2)))*(--TRIM(LEFT(P45,2)))*(--TRIM(LEFT(R45,2))))</f>
        <v/>
      </c>
      <c r="T45" s="20">
        <f>IF(OR(N45="",P45="",R45=""),"",INDEX(APGrid,COUNTIF(APS,"&gt;"&amp;(--TRIM(LEFT(N45,2))))*5+COUNTIF(APO,"&gt;"&amp;(--TRIM(LEFT(P45,2))))+1,COUNTIF(APD,"&gt;"&amp;(--TRIM(LEFT(R45,2))))+1))</f>
        <v/>
      </c>
      <c r="U45" s="20">
        <f>IF(S45="","",IF(OR((--TRIM(LEFT(N45,2)))&gt;=SThr,S45&gt;=RPNThr,T45="H"),"Yes","No"))</f>
        <v/>
      </c>
      <c r="V45" s="4" t="n"/>
      <c r="W45" s="4" t="n"/>
      <c r="X45" s="4" t="n"/>
      <c r="Y45" s="29" t="n"/>
      <c r="Z45" s="16" t="n"/>
      <c r="AA45" s="16" t="n"/>
      <c r="AB45" s="16" t="n"/>
      <c r="AC45" s="20">
        <f>IF(OR(Z45="",AA45="",AB45=""),"",(--TRIM(LEFT(Z45,2)))*(--TRIM(LEFT(AA45,2)))*(--TRIM(LEFT(AB45,2))))</f>
        <v/>
      </c>
      <c r="AD45" s="20">
        <f>IF(OR(Z45="",AA45="",AB45=""),"",INDEX(APGrid,COUNTIF(APS,"&gt;"&amp;(--TRIM(LEFT(Z45,2))))*5+COUNTIF(APO,"&gt;"&amp;(--TRIM(LEFT(AA45,2))))+1,COUNTIF(APD,"&gt;"&amp;(--TRIM(LEFT(AB45,2))))+1))</f>
        <v/>
      </c>
      <c r="AE45" s="4" t="n"/>
      <c r="AF45" s="4" t="n"/>
      <c r="AH45">
        <f>IFERROR(INDEX(EqTag,_xlfn.AGGREGATE(15,6,(ROW(EqTag)-4)/((EqSys=$D$3)*(EqTag&lt;&gt;"")),ROWS($AH$14:AH45))),"")</f>
        <v/>
      </c>
    </row>
    <row r="46">
      <c r="A46" s="20">
        <f>IF(F46="","",LEFT($D$3,3)&amp;"-"&amp;TEXT(COUNTIF(F$14:F46,"?*"),"00"))</f>
        <v/>
      </c>
      <c r="B46" s="4" t="n"/>
      <c r="C46" s="5">
        <f>IF(B46="","",IFERROR(INDEX(EqTypeCol,MATCH(B46,EqTag,0)),"Tag not in register"))</f>
        <v/>
      </c>
      <c r="D46" s="4" t="n"/>
      <c r="E46" s="4" t="n"/>
      <c r="F46" s="4" t="n"/>
      <c r="G46" s="4" t="n"/>
      <c r="H46" s="4" t="n"/>
      <c r="I46" s="4" t="n"/>
      <c r="J46" s="5">
        <f>_xlfn.TEXTJOIN(CHAR(10),TRUE,IF(G46="","","• "&amp;G46),IF(H46="","","• "&amp;H46),IF(I46="","","• "&amp;I46))</f>
        <v/>
      </c>
      <c r="K46" s="4" t="n"/>
      <c r="L46" s="4" t="n"/>
      <c r="M46" s="4" t="n"/>
      <c r="N46" s="16" t="n"/>
      <c r="O46" s="4" t="n"/>
      <c r="P46" s="16" t="n"/>
      <c r="Q46" s="4" t="n"/>
      <c r="R46" s="16" t="n"/>
      <c r="S46" s="20">
        <f>IF(OR(N46="",P46="",R46=""),"",(--TRIM(LEFT(N46,2)))*(--TRIM(LEFT(P46,2)))*(--TRIM(LEFT(R46,2))))</f>
        <v/>
      </c>
      <c r="T46" s="20">
        <f>IF(OR(N46="",P46="",R46=""),"",INDEX(APGrid,COUNTIF(APS,"&gt;"&amp;(--TRIM(LEFT(N46,2))))*5+COUNTIF(APO,"&gt;"&amp;(--TRIM(LEFT(P46,2))))+1,COUNTIF(APD,"&gt;"&amp;(--TRIM(LEFT(R46,2))))+1))</f>
        <v/>
      </c>
      <c r="U46" s="20">
        <f>IF(S46="","",IF(OR((--TRIM(LEFT(N46,2)))&gt;=SThr,S46&gt;=RPNThr,T46="H"),"Yes","No"))</f>
        <v/>
      </c>
      <c r="V46" s="4" t="n"/>
      <c r="W46" s="4" t="n"/>
      <c r="X46" s="4" t="n"/>
      <c r="Y46" s="29" t="n"/>
      <c r="Z46" s="16" t="n"/>
      <c r="AA46" s="16" t="n"/>
      <c r="AB46" s="16" t="n"/>
      <c r="AC46" s="20">
        <f>IF(OR(Z46="",AA46="",AB46=""),"",(--TRIM(LEFT(Z46,2)))*(--TRIM(LEFT(AA46,2)))*(--TRIM(LEFT(AB46,2))))</f>
        <v/>
      </c>
      <c r="AD46" s="20">
        <f>IF(OR(Z46="",AA46="",AB46=""),"",INDEX(APGrid,COUNTIF(APS,"&gt;"&amp;(--TRIM(LEFT(Z46,2))))*5+COUNTIF(APO,"&gt;"&amp;(--TRIM(LEFT(AA46,2))))+1,COUNTIF(APD,"&gt;"&amp;(--TRIM(LEFT(AB46,2))))+1))</f>
        <v/>
      </c>
      <c r="AE46" s="4" t="n"/>
      <c r="AF46" s="4" t="n"/>
      <c r="AH46">
        <f>IFERROR(INDEX(EqTag,_xlfn.AGGREGATE(15,6,(ROW(EqTag)-4)/((EqSys=$D$3)*(EqTag&lt;&gt;"")),ROWS($AH$14:AH46))),"")</f>
        <v/>
      </c>
    </row>
    <row r="47">
      <c r="A47" s="20">
        <f>IF(F47="","",LEFT($D$3,3)&amp;"-"&amp;TEXT(COUNTIF(F$14:F47,"?*"),"00"))</f>
        <v/>
      </c>
      <c r="B47" s="4" t="n"/>
      <c r="C47" s="5">
        <f>IF(B47="","",IFERROR(INDEX(EqTypeCol,MATCH(B47,EqTag,0)),"Tag not in register"))</f>
        <v/>
      </c>
      <c r="D47" s="4" t="n"/>
      <c r="E47" s="4" t="n"/>
      <c r="F47" s="4" t="n"/>
      <c r="G47" s="4" t="n"/>
      <c r="H47" s="4" t="n"/>
      <c r="I47" s="4" t="n"/>
      <c r="J47" s="5">
        <f>_xlfn.TEXTJOIN(CHAR(10),TRUE,IF(G47="","","• "&amp;G47),IF(H47="","","• "&amp;H47),IF(I47="","","• "&amp;I47))</f>
        <v/>
      </c>
      <c r="K47" s="4" t="n"/>
      <c r="L47" s="4" t="n"/>
      <c r="M47" s="4" t="n"/>
      <c r="N47" s="16" t="n"/>
      <c r="O47" s="4" t="n"/>
      <c r="P47" s="16" t="n"/>
      <c r="Q47" s="4" t="n"/>
      <c r="R47" s="16" t="n"/>
      <c r="S47" s="20">
        <f>IF(OR(N47="",P47="",R47=""),"",(--TRIM(LEFT(N47,2)))*(--TRIM(LEFT(P47,2)))*(--TRIM(LEFT(R47,2))))</f>
        <v/>
      </c>
      <c r="T47" s="20">
        <f>IF(OR(N47="",P47="",R47=""),"",INDEX(APGrid,COUNTIF(APS,"&gt;"&amp;(--TRIM(LEFT(N47,2))))*5+COUNTIF(APO,"&gt;"&amp;(--TRIM(LEFT(P47,2))))+1,COUNTIF(APD,"&gt;"&amp;(--TRIM(LEFT(R47,2))))+1))</f>
        <v/>
      </c>
      <c r="U47" s="20">
        <f>IF(S47="","",IF(OR((--TRIM(LEFT(N47,2)))&gt;=SThr,S47&gt;=RPNThr,T47="H"),"Yes","No"))</f>
        <v/>
      </c>
      <c r="V47" s="4" t="n"/>
      <c r="W47" s="4" t="n"/>
      <c r="X47" s="4" t="n"/>
      <c r="Y47" s="29" t="n"/>
      <c r="Z47" s="16" t="n"/>
      <c r="AA47" s="16" t="n"/>
      <c r="AB47" s="16" t="n"/>
      <c r="AC47" s="20">
        <f>IF(OR(Z47="",AA47="",AB47=""),"",(--TRIM(LEFT(Z47,2)))*(--TRIM(LEFT(AA47,2)))*(--TRIM(LEFT(AB47,2))))</f>
        <v/>
      </c>
      <c r="AD47" s="20">
        <f>IF(OR(Z47="",AA47="",AB47=""),"",INDEX(APGrid,COUNTIF(APS,"&gt;"&amp;(--TRIM(LEFT(Z47,2))))*5+COUNTIF(APO,"&gt;"&amp;(--TRIM(LEFT(AA47,2))))+1,COUNTIF(APD,"&gt;"&amp;(--TRIM(LEFT(AB47,2))))+1))</f>
        <v/>
      </c>
      <c r="AE47" s="4" t="n"/>
      <c r="AF47" s="4" t="n"/>
      <c r="AH47">
        <f>IFERROR(INDEX(EqTag,_xlfn.AGGREGATE(15,6,(ROW(EqTag)-4)/((EqSys=$D$3)*(EqTag&lt;&gt;"")),ROWS($AH$14:AH47))),"")</f>
        <v/>
      </c>
    </row>
    <row r="48">
      <c r="A48" s="20">
        <f>IF(F48="","",LEFT($D$3,3)&amp;"-"&amp;TEXT(COUNTIF(F$14:F48,"?*"),"00"))</f>
        <v/>
      </c>
      <c r="B48" s="4" t="n"/>
      <c r="C48" s="5">
        <f>IF(B48="","",IFERROR(INDEX(EqTypeCol,MATCH(B48,EqTag,0)),"Tag not in register"))</f>
        <v/>
      </c>
      <c r="D48" s="4" t="n"/>
      <c r="E48" s="4" t="n"/>
      <c r="F48" s="4" t="n"/>
      <c r="G48" s="4" t="n"/>
      <c r="H48" s="4" t="n"/>
      <c r="I48" s="4" t="n"/>
      <c r="J48" s="5">
        <f>_xlfn.TEXTJOIN(CHAR(10),TRUE,IF(G48="","","• "&amp;G48),IF(H48="","","• "&amp;H48),IF(I48="","","• "&amp;I48))</f>
        <v/>
      </c>
      <c r="K48" s="4" t="n"/>
      <c r="L48" s="4" t="n"/>
      <c r="M48" s="4" t="n"/>
      <c r="N48" s="16" t="n"/>
      <c r="O48" s="4" t="n"/>
      <c r="P48" s="16" t="n"/>
      <c r="Q48" s="4" t="n"/>
      <c r="R48" s="16" t="n"/>
      <c r="S48" s="20">
        <f>IF(OR(N48="",P48="",R48=""),"",(--TRIM(LEFT(N48,2)))*(--TRIM(LEFT(P48,2)))*(--TRIM(LEFT(R48,2))))</f>
        <v/>
      </c>
      <c r="T48" s="20">
        <f>IF(OR(N48="",P48="",R48=""),"",INDEX(APGrid,COUNTIF(APS,"&gt;"&amp;(--TRIM(LEFT(N48,2))))*5+COUNTIF(APO,"&gt;"&amp;(--TRIM(LEFT(P48,2))))+1,COUNTIF(APD,"&gt;"&amp;(--TRIM(LEFT(R48,2))))+1))</f>
        <v/>
      </c>
      <c r="U48" s="20">
        <f>IF(S48="","",IF(OR((--TRIM(LEFT(N48,2)))&gt;=SThr,S48&gt;=RPNThr,T48="H"),"Yes","No"))</f>
        <v/>
      </c>
      <c r="V48" s="4" t="n"/>
      <c r="W48" s="4" t="n"/>
      <c r="X48" s="4" t="n"/>
      <c r="Y48" s="29" t="n"/>
      <c r="Z48" s="16" t="n"/>
      <c r="AA48" s="16" t="n"/>
      <c r="AB48" s="16" t="n"/>
      <c r="AC48" s="20">
        <f>IF(OR(Z48="",AA48="",AB48=""),"",(--TRIM(LEFT(Z48,2)))*(--TRIM(LEFT(AA48,2)))*(--TRIM(LEFT(AB48,2))))</f>
        <v/>
      </c>
      <c r="AD48" s="20">
        <f>IF(OR(Z48="",AA48="",AB48=""),"",INDEX(APGrid,COUNTIF(APS,"&gt;"&amp;(--TRIM(LEFT(Z48,2))))*5+COUNTIF(APO,"&gt;"&amp;(--TRIM(LEFT(AA48,2))))+1,COUNTIF(APD,"&gt;"&amp;(--TRIM(LEFT(AB48,2))))+1))</f>
        <v/>
      </c>
      <c r="AE48" s="4" t="n"/>
      <c r="AF48" s="4" t="n"/>
      <c r="AH48">
        <f>IFERROR(INDEX(EqTag,_xlfn.AGGREGATE(15,6,(ROW(EqTag)-4)/((EqSys=$D$3)*(EqTag&lt;&gt;"")),ROWS($AH$14:AH48))),"")</f>
        <v/>
      </c>
    </row>
    <row r="49">
      <c r="A49" s="20">
        <f>IF(F49="","",LEFT($D$3,3)&amp;"-"&amp;TEXT(COUNTIF(F$14:F49,"?*"),"00"))</f>
        <v/>
      </c>
      <c r="B49" s="4" t="n"/>
      <c r="C49" s="5">
        <f>IF(B49="","",IFERROR(INDEX(EqTypeCol,MATCH(B49,EqTag,0)),"Tag not in register"))</f>
        <v/>
      </c>
      <c r="D49" s="4" t="n"/>
      <c r="E49" s="4" t="n"/>
      <c r="F49" s="4" t="n"/>
      <c r="G49" s="4" t="n"/>
      <c r="H49" s="4" t="n"/>
      <c r="I49" s="4" t="n"/>
      <c r="J49" s="5">
        <f>_xlfn.TEXTJOIN(CHAR(10),TRUE,IF(G49="","","• "&amp;G49),IF(H49="","","• "&amp;H49),IF(I49="","","• "&amp;I49))</f>
        <v/>
      </c>
      <c r="K49" s="4" t="n"/>
      <c r="L49" s="4" t="n"/>
      <c r="M49" s="4" t="n"/>
      <c r="N49" s="16" t="n"/>
      <c r="O49" s="4" t="n"/>
      <c r="P49" s="16" t="n"/>
      <c r="Q49" s="4" t="n"/>
      <c r="R49" s="16" t="n"/>
      <c r="S49" s="20">
        <f>IF(OR(N49="",P49="",R49=""),"",(--TRIM(LEFT(N49,2)))*(--TRIM(LEFT(P49,2)))*(--TRIM(LEFT(R49,2))))</f>
        <v/>
      </c>
      <c r="T49" s="20">
        <f>IF(OR(N49="",P49="",R49=""),"",INDEX(APGrid,COUNTIF(APS,"&gt;"&amp;(--TRIM(LEFT(N49,2))))*5+COUNTIF(APO,"&gt;"&amp;(--TRIM(LEFT(P49,2))))+1,COUNTIF(APD,"&gt;"&amp;(--TRIM(LEFT(R49,2))))+1))</f>
        <v/>
      </c>
      <c r="U49" s="20">
        <f>IF(S49="","",IF(OR((--TRIM(LEFT(N49,2)))&gt;=SThr,S49&gt;=RPNThr,T49="H"),"Yes","No"))</f>
        <v/>
      </c>
      <c r="V49" s="4" t="n"/>
      <c r="W49" s="4" t="n"/>
      <c r="X49" s="4" t="n"/>
      <c r="Y49" s="29" t="n"/>
      <c r="Z49" s="16" t="n"/>
      <c r="AA49" s="16" t="n"/>
      <c r="AB49" s="16" t="n"/>
      <c r="AC49" s="20">
        <f>IF(OR(Z49="",AA49="",AB49=""),"",(--TRIM(LEFT(Z49,2)))*(--TRIM(LEFT(AA49,2)))*(--TRIM(LEFT(AB49,2))))</f>
        <v/>
      </c>
      <c r="AD49" s="20">
        <f>IF(OR(Z49="",AA49="",AB49=""),"",INDEX(APGrid,COUNTIF(APS,"&gt;"&amp;(--TRIM(LEFT(Z49,2))))*5+COUNTIF(APO,"&gt;"&amp;(--TRIM(LEFT(AA49,2))))+1,COUNTIF(APD,"&gt;"&amp;(--TRIM(LEFT(AB49,2))))+1))</f>
        <v/>
      </c>
      <c r="AE49" s="4" t="n"/>
      <c r="AF49" s="4" t="n"/>
      <c r="AH49">
        <f>IFERROR(INDEX(EqTag,_xlfn.AGGREGATE(15,6,(ROW(EqTag)-4)/((EqSys=$D$3)*(EqTag&lt;&gt;"")),ROWS($AH$14:AH49))),"")</f>
        <v/>
      </c>
    </row>
    <row r="50">
      <c r="A50" s="20">
        <f>IF(F50="","",LEFT($D$3,3)&amp;"-"&amp;TEXT(COUNTIF(F$14:F50,"?*"),"00"))</f>
        <v/>
      </c>
      <c r="B50" s="4" t="n"/>
      <c r="C50" s="5">
        <f>IF(B50="","",IFERROR(INDEX(EqTypeCol,MATCH(B50,EqTag,0)),"Tag not in register"))</f>
        <v/>
      </c>
      <c r="D50" s="4" t="n"/>
      <c r="E50" s="4" t="n"/>
      <c r="F50" s="4" t="n"/>
      <c r="G50" s="4" t="n"/>
      <c r="H50" s="4" t="n"/>
      <c r="I50" s="4" t="n"/>
      <c r="J50" s="5">
        <f>_xlfn.TEXTJOIN(CHAR(10),TRUE,IF(G50="","","• "&amp;G50),IF(H50="","","• "&amp;H50),IF(I50="","","• "&amp;I50))</f>
        <v/>
      </c>
      <c r="K50" s="4" t="n"/>
      <c r="L50" s="4" t="n"/>
      <c r="M50" s="4" t="n"/>
      <c r="N50" s="16" t="n"/>
      <c r="O50" s="4" t="n"/>
      <c r="P50" s="16" t="n"/>
      <c r="Q50" s="4" t="n"/>
      <c r="R50" s="16" t="n"/>
      <c r="S50" s="20">
        <f>IF(OR(N50="",P50="",R50=""),"",(--TRIM(LEFT(N50,2)))*(--TRIM(LEFT(P50,2)))*(--TRIM(LEFT(R50,2))))</f>
        <v/>
      </c>
      <c r="T50" s="20">
        <f>IF(OR(N50="",P50="",R50=""),"",INDEX(APGrid,COUNTIF(APS,"&gt;"&amp;(--TRIM(LEFT(N50,2))))*5+COUNTIF(APO,"&gt;"&amp;(--TRIM(LEFT(P50,2))))+1,COUNTIF(APD,"&gt;"&amp;(--TRIM(LEFT(R50,2))))+1))</f>
        <v/>
      </c>
      <c r="U50" s="20">
        <f>IF(S50="","",IF(OR((--TRIM(LEFT(N50,2)))&gt;=SThr,S50&gt;=RPNThr,T50="H"),"Yes","No"))</f>
        <v/>
      </c>
      <c r="V50" s="4" t="n"/>
      <c r="W50" s="4" t="n"/>
      <c r="X50" s="4" t="n"/>
      <c r="Y50" s="29" t="n"/>
      <c r="Z50" s="16" t="n"/>
      <c r="AA50" s="16" t="n"/>
      <c r="AB50" s="16" t="n"/>
      <c r="AC50" s="20">
        <f>IF(OR(Z50="",AA50="",AB50=""),"",(--TRIM(LEFT(Z50,2)))*(--TRIM(LEFT(AA50,2)))*(--TRIM(LEFT(AB50,2))))</f>
        <v/>
      </c>
      <c r="AD50" s="20">
        <f>IF(OR(Z50="",AA50="",AB50=""),"",INDEX(APGrid,COUNTIF(APS,"&gt;"&amp;(--TRIM(LEFT(Z50,2))))*5+COUNTIF(APO,"&gt;"&amp;(--TRIM(LEFT(AA50,2))))+1,COUNTIF(APD,"&gt;"&amp;(--TRIM(LEFT(AB50,2))))+1))</f>
        <v/>
      </c>
      <c r="AE50" s="4" t="n"/>
      <c r="AF50" s="4" t="n"/>
      <c r="AH50">
        <f>IFERROR(INDEX(EqTag,_xlfn.AGGREGATE(15,6,(ROW(EqTag)-4)/((EqSys=$D$3)*(EqTag&lt;&gt;"")),ROWS($AH$14:AH50))),"")</f>
        <v/>
      </c>
    </row>
    <row r="51">
      <c r="A51" s="20">
        <f>IF(F51="","",LEFT($D$3,3)&amp;"-"&amp;TEXT(COUNTIF(F$14:F51,"?*"),"00"))</f>
        <v/>
      </c>
      <c r="B51" s="4" t="n"/>
      <c r="C51" s="5">
        <f>IF(B51="","",IFERROR(INDEX(EqTypeCol,MATCH(B51,EqTag,0)),"Tag not in register"))</f>
        <v/>
      </c>
      <c r="D51" s="4" t="n"/>
      <c r="E51" s="4" t="n"/>
      <c r="F51" s="4" t="n"/>
      <c r="G51" s="4" t="n"/>
      <c r="H51" s="4" t="n"/>
      <c r="I51" s="4" t="n"/>
      <c r="J51" s="5">
        <f>_xlfn.TEXTJOIN(CHAR(10),TRUE,IF(G51="","","• "&amp;G51),IF(H51="","","• "&amp;H51),IF(I51="","","• "&amp;I51))</f>
        <v/>
      </c>
      <c r="K51" s="4" t="n"/>
      <c r="L51" s="4" t="n"/>
      <c r="M51" s="4" t="n"/>
      <c r="N51" s="16" t="n"/>
      <c r="O51" s="4" t="n"/>
      <c r="P51" s="16" t="n"/>
      <c r="Q51" s="4" t="n"/>
      <c r="R51" s="16" t="n"/>
      <c r="S51" s="20">
        <f>IF(OR(N51="",P51="",R51=""),"",(--TRIM(LEFT(N51,2)))*(--TRIM(LEFT(P51,2)))*(--TRIM(LEFT(R51,2))))</f>
        <v/>
      </c>
      <c r="T51" s="20">
        <f>IF(OR(N51="",P51="",R51=""),"",INDEX(APGrid,COUNTIF(APS,"&gt;"&amp;(--TRIM(LEFT(N51,2))))*5+COUNTIF(APO,"&gt;"&amp;(--TRIM(LEFT(P51,2))))+1,COUNTIF(APD,"&gt;"&amp;(--TRIM(LEFT(R51,2))))+1))</f>
        <v/>
      </c>
      <c r="U51" s="20">
        <f>IF(S51="","",IF(OR((--TRIM(LEFT(N51,2)))&gt;=SThr,S51&gt;=RPNThr,T51="H"),"Yes","No"))</f>
        <v/>
      </c>
      <c r="V51" s="4" t="n"/>
      <c r="W51" s="4" t="n"/>
      <c r="X51" s="4" t="n"/>
      <c r="Y51" s="29" t="n"/>
      <c r="Z51" s="16" t="n"/>
      <c r="AA51" s="16" t="n"/>
      <c r="AB51" s="16" t="n"/>
      <c r="AC51" s="20">
        <f>IF(OR(Z51="",AA51="",AB51=""),"",(--TRIM(LEFT(Z51,2)))*(--TRIM(LEFT(AA51,2)))*(--TRIM(LEFT(AB51,2))))</f>
        <v/>
      </c>
      <c r="AD51" s="20">
        <f>IF(OR(Z51="",AA51="",AB51=""),"",INDEX(APGrid,COUNTIF(APS,"&gt;"&amp;(--TRIM(LEFT(Z51,2))))*5+COUNTIF(APO,"&gt;"&amp;(--TRIM(LEFT(AA51,2))))+1,COUNTIF(APD,"&gt;"&amp;(--TRIM(LEFT(AB51,2))))+1))</f>
        <v/>
      </c>
      <c r="AE51" s="4" t="n"/>
      <c r="AF51" s="4" t="n"/>
      <c r="AH51">
        <f>IFERROR(INDEX(EqTag,_xlfn.AGGREGATE(15,6,(ROW(EqTag)-4)/((EqSys=$D$3)*(EqTag&lt;&gt;"")),ROWS($AH$14:AH51))),"")</f>
        <v/>
      </c>
    </row>
    <row r="52">
      <c r="A52" s="20">
        <f>IF(F52="","",LEFT($D$3,3)&amp;"-"&amp;TEXT(COUNTIF(F$14:F52,"?*"),"00"))</f>
        <v/>
      </c>
      <c r="B52" s="4" t="n"/>
      <c r="C52" s="5">
        <f>IF(B52="","",IFERROR(INDEX(EqTypeCol,MATCH(B52,EqTag,0)),"Tag not in register"))</f>
        <v/>
      </c>
      <c r="D52" s="4" t="n"/>
      <c r="E52" s="4" t="n"/>
      <c r="F52" s="4" t="n"/>
      <c r="G52" s="4" t="n"/>
      <c r="H52" s="4" t="n"/>
      <c r="I52" s="4" t="n"/>
      <c r="J52" s="5">
        <f>_xlfn.TEXTJOIN(CHAR(10),TRUE,IF(G52="","","• "&amp;G52),IF(H52="","","• "&amp;H52),IF(I52="","","• "&amp;I52))</f>
        <v/>
      </c>
      <c r="K52" s="4" t="n"/>
      <c r="L52" s="4" t="n"/>
      <c r="M52" s="4" t="n"/>
      <c r="N52" s="16" t="n"/>
      <c r="O52" s="4" t="n"/>
      <c r="P52" s="16" t="n"/>
      <c r="Q52" s="4" t="n"/>
      <c r="R52" s="16" t="n"/>
      <c r="S52" s="20">
        <f>IF(OR(N52="",P52="",R52=""),"",(--TRIM(LEFT(N52,2)))*(--TRIM(LEFT(P52,2)))*(--TRIM(LEFT(R52,2))))</f>
        <v/>
      </c>
      <c r="T52" s="20">
        <f>IF(OR(N52="",P52="",R52=""),"",INDEX(APGrid,COUNTIF(APS,"&gt;"&amp;(--TRIM(LEFT(N52,2))))*5+COUNTIF(APO,"&gt;"&amp;(--TRIM(LEFT(P52,2))))+1,COUNTIF(APD,"&gt;"&amp;(--TRIM(LEFT(R52,2))))+1))</f>
        <v/>
      </c>
      <c r="U52" s="20">
        <f>IF(S52="","",IF(OR((--TRIM(LEFT(N52,2)))&gt;=SThr,S52&gt;=RPNThr,T52="H"),"Yes","No"))</f>
        <v/>
      </c>
      <c r="V52" s="4" t="n"/>
      <c r="W52" s="4" t="n"/>
      <c r="X52" s="4" t="n"/>
      <c r="Y52" s="29" t="n"/>
      <c r="Z52" s="16" t="n"/>
      <c r="AA52" s="16" t="n"/>
      <c r="AB52" s="16" t="n"/>
      <c r="AC52" s="20">
        <f>IF(OR(Z52="",AA52="",AB52=""),"",(--TRIM(LEFT(Z52,2)))*(--TRIM(LEFT(AA52,2)))*(--TRIM(LEFT(AB52,2))))</f>
        <v/>
      </c>
      <c r="AD52" s="20">
        <f>IF(OR(Z52="",AA52="",AB52=""),"",INDEX(APGrid,COUNTIF(APS,"&gt;"&amp;(--TRIM(LEFT(Z52,2))))*5+COUNTIF(APO,"&gt;"&amp;(--TRIM(LEFT(AA52,2))))+1,COUNTIF(APD,"&gt;"&amp;(--TRIM(LEFT(AB52,2))))+1))</f>
        <v/>
      </c>
      <c r="AE52" s="4" t="n"/>
      <c r="AF52" s="4" t="n"/>
      <c r="AH52">
        <f>IFERROR(INDEX(EqTag,_xlfn.AGGREGATE(15,6,(ROW(EqTag)-4)/((EqSys=$D$3)*(EqTag&lt;&gt;"")),ROWS($AH$14:AH52))),"")</f>
        <v/>
      </c>
    </row>
    <row r="53">
      <c r="A53" s="20">
        <f>IF(F53="","",LEFT($D$3,3)&amp;"-"&amp;TEXT(COUNTIF(F$14:F53,"?*"),"00"))</f>
        <v/>
      </c>
      <c r="B53" s="4" t="n"/>
      <c r="C53" s="5">
        <f>IF(B53="","",IFERROR(INDEX(EqTypeCol,MATCH(B53,EqTag,0)),"Tag not in register"))</f>
        <v/>
      </c>
      <c r="D53" s="4" t="n"/>
      <c r="E53" s="4" t="n"/>
      <c r="F53" s="4" t="n"/>
      <c r="G53" s="4" t="n"/>
      <c r="H53" s="4" t="n"/>
      <c r="I53" s="4" t="n"/>
      <c r="J53" s="5">
        <f>_xlfn.TEXTJOIN(CHAR(10),TRUE,IF(G53="","","• "&amp;G53),IF(H53="","","• "&amp;H53),IF(I53="","","• "&amp;I53))</f>
        <v/>
      </c>
      <c r="K53" s="4" t="n"/>
      <c r="L53" s="4" t="n"/>
      <c r="M53" s="4" t="n"/>
      <c r="N53" s="16" t="n"/>
      <c r="O53" s="4" t="n"/>
      <c r="P53" s="16" t="n"/>
      <c r="Q53" s="4" t="n"/>
      <c r="R53" s="16" t="n"/>
      <c r="S53" s="20">
        <f>IF(OR(N53="",P53="",R53=""),"",(--TRIM(LEFT(N53,2)))*(--TRIM(LEFT(P53,2)))*(--TRIM(LEFT(R53,2))))</f>
        <v/>
      </c>
      <c r="T53" s="20">
        <f>IF(OR(N53="",P53="",R53=""),"",INDEX(APGrid,COUNTIF(APS,"&gt;"&amp;(--TRIM(LEFT(N53,2))))*5+COUNTIF(APO,"&gt;"&amp;(--TRIM(LEFT(P53,2))))+1,COUNTIF(APD,"&gt;"&amp;(--TRIM(LEFT(R53,2))))+1))</f>
        <v/>
      </c>
      <c r="U53" s="20">
        <f>IF(S53="","",IF(OR((--TRIM(LEFT(N53,2)))&gt;=SThr,S53&gt;=RPNThr,T53="H"),"Yes","No"))</f>
        <v/>
      </c>
      <c r="V53" s="4" t="n"/>
      <c r="W53" s="4" t="n"/>
      <c r="X53" s="4" t="n"/>
      <c r="Y53" s="29" t="n"/>
      <c r="Z53" s="16" t="n"/>
      <c r="AA53" s="16" t="n"/>
      <c r="AB53" s="16" t="n"/>
      <c r="AC53" s="20">
        <f>IF(OR(Z53="",AA53="",AB53=""),"",(--TRIM(LEFT(Z53,2)))*(--TRIM(LEFT(AA53,2)))*(--TRIM(LEFT(AB53,2))))</f>
        <v/>
      </c>
      <c r="AD53" s="20">
        <f>IF(OR(Z53="",AA53="",AB53=""),"",INDEX(APGrid,COUNTIF(APS,"&gt;"&amp;(--TRIM(LEFT(Z53,2))))*5+COUNTIF(APO,"&gt;"&amp;(--TRIM(LEFT(AA53,2))))+1,COUNTIF(APD,"&gt;"&amp;(--TRIM(LEFT(AB53,2))))+1))</f>
        <v/>
      </c>
      <c r="AE53" s="4" t="n"/>
      <c r="AF53" s="4" t="n"/>
      <c r="AH53">
        <f>IFERROR(INDEX(EqTag,_xlfn.AGGREGATE(15,6,(ROW(EqTag)-4)/((EqSys=$D$3)*(EqTag&lt;&gt;"")),ROWS($AH$14:AH53))),"")</f>
        <v/>
      </c>
    </row>
    <row r="54">
      <c r="A54" s="20">
        <f>IF(F54="","",LEFT($D$3,3)&amp;"-"&amp;TEXT(COUNTIF(F$14:F54,"?*"),"00"))</f>
        <v/>
      </c>
      <c r="B54" s="4" t="n"/>
      <c r="C54" s="5">
        <f>IF(B54="","",IFERROR(INDEX(EqTypeCol,MATCH(B54,EqTag,0)),"Tag not in register"))</f>
        <v/>
      </c>
      <c r="D54" s="4" t="n"/>
      <c r="E54" s="4" t="n"/>
      <c r="F54" s="4" t="n"/>
      <c r="G54" s="4" t="n"/>
      <c r="H54" s="4" t="n"/>
      <c r="I54" s="4" t="n"/>
      <c r="J54" s="5">
        <f>_xlfn.TEXTJOIN(CHAR(10),TRUE,IF(G54="","","• "&amp;G54),IF(H54="","","• "&amp;H54),IF(I54="","","• "&amp;I54))</f>
        <v/>
      </c>
      <c r="K54" s="4" t="n"/>
      <c r="L54" s="4" t="n"/>
      <c r="M54" s="4" t="n"/>
      <c r="N54" s="16" t="n"/>
      <c r="O54" s="4" t="n"/>
      <c r="P54" s="16" t="n"/>
      <c r="Q54" s="4" t="n"/>
      <c r="R54" s="16" t="n"/>
      <c r="S54" s="20">
        <f>IF(OR(N54="",P54="",R54=""),"",(--TRIM(LEFT(N54,2)))*(--TRIM(LEFT(P54,2)))*(--TRIM(LEFT(R54,2))))</f>
        <v/>
      </c>
      <c r="T54" s="20">
        <f>IF(OR(N54="",P54="",R54=""),"",INDEX(APGrid,COUNTIF(APS,"&gt;"&amp;(--TRIM(LEFT(N54,2))))*5+COUNTIF(APO,"&gt;"&amp;(--TRIM(LEFT(P54,2))))+1,COUNTIF(APD,"&gt;"&amp;(--TRIM(LEFT(R54,2))))+1))</f>
        <v/>
      </c>
      <c r="U54" s="20">
        <f>IF(S54="","",IF(OR((--TRIM(LEFT(N54,2)))&gt;=SThr,S54&gt;=RPNThr,T54="H"),"Yes","No"))</f>
        <v/>
      </c>
      <c r="V54" s="4" t="n"/>
      <c r="W54" s="4" t="n"/>
      <c r="X54" s="4" t="n"/>
      <c r="Y54" s="29" t="n"/>
      <c r="Z54" s="16" t="n"/>
      <c r="AA54" s="16" t="n"/>
      <c r="AB54" s="16" t="n"/>
      <c r="AC54" s="20">
        <f>IF(OR(Z54="",AA54="",AB54=""),"",(--TRIM(LEFT(Z54,2)))*(--TRIM(LEFT(AA54,2)))*(--TRIM(LEFT(AB54,2))))</f>
        <v/>
      </c>
      <c r="AD54" s="20">
        <f>IF(OR(Z54="",AA54="",AB54=""),"",INDEX(APGrid,COUNTIF(APS,"&gt;"&amp;(--TRIM(LEFT(Z54,2))))*5+COUNTIF(APO,"&gt;"&amp;(--TRIM(LEFT(AA54,2))))+1,COUNTIF(APD,"&gt;"&amp;(--TRIM(LEFT(AB54,2))))+1))</f>
        <v/>
      </c>
      <c r="AE54" s="4" t="n"/>
      <c r="AF54" s="4" t="n"/>
      <c r="AH54">
        <f>IFERROR(INDEX(EqTag,_xlfn.AGGREGATE(15,6,(ROW(EqTag)-4)/((EqSys=$D$3)*(EqTag&lt;&gt;"")),ROWS($AH$14:AH54))),"")</f>
        <v/>
      </c>
    </row>
    <row r="55">
      <c r="A55" s="20">
        <f>IF(F55="","",LEFT($D$3,3)&amp;"-"&amp;TEXT(COUNTIF(F$14:F55,"?*"),"00"))</f>
        <v/>
      </c>
      <c r="B55" s="4" t="n"/>
      <c r="C55" s="5">
        <f>IF(B55="","",IFERROR(INDEX(EqTypeCol,MATCH(B55,EqTag,0)),"Tag not in register"))</f>
        <v/>
      </c>
      <c r="D55" s="4" t="n"/>
      <c r="E55" s="4" t="n"/>
      <c r="F55" s="4" t="n"/>
      <c r="G55" s="4" t="n"/>
      <c r="H55" s="4" t="n"/>
      <c r="I55" s="4" t="n"/>
      <c r="J55" s="5">
        <f>_xlfn.TEXTJOIN(CHAR(10),TRUE,IF(G55="","","• "&amp;G55),IF(H55="","","• "&amp;H55),IF(I55="","","• "&amp;I55))</f>
        <v/>
      </c>
      <c r="K55" s="4" t="n"/>
      <c r="L55" s="4" t="n"/>
      <c r="M55" s="4" t="n"/>
      <c r="N55" s="16" t="n"/>
      <c r="O55" s="4" t="n"/>
      <c r="P55" s="16" t="n"/>
      <c r="Q55" s="4" t="n"/>
      <c r="R55" s="16" t="n"/>
      <c r="S55" s="20">
        <f>IF(OR(N55="",P55="",R55=""),"",(--TRIM(LEFT(N55,2)))*(--TRIM(LEFT(P55,2)))*(--TRIM(LEFT(R55,2))))</f>
        <v/>
      </c>
      <c r="T55" s="20">
        <f>IF(OR(N55="",P55="",R55=""),"",INDEX(APGrid,COUNTIF(APS,"&gt;"&amp;(--TRIM(LEFT(N55,2))))*5+COUNTIF(APO,"&gt;"&amp;(--TRIM(LEFT(P55,2))))+1,COUNTIF(APD,"&gt;"&amp;(--TRIM(LEFT(R55,2))))+1))</f>
        <v/>
      </c>
      <c r="U55" s="20">
        <f>IF(S55="","",IF(OR((--TRIM(LEFT(N55,2)))&gt;=SThr,S55&gt;=RPNThr,T55="H"),"Yes","No"))</f>
        <v/>
      </c>
      <c r="V55" s="4" t="n"/>
      <c r="W55" s="4" t="n"/>
      <c r="X55" s="4" t="n"/>
      <c r="Y55" s="29" t="n"/>
      <c r="Z55" s="16" t="n"/>
      <c r="AA55" s="16" t="n"/>
      <c r="AB55" s="16" t="n"/>
      <c r="AC55" s="20">
        <f>IF(OR(Z55="",AA55="",AB55=""),"",(--TRIM(LEFT(Z55,2)))*(--TRIM(LEFT(AA55,2)))*(--TRIM(LEFT(AB55,2))))</f>
        <v/>
      </c>
      <c r="AD55" s="20">
        <f>IF(OR(Z55="",AA55="",AB55=""),"",INDEX(APGrid,COUNTIF(APS,"&gt;"&amp;(--TRIM(LEFT(Z55,2))))*5+COUNTIF(APO,"&gt;"&amp;(--TRIM(LEFT(AA55,2))))+1,COUNTIF(APD,"&gt;"&amp;(--TRIM(LEFT(AB55,2))))+1))</f>
        <v/>
      </c>
      <c r="AE55" s="4" t="n"/>
      <c r="AF55" s="4" t="n"/>
      <c r="AH55">
        <f>IFERROR(INDEX(EqTag,_xlfn.AGGREGATE(15,6,(ROW(EqTag)-4)/((EqSys=$D$3)*(EqTag&lt;&gt;"")),ROWS($AH$14:AH55))),"")</f>
        <v/>
      </c>
    </row>
    <row r="56">
      <c r="A56" s="20">
        <f>IF(F56="","",LEFT($D$3,3)&amp;"-"&amp;TEXT(COUNTIF(F$14:F56,"?*"),"00"))</f>
        <v/>
      </c>
      <c r="B56" s="4" t="n"/>
      <c r="C56" s="5">
        <f>IF(B56="","",IFERROR(INDEX(EqTypeCol,MATCH(B56,EqTag,0)),"Tag not in register"))</f>
        <v/>
      </c>
      <c r="D56" s="4" t="n"/>
      <c r="E56" s="4" t="n"/>
      <c r="F56" s="4" t="n"/>
      <c r="G56" s="4" t="n"/>
      <c r="H56" s="4" t="n"/>
      <c r="I56" s="4" t="n"/>
      <c r="J56" s="5">
        <f>_xlfn.TEXTJOIN(CHAR(10),TRUE,IF(G56="","","• "&amp;G56),IF(H56="","","• "&amp;H56),IF(I56="","","• "&amp;I56))</f>
        <v/>
      </c>
      <c r="K56" s="4" t="n"/>
      <c r="L56" s="4" t="n"/>
      <c r="M56" s="4" t="n"/>
      <c r="N56" s="16" t="n"/>
      <c r="O56" s="4" t="n"/>
      <c r="P56" s="16" t="n"/>
      <c r="Q56" s="4" t="n"/>
      <c r="R56" s="16" t="n"/>
      <c r="S56" s="20">
        <f>IF(OR(N56="",P56="",R56=""),"",(--TRIM(LEFT(N56,2)))*(--TRIM(LEFT(P56,2)))*(--TRIM(LEFT(R56,2))))</f>
        <v/>
      </c>
      <c r="T56" s="20">
        <f>IF(OR(N56="",P56="",R56=""),"",INDEX(APGrid,COUNTIF(APS,"&gt;"&amp;(--TRIM(LEFT(N56,2))))*5+COUNTIF(APO,"&gt;"&amp;(--TRIM(LEFT(P56,2))))+1,COUNTIF(APD,"&gt;"&amp;(--TRIM(LEFT(R56,2))))+1))</f>
        <v/>
      </c>
      <c r="U56" s="20">
        <f>IF(S56="","",IF(OR((--TRIM(LEFT(N56,2)))&gt;=SThr,S56&gt;=RPNThr,T56="H"),"Yes","No"))</f>
        <v/>
      </c>
      <c r="V56" s="4" t="n"/>
      <c r="W56" s="4" t="n"/>
      <c r="X56" s="4" t="n"/>
      <c r="Y56" s="29" t="n"/>
      <c r="Z56" s="16" t="n"/>
      <c r="AA56" s="16" t="n"/>
      <c r="AB56" s="16" t="n"/>
      <c r="AC56" s="20">
        <f>IF(OR(Z56="",AA56="",AB56=""),"",(--TRIM(LEFT(Z56,2)))*(--TRIM(LEFT(AA56,2)))*(--TRIM(LEFT(AB56,2))))</f>
        <v/>
      </c>
      <c r="AD56" s="20">
        <f>IF(OR(Z56="",AA56="",AB56=""),"",INDEX(APGrid,COUNTIF(APS,"&gt;"&amp;(--TRIM(LEFT(Z56,2))))*5+COUNTIF(APO,"&gt;"&amp;(--TRIM(LEFT(AA56,2))))+1,COUNTIF(APD,"&gt;"&amp;(--TRIM(LEFT(AB56,2))))+1))</f>
        <v/>
      </c>
      <c r="AE56" s="4" t="n"/>
      <c r="AF56" s="4" t="n"/>
      <c r="AH56">
        <f>IFERROR(INDEX(EqTag,_xlfn.AGGREGATE(15,6,(ROW(EqTag)-4)/((EqSys=$D$3)*(EqTag&lt;&gt;"")),ROWS($AH$14:AH56))),"")</f>
        <v/>
      </c>
    </row>
    <row r="57">
      <c r="A57" s="20">
        <f>IF(F57="","",LEFT($D$3,3)&amp;"-"&amp;TEXT(COUNTIF(F$14:F57,"?*"),"00"))</f>
        <v/>
      </c>
      <c r="B57" s="4" t="n"/>
      <c r="C57" s="5">
        <f>IF(B57="","",IFERROR(INDEX(EqTypeCol,MATCH(B57,EqTag,0)),"Tag not in register"))</f>
        <v/>
      </c>
      <c r="D57" s="4" t="n"/>
      <c r="E57" s="4" t="n"/>
      <c r="F57" s="4" t="n"/>
      <c r="G57" s="4" t="n"/>
      <c r="H57" s="4" t="n"/>
      <c r="I57" s="4" t="n"/>
      <c r="J57" s="5">
        <f>_xlfn.TEXTJOIN(CHAR(10),TRUE,IF(G57="","","• "&amp;G57),IF(H57="","","• "&amp;H57),IF(I57="","","• "&amp;I57))</f>
        <v/>
      </c>
      <c r="K57" s="4" t="n"/>
      <c r="L57" s="4" t="n"/>
      <c r="M57" s="4" t="n"/>
      <c r="N57" s="16" t="n"/>
      <c r="O57" s="4" t="n"/>
      <c r="P57" s="16" t="n"/>
      <c r="Q57" s="4" t="n"/>
      <c r="R57" s="16" t="n"/>
      <c r="S57" s="20">
        <f>IF(OR(N57="",P57="",R57=""),"",(--TRIM(LEFT(N57,2)))*(--TRIM(LEFT(P57,2)))*(--TRIM(LEFT(R57,2))))</f>
        <v/>
      </c>
      <c r="T57" s="20">
        <f>IF(OR(N57="",P57="",R57=""),"",INDEX(APGrid,COUNTIF(APS,"&gt;"&amp;(--TRIM(LEFT(N57,2))))*5+COUNTIF(APO,"&gt;"&amp;(--TRIM(LEFT(P57,2))))+1,COUNTIF(APD,"&gt;"&amp;(--TRIM(LEFT(R57,2))))+1))</f>
        <v/>
      </c>
      <c r="U57" s="20">
        <f>IF(S57="","",IF(OR((--TRIM(LEFT(N57,2)))&gt;=SThr,S57&gt;=RPNThr,T57="H"),"Yes","No"))</f>
        <v/>
      </c>
      <c r="V57" s="4" t="n"/>
      <c r="W57" s="4" t="n"/>
      <c r="X57" s="4" t="n"/>
      <c r="Y57" s="29" t="n"/>
      <c r="Z57" s="16" t="n"/>
      <c r="AA57" s="16" t="n"/>
      <c r="AB57" s="16" t="n"/>
      <c r="AC57" s="20">
        <f>IF(OR(Z57="",AA57="",AB57=""),"",(--TRIM(LEFT(Z57,2)))*(--TRIM(LEFT(AA57,2)))*(--TRIM(LEFT(AB57,2))))</f>
        <v/>
      </c>
      <c r="AD57" s="20">
        <f>IF(OR(Z57="",AA57="",AB57=""),"",INDEX(APGrid,COUNTIF(APS,"&gt;"&amp;(--TRIM(LEFT(Z57,2))))*5+COUNTIF(APO,"&gt;"&amp;(--TRIM(LEFT(AA57,2))))+1,COUNTIF(APD,"&gt;"&amp;(--TRIM(LEFT(AB57,2))))+1))</f>
        <v/>
      </c>
      <c r="AE57" s="4" t="n"/>
      <c r="AF57" s="4" t="n"/>
      <c r="AH57">
        <f>IFERROR(INDEX(EqTag,_xlfn.AGGREGATE(15,6,(ROW(EqTag)-4)/((EqSys=$D$3)*(EqTag&lt;&gt;"")),ROWS($AH$14:AH57))),"")</f>
        <v/>
      </c>
    </row>
    <row r="58">
      <c r="A58" s="20">
        <f>IF(F58="","",LEFT($D$3,3)&amp;"-"&amp;TEXT(COUNTIF(F$14:F58,"?*"),"00"))</f>
        <v/>
      </c>
      <c r="B58" s="4" t="n"/>
      <c r="C58" s="5">
        <f>IF(B58="","",IFERROR(INDEX(EqTypeCol,MATCH(B58,EqTag,0)),"Tag not in register"))</f>
        <v/>
      </c>
      <c r="D58" s="4" t="n"/>
      <c r="E58" s="4" t="n"/>
      <c r="F58" s="4" t="n"/>
      <c r="G58" s="4" t="n"/>
      <c r="H58" s="4" t="n"/>
      <c r="I58" s="4" t="n"/>
      <c r="J58" s="5">
        <f>_xlfn.TEXTJOIN(CHAR(10),TRUE,IF(G58="","","• "&amp;G58),IF(H58="","","• "&amp;H58),IF(I58="","","• "&amp;I58))</f>
        <v/>
      </c>
      <c r="K58" s="4" t="n"/>
      <c r="L58" s="4" t="n"/>
      <c r="M58" s="4" t="n"/>
      <c r="N58" s="16" t="n"/>
      <c r="O58" s="4" t="n"/>
      <c r="P58" s="16" t="n"/>
      <c r="Q58" s="4" t="n"/>
      <c r="R58" s="16" t="n"/>
      <c r="S58" s="20">
        <f>IF(OR(N58="",P58="",R58=""),"",(--TRIM(LEFT(N58,2)))*(--TRIM(LEFT(P58,2)))*(--TRIM(LEFT(R58,2))))</f>
        <v/>
      </c>
      <c r="T58" s="20">
        <f>IF(OR(N58="",P58="",R58=""),"",INDEX(APGrid,COUNTIF(APS,"&gt;"&amp;(--TRIM(LEFT(N58,2))))*5+COUNTIF(APO,"&gt;"&amp;(--TRIM(LEFT(P58,2))))+1,COUNTIF(APD,"&gt;"&amp;(--TRIM(LEFT(R58,2))))+1))</f>
        <v/>
      </c>
      <c r="U58" s="20">
        <f>IF(S58="","",IF(OR((--TRIM(LEFT(N58,2)))&gt;=SThr,S58&gt;=RPNThr,T58="H"),"Yes","No"))</f>
        <v/>
      </c>
      <c r="V58" s="4" t="n"/>
      <c r="W58" s="4" t="n"/>
      <c r="X58" s="4" t="n"/>
      <c r="Y58" s="29" t="n"/>
      <c r="Z58" s="16" t="n"/>
      <c r="AA58" s="16" t="n"/>
      <c r="AB58" s="16" t="n"/>
      <c r="AC58" s="20">
        <f>IF(OR(Z58="",AA58="",AB58=""),"",(--TRIM(LEFT(Z58,2)))*(--TRIM(LEFT(AA58,2)))*(--TRIM(LEFT(AB58,2))))</f>
        <v/>
      </c>
      <c r="AD58" s="20">
        <f>IF(OR(Z58="",AA58="",AB58=""),"",INDEX(APGrid,COUNTIF(APS,"&gt;"&amp;(--TRIM(LEFT(Z58,2))))*5+COUNTIF(APO,"&gt;"&amp;(--TRIM(LEFT(AA58,2))))+1,COUNTIF(APD,"&gt;"&amp;(--TRIM(LEFT(AB58,2))))+1))</f>
        <v/>
      </c>
      <c r="AE58" s="4" t="n"/>
      <c r="AF58" s="4" t="n"/>
      <c r="AH58">
        <f>IFERROR(INDEX(EqTag,_xlfn.AGGREGATE(15,6,(ROW(EqTag)-4)/((EqSys=$D$3)*(EqTag&lt;&gt;"")),ROWS($AH$14:AH58))),"")</f>
        <v/>
      </c>
    </row>
    <row r="59">
      <c r="A59" s="20">
        <f>IF(F59="","",LEFT($D$3,3)&amp;"-"&amp;TEXT(COUNTIF(F$14:F59,"?*"),"00"))</f>
        <v/>
      </c>
      <c r="B59" s="4" t="n"/>
      <c r="C59" s="5">
        <f>IF(B59="","",IFERROR(INDEX(EqTypeCol,MATCH(B59,EqTag,0)),"Tag not in register"))</f>
        <v/>
      </c>
      <c r="D59" s="4" t="n"/>
      <c r="E59" s="4" t="n"/>
      <c r="F59" s="4" t="n"/>
      <c r="G59" s="4" t="n"/>
      <c r="H59" s="4" t="n"/>
      <c r="I59" s="4" t="n"/>
      <c r="J59" s="5">
        <f>_xlfn.TEXTJOIN(CHAR(10),TRUE,IF(G59="","","• "&amp;G59),IF(H59="","","• "&amp;H59),IF(I59="","","• "&amp;I59))</f>
        <v/>
      </c>
      <c r="K59" s="4" t="n"/>
      <c r="L59" s="4" t="n"/>
      <c r="M59" s="4" t="n"/>
      <c r="N59" s="16" t="n"/>
      <c r="O59" s="4" t="n"/>
      <c r="P59" s="16" t="n"/>
      <c r="Q59" s="4" t="n"/>
      <c r="R59" s="16" t="n"/>
      <c r="S59" s="20">
        <f>IF(OR(N59="",P59="",R59=""),"",(--TRIM(LEFT(N59,2)))*(--TRIM(LEFT(P59,2)))*(--TRIM(LEFT(R59,2))))</f>
        <v/>
      </c>
      <c r="T59" s="20">
        <f>IF(OR(N59="",P59="",R59=""),"",INDEX(APGrid,COUNTIF(APS,"&gt;"&amp;(--TRIM(LEFT(N59,2))))*5+COUNTIF(APO,"&gt;"&amp;(--TRIM(LEFT(P59,2))))+1,COUNTIF(APD,"&gt;"&amp;(--TRIM(LEFT(R59,2))))+1))</f>
        <v/>
      </c>
      <c r="U59" s="20">
        <f>IF(S59="","",IF(OR((--TRIM(LEFT(N59,2)))&gt;=SThr,S59&gt;=RPNThr,T59="H"),"Yes","No"))</f>
        <v/>
      </c>
      <c r="V59" s="4" t="n"/>
      <c r="W59" s="4" t="n"/>
      <c r="X59" s="4" t="n"/>
      <c r="Y59" s="29" t="n"/>
      <c r="Z59" s="16" t="n"/>
      <c r="AA59" s="16" t="n"/>
      <c r="AB59" s="16" t="n"/>
      <c r="AC59" s="20">
        <f>IF(OR(Z59="",AA59="",AB59=""),"",(--TRIM(LEFT(Z59,2)))*(--TRIM(LEFT(AA59,2)))*(--TRIM(LEFT(AB59,2))))</f>
        <v/>
      </c>
      <c r="AD59" s="20">
        <f>IF(OR(Z59="",AA59="",AB59=""),"",INDEX(APGrid,COUNTIF(APS,"&gt;"&amp;(--TRIM(LEFT(Z59,2))))*5+COUNTIF(APO,"&gt;"&amp;(--TRIM(LEFT(AA59,2))))+1,COUNTIF(APD,"&gt;"&amp;(--TRIM(LEFT(AB59,2))))+1))</f>
        <v/>
      </c>
      <c r="AE59" s="4" t="n"/>
      <c r="AF59" s="4" t="n"/>
      <c r="AH59">
        <f>IFERROR(INDEX(EqTag,_xlfn.AGGREGATE(15,6,(ROW(EqTag)-4)/((EqSys=$D$3)*(EqTag&lt;&gt;"")),ROWS($AH$14:AH59))),"")</f>
        <v/>
      </c>
    </row>
    <row r="60">
      <c r="A60" s="20">
        <f>IF(F60="","",LEFT($D$3,3)&amp;"-"&amp;TEXT(COUNTIF(F$14:F60,"?*"),"00"))</f>
        <v/>
      </c>
      <c r="B60" s="4" t="n"/>
      <c r="C60" s="5">
        <f>IF(B60="","",IFERROR(INDEX(EqTypeCol,MATCH(B60,EqTag,0)),"Tag not in register"))</f>
        <v/>
      </c>
      <c r="D60" s="4" t="n"/>
      <c r="E60" s="4" t="n"/>
      <c r="F60" s="4" t="n"/>
      <c r="G60" s="4" t="n"/>
      <c r="H60" s="4" t="n"/>
      <c r="I60" s="4" t="n"/>
      <c r="J60" s="5">
        <f>_xlfn.TEXTJOIN(CHAR(10),TRUE,IF(G60="","","• "&amp;G60),IF(H60="","","• "&amp;H60),IF(I60="","","• "&amp;I60))</f>
        <v/>
      </c>
      <c r="K60" s="4" t="n"/>
      <c r="L60" s="4" t="n"/>
      <c r="M60" s="4" t="n"/>
      <c r="N60" s="16" t="n"/>
      <c r="O60" s="4" t="n"/>
      <c r="P60" s="16" t="n"/>
      <c r="Q60" s="4" t="n"/>
      <c r="R60" s="16" t="n"/>
      <c r="S60" s="20">
        <f>IF(OR(N60="",P60="",R60=""),"",(--TRIM(LEFT(N60,2)))*(--TRIM(LEFT(P60,2)))*(--TRIM(LEFT(R60,2))))</f>
        <v/>
      </c>
      <c r="T60" s="20">
        <f>IF(OR(N60="",P60="",R60=""),"",INDEX(APGrid,COUNTIF(APS,"&gt;"&amp;(--TRIM(LEFT(N60,2))))*5+COUNTIF(APO,"&gt;"&amp;(--TRIM(LEFT(P60,2))))+1,COUNTIF(APD,"&gt;"&amp;(--TRIM(LEFT(R60,2))))+1))</f>
        <v/>
      </c>
      <c r="U60" s="20">
        <f>IF(S60="","",IF(OR((--TRIM(LEFT(N60,2)))&gt;=SThr,S60&gt;=RPNThr,T60="H"),"Yes","No"))</f>
        <v/>
      </c>
      <c r="V60" s="4" t="n"/>
      <c r="W60" s="4" t="n"/>
      <c r="X60" s="4" t="n"/>
      <c r="Y60" s="29" t="n"/>
      <c r="Z60" s="16" t="n"/>
      <c r="AA60" s="16" t="n"/>
      <c r="AB60" s="16" t="n"/>
      <c r="AC60" s="20">
        <f>IF(OR(Z60="",AA60="",AB60=""),"",(--TRIM(LEFT(Z60,2)))*(--TRIM(LEFT(AA60,2)))*(--TRIM(LEFT(AB60,2))))</f>
        <v/>
      </c>
      <c r="AD60" s="20">
        <f>IF(OR(Z60="",AA60="",AB60=""),"",INDEX(APGrid,COUNTIF(APS,"&gt;"&amp;(--TRIM(LEFT(Z60,2))))*5+COUNTIF(APO,"&gt;"&amp;(--TRIM(LEFT(AA60,2))))+1,COUNTIF(APD,"&gt;"&amp;(--TRIM(LEFT(AB60,2))))+1))</f>
        <v/>
      </c>
      <c r="AE60" s="4" t="n"/>
      <c r="AF60" s="4" t="n"/>
      <c r="AH60">
        <f>IFERROR(INDEX(EqTag,_xlfn.AGGREGATE(15,6,(ROW(EqTag)-4)/((EqSys=$D$3)*(EqTag&lt;&gt;"")),ROWS($AH$14:AH60))),"")</f>
        <v/>
      </c>
    </row>
    <row r="61">
      <c r="A61" s="20">
        <f>IF(F61="","",LEFT($D$3,3)&amp;"-"&amp;TEXT(COUNTIF(F$14:F61,"?*"),"00"))</f>
        <v/>
      </c>
      <c r="B61" s="4" t="n"/>
      <c r="C61" s="5">
        <f>IF(B61="","",IFERROR(INDEX(EqTypeCol,MATCH(B61,EqTag,0)),"Tag not in register"))</f>
        <v/>
      </c>
      <c r="D61" s="4" t="n"/>
      <c r="E61" s="4" t="n"/>
      <c r="F61" s="4" t="n"/>
      <c r="G61" s="4" t="n"/>
      <c r="H61" s="4" t="n"/>
      <c r="I61" s="4" t="n"/>
      <c r="J61" s="5">
        <f>_xlfn.TEXTJOIN(CHAR(10),TRUE,IF(G61="","","• "&amp;G61),IF(H61="","","• "&amp;H61),IF(I61="","","• "&amp;I61))</f>
        <v/>
      </c>
      <c r="K61" s="4" t="n"/>
      <c r="L61" s="4" t="n"/>
      <c r="M61" s="4" t="n"/>
      <c r="N61" s="16" t="n"/>
      <c r="O61" s="4" t="n"/>
      <c r="P61" s="16" t="n"/>
      <c r="Q61" s="4" t="n"/>
      <c r="R61" s="16" t="n"/>
      <c r="S61" s="20">
        <f>IF(OR(N61="",P61="",R61=""),"",(--TRIM(LEFT(N61,2)))*(--TRIM(LEFT(P61,2)))*(--TRIM(LEFT(R61,2))))</f>
        <v/>
      </c>
      <c r="T61" s="20">
        <f>IF(OR(N61="",P61="",R61=""),"",INDEX(APGrid,COUNTIF(APS,"&gt;"&amp;(--TRIM(LEFT(N61,2))))*5+COUNTIF(APO,"&gt;"&amp;(--TRIM(LEFT(P61,2))))+1,COUNTIF(APD,"&gt;"&amp;(--TRIM(LEFT(R61,2))))+1))</f>
        <v/>
      </c>
      <c r="U61" s="20">
        <f>IF(S61="","",IF(OR((--TRIM(LEFT(N61,2)))&gt;=SThr,S61&gt;=RPNThr,T61="H"),"Yes","No"))</f>
        <v/>
      </c>
      <c r="V61" s="4" t="n"/>
      <c r="W61" s="4" t="n"/>
      <c r="X61" s="4" t="n"/>
      <c r="Y61" s="29" t="n"/>
      <c r="Z61" s="16" t="n"/>
      <c r="AA61" s="16" t="n"/>
      <c r="AB61" s="16" t="n"/>
      <c r="AC61" s="20">
        <f>IF(OR(Z61="",AA61="",AB61=""),"",(--TRIM(LEFT(Z61,2)))*(--TRIM(LEFT(AA61,2)))*(--TRIM(LEFT(AB61,2))))</f>
        <v/>
      </c>
      <c r="AD61" s="20">
        <f>IF(OR(Z61="",AA61="",AB61=""),"",INDEX(APGrid,COUNTIF(APS,"&gt;"&amp;(--TRIM(LEFT(Z61,2))))*5+COUNTIF(APO,"&gt;"&amp;(--TRIM(LEFT(AA61,2))))+1,COUNTIF(APD,"&gt;"&amp;(--TRIM(LEFT(AB61,2))))+1))</f>
        <v/>
      </c>
      <c r="AE61" s="4" t="n"/>
      <c r="AF61" s="4" t="n"/>
      <c r="AH61">
        <f>IFERROR(INDEX(EqTag,_xlfn.AGGREGATE(15,6,(ROW(EqTag)-4)/((EqSys=$D$3)*(EqTag&lt;&gt;"")),ROWS($AH$14:AH61))),"")</f>
        <v/>
      </c>
    </row>
    <row r="62">
      <c r="A62" s="20">
        <f>IF(F62="","",LEFT($D$3,3)&amp;"-"&amp;TEXT(COUNTIF(F$14:F62,"?*"),"00"))</f>
        <v/>
      </c>
      <c r="B62" s="4" t="n"/>
      <c r="C62" s="5">
        <f>IF(B62="","",IFERROR(INDEX(EqTypeCol,MATCH(B62,EqTag,0)),"Tag not in register"))</f>
        <v/>
      </c>
      <c r="D62" s="4" t="n"/>
      <c r="E62" s="4" t="n"/>
      <c r="F62" s="4" t="n"/>
      <c r="G62" s="4" t="n"/>
      <c r="H62" s="4" t="n"/>
      <c r="I62" s="4" t="n"/>
      <c r="J62" s="5">
        <f>_xlfn.TEXTJOIN(CHAR(10),TRUE,IF(G62="","","• "&amp;G62),IF(H62="","","• "&amp;H62),IF(I62="","","• "&amp;I62))</f>
        <v/>
      </c>
      <c r="K62" s="4" t="n"/>
      <c r="L62" s="4" t="n"/>
      <c r="M62" s="4" t="n"/>
      <c r="N62" s="16" t="n"/>
      <c r="O62" s="4" t="n"/>
      <c r="P62" s="16" t="n"/>
      <c r="Q62" s="4" t="n"/>
      <c r="R62" s="16" t="n"/>
      <c r="S62" s="20">
        <f>IF(OR(N62="",P62="",R62=""),"",(--TRIM(LEFT(N62,2)))*(--TRIM(LEFT(P62,2)))*(--TRIM(LEFT(R62,2))))</f>
        <v/>
      </c>
      <c r="T62" s="20">
        <f>IF(OR(N62="",P62="",R62=""),"",INDEX(APGrid,COUNTIF(APS,"&gt;"&amp;(--TRIM(LEFT(N62,2))))*5+COUNTIF(APO,"&gt;"&amp;(--TRIM(LEFT(P62,2))))+1,COUNTIF(APD,"&gt;"&amp;(--TRIM(LEFT(R62,2))))+1))</f>
        <v/>
      </c>
      <c r="U62" s="20">
        <f>IF(S62="","",IF(OR((--TRIM(LEFT(N62,2)))&gt;=SThr,S62&gt;=RPNThr,T62="H"),"Yes","No"))</f>
        <v/>
      </c>
      <c r="V62" s="4" t="n"/>
      <c r="W62" s="4" t="n"/>
      <c r="X62" s="4" t="n"/>
      <c r="Y62" s="29" t="n"/>
      <c r="Z62" s="16" t="n"/>
      <c r="AA62" s="16" t="n"/>
      <c r="AB62" s="16" t="n"/>
      <c r="AC62" s="20">
        <f>IF(OR(Z62="",AA62="",AB62=""),"",(--TRIM(LEFT(Z62,2)))*(--TRIM(LEFT(AA62,2)))*(--TRIM(LEFT(AB62,2))))</f>
        <v/>
      </c>
      <c r="AD62" s="20">
        <f>IF(OR(Z62="",AA62="",AB62=""),"",INDEX(APGrid,COUNTIF(APS,"&gt;"&amp;(--TRIM(LEFT(Z62,2))))*5+COUNTIF(APO,"&gt;"&amp;(--TRIM(LEFT(AA62,2))))+1,COUNTIF(APD,"&gt;"&amp;(--TRIM(LEFT(AB62,2))))+1))</f>
        <v/>
      </c>
      <c r="AE62" s="4" t="n"/>
      <c r="AF62" s="4" t="n"/>
      <c r="AH62">
        <f>IFERROR(INDEX(EqTag,_xlfn.AGGREGATE(15,6,(ROW(EqTag)-4)/((EqSys=$D$3)*(EqTag&lt;&gt;"")),ROWS($AH$14:AH62))),"")</f>
        <v/>
      </c>
    </row>
    <row r="63">
      <c r="A63" s="20">
        <f>IF(F63="","",LEFT($D$3,3)&amp;"-"&amp;TEXT(COUNTIF(F$14:F63,"?*"),"00"))</f>
        <v/>
      </c>
      <c r="B63" s="4" t="n"/>
      <c r="C63" s="5">
        <f>IF(B63="","",IFERROR(INDEX(EqTypeCol,MATCH(B63,EqTag,0)),"Tag not in register"))</f>
        <v/>
      </c>
      <c r="D63" s="4" t="n"/>
      <c r="E63" s="4" t="n"/>
      <c r="F63" s="4" t="n"/>
      <c r="G63" s="4" t="n"/>
      <c r="H63" s="4" t="n"/>
      <c r="I63" s="4" t="n"/>
      <c r="J63" s="5">
        <f>_xlfn.TEXTJOIN(CHAR(10),TRUE,IF(G63="","","• "&amp;G63),IF(H63="","","• "&amp;H63),IF(I63="","","• "&amp;I63))</f>
        <v/>
      </c>
      <c r="K63" s="4" t="n"/>
      <c r="L63" s="4" t="n"/>
      <c r="M63" s="4" t="n"/>
      <c r="N63" s="16" t="n"/>
      <c r="O63" s="4" t="n"/>
      <c r="P63" s="16" t="n"/>
      <c r="Q63" s="4" t="n"/>
      <c r="R63" s="16" t="n"/>
      <c r="S63" s="20">
        <f>IF(OR(N63="",P63="",R63=""),"",(--TRIM(LEFT(N63,2)))*(--TRIM(LEFT(P63,2)))*(--TRIM(LEFT(R63,2))))</f>
        <v/>
      </c>
      <c r="T63" s="20">
        <f>IF(OR(N63="",P63="",R63=""),"",INDEX(APGrid,COUNTIF(APS,"&gt;"&amp;(--TRIM(LEFT(N63,2))))*5+COUNTIF(APO,"&gt;"&amp;(--TRIM(LEFT(P63,2))))+1,COUNTIF(APD,"&gt;"&amp;(--TRIM(LEFT(R63,2))))+1))</f>
        <v/>
      </c>
      <c r="U63" s="20">
        <f>IF(S63="","",IF(OR((--TRIM(LEFT(N63,2)))&gt;=SThr,S63&gt;=RPNThr,T63="H"),"Yes","No"))</f>
        <v/>
      </c>
      <c r="V63" s="4" t="n"/>
      <c r="W63" s="4" t="n"/>
      <c r="X63" s="4" t="n"/>
      <c r="Y63" s="29" t="n"/>
      <c r="Z63" s="16" t="n"/>
      <c r="AA63" s="16" t="n"/>
      <c r="AB63" s="16" t="n"/>
      <c r="AC63" s="20">
        <f>IF(OR(Z63="",AA63="",AB63=""),"",(--TRIM(LEFT(Z63,2)))*(--TRIM(LEFT(AA63,2)))*(--TRIM(LEFT(AB63,2))))</f>
        <v/>
      </c>
      <c r="AD63" s="20">
        <f>IF(OR(Z63="",AA63="",AB63=""),"",INDEX(APGrid,COUNTIF(APS,"&gt;"&amp;(--TRIM(LEFT(Z63,2))))*5+COUNTIF(APO,"&gt;"&amp;(--TRIM(LEFT(AA63,2))))+1,COUNTIF(APD,"&gt;"&amp;(--TRIM(LEFT(AB63,2))))+1))</f>
        <v/>
      </c>
      <c r="AE63" s="4" t="n"/>
      <c r="AF63" s="4" t="n"/>
      <c r="AH63">
        <f>IFERROR(INDEX(EqTag,_xlfn.AGGREGATE(15,6,(ROW(EqTag)-4)/((EqSys=$D$3)*(EqTag&lt;&gt;"")),ROWS($AH$14:AH63))),"")</f>
        <v/>
      </c>
    </row>
    <row r="64">
      <c r="A64" s="20">
        <f>IF(F64="","",LEFT($D$3,3)&amp;"-"&amp;TEXT(COUNTIF(F$14:F64,"?*"),"00"))</f>
        <v/>
      </c>
      <c r="B64" s="4" t="n"/>
      <c r="C64" s="5">
        <f>IF(B64="","",IFERROR(INDEX(EqTypeCol,MATCH(B64,EqTag,0)),"Tag not in register"))</f>
        <v/>
      </c>
      <c r="D64" s="4" t="n"/>
      <c r="E64" s="4" t="n"/>
      <c r="F64" s="4" t="n"/>
      <c r="G64" s="4" t="n"/>
      <c r="H64" s="4" t="n"/>
      <c r="I64" s="4" t="n"/>
      <c r="J64" s="5">
        <f>_xlfn.TEXTJOIN(CHAR(10),TRUE,IF(G64="","","• "&amp;G64),IF(H64="","","• "&amp;H64),IF(I64="","","• "&amp;I64))</f>
        <v/>
      </c>
      <c r="K64" s="4" t="n"/>
      <c r="L64" s="4" t="n"/>
      <c r="M64" s="4" t="n"/>
      <c r="N64" s="16" t="n"/>
      <c r="O64" s="4" t="n"/>
      <c r="P64" s="16" t="n"/>
      <c r="Q64" s="4" t="n"/>
      <c r="R64" s="16" t="n"/>
      <c r="S64" s="20">
        <f>IF(OR(N64="",P64="",R64=""),"",(--TRIM(LEFT(N64,2)))*(--TRIM(LEFT(P64,2)))*(--TRIM(LEFT(R64,2))))</f>
        <v/>
      </c>
      <c r="T64" s="20">
        <f>IF(OR(N64="",P64="",R64=""),"",INDEX(APGrid,COUNTIF(APS,"&gt;"&amp;(--TRIM(LEFT(N64,2))))*5+COUNTIF(APO,"&gt;"&amp;(--TRIM(LEFT(P64,2))))+1,COUNTIF(APD,"&gt;"&amp;(--TRIM(LEFT(R64,2))))+1))</f>
        <v/>
      </c>
      <c r="U64" s="20">
        <f>IF(S64="","",IF(OR((--TRIM(LEFT(N64,2)))&gt;=SThr,S64&gt;=RPNThr,T64="H"),"Yes","No"))</f>
        <v/>
      </c>
      <c r="V64" s="4" t="n"/>
      <c r="W64" s="4" t="n"/>
      <c r="X64" s="4" t="n"/>
      <c r="Y64" s="29" t="n"/>
      <c r="Z64" s="16" t="n"/>
      <c r="AA64" s="16" t="n"/>
      <c r="AB64" s="16" t="n"/>
      <c r="AC64" s="20">
        <f>IF(OR(Z64="",AA64="",AB64=""),"",(--TRIM(LEFT(Z64,2)))*(--TRIM(LEFT(AA64,2)))*(--TRIM(LEFT(AB64,2))))</f>
        <v/>
      </c>
      <c r="AD64" s="20">
        <f>IF(OR(Z64="",AA64="",AB64=""),"",INDEX(APGrid,COUNTIF(APS,"&gt;"&amp;(--TRIM(LEFT(Z64,2))))*5+COUNTIF(APO,"&gt;"&amp;(--TRIM(LEFT(AA64,2))))+1,COUNTIF(APD,"&gt;"&amp;(--TRIM(LEFT(AB64,2))))+1))</f>
        <v/>
      </c>
      <c r="AE64" s="4" t="n"/>
      <c r="AF64" s="4" t="n"/>
      <c r="AH64">
        <f>IFERROR(INDEX(EqTag,_xlfn.AGGREGATE(15,6,(ROW(EqTag)-4)/((EqSys=$D$3)*(EqTag&lt;&gt;"")),ROWS($AH$14:AH64))),"")</f>
        <v/>
      </c>
    </row>
    <row r="65">
      <c r="A65" s="20">
        <f>IF(F65="","",LEFT($D$3,3)&amp;"-"&amp;TEXT(COUNTIF(F$14:F65,"?*"),"00"))</f>
        <v/>
      </c>
      <c r="B65" s="4" t="n"/>
      <c r="C65" s="5">
        <f>IF(B65="","",IFERROR(INDEX(EqTypeCol,MATCH(B65,EqTag,0)),"Tag not in register"))</f>
        <v/>
      </c>
      <c r="D65" s="4" t="n"/>
      <c r="E65" s="4" t="n"/>
      <c r="F65" s="4" t="n"/>
      <c r="G65" s="4" t="n"/>
      <c r="H65" s="4" t="n"/>
      <c r="I65" s="4" t="n"/>
      <c r="J65" s="5">
        <f>_xlfn.TEXTJOIN(CHAR(10),TRUE,IF(G65="","","• "&amp;G65),IF(H65="","","• "&amp;H65),IF(I65="","","• "&amp;I65))</f>
        <v/>
      </c>
      <c r="K65" s="4" t="n"/>
      <c r="L65" s="4" t="n"/>
      <c r="M65" s="4" t="n"/>
      <c r="N65" s="16" t="n"/>
      <c r="O65" s="4" t="n"/>
      <c r="P65" s="16" t="n"/>
      <c r="Q65" s="4" t="n"/>
      <c r="R65" s="16" t="n"/>
      <c r="S65" s="20">
        <f>IF(OR(N65="",P65="",R65=""),"",(--TRIM(LEFT(N65,2)))*(--TRIM(LEFT(P65,2)))*(--TRIM(LEFT(R65,2))))</f>
        <v/>
      </c>
      <c r="T65" s="20">
        <f>IF(OR(N65="",P65="",R65=""),"",INDEX(APGrid,COUNTIF(APS,"&gt;"&amp;(--TRIM(LEFT(N65,2))))*5+COUNTIF(APO,"&gt;"&amp;(--TRIM(LEFT(P65,2))))+1,COUNTIF(APD,"&gt;"&amp;(--TRIM(LEFT(R65,2))))+1))</f>
        <v/>
      </c>
      <c r="U65" s="20">
        <f>IF(S65="","",IF(OR((--TRIM(LEFT(N65,2)))&gt;=SThr,S65&gt;=RPNThr,T65="H"),"Yes","No"))</f>
        <v/>
      </c>
      <c r="V65" s="4" t="n"/>
      <c r="W65" s="4" t="n"/>
      <c r="X65" s="4" t="n"/>
      <c r="Y65" s="29" t="n"/>
      <c r="Z65" s="16" t="n"/>
      <c r="AA65" s="16" t="n"/>
      <c r="AB65" s="16" t="n"/>
      <c r="AC65" s="20">
        <f>IF(OR(Z65="",AA65="",AB65=""),"",(--TRIM(LEFT(Z65,2)))*(--TRIM(LEFT(AA65,2)))*(--TRIM(LEFT(AB65,2))))</f>
        <v/>
      </c>
      <c r="AD65" s="20">
        <f>IF(OR(Z65="",AA65="",AB65=""),"",INDEX(APGrid,COUNTIF(APS,"&gt;"&amp;(--TRIM(LEFT(Z65,2))))*5+COUNTIF(APO,"&gt;"&amp;(--TRIM(LEFT(AA65,2))))+1,COUNTIF(APD,"&gt;"&amp;(--TRIM(LEFT(AB65,2))))+1))</f>
        <v/>
      </c>
      <c r="AE65" s="4" t="n"/>
      <c r="AF65" s="4" t="n"/>
      <c r="AH65">
        <f>IFERROR(INDEX(EqTag,_xlfn.AGGREGATE(15,6,(ROW(EqTag)-4)/((EqSys=$D$3)*(EqTag&lt;&gt;"")),ROWS($AH$14:AH65))),"")</f>
        <v/>
      </c>
    </row>
    <row r="66">
      <c r="A66" s="20">
        <f>IF(F66="","",LEFT($D$3,3)&amp;"-"&amp;TEXT(COUNTIF(F$14:F66,"?*"),"00"))</f>
        <v/>
      </c>
      <c r="B66" s="4" t="n"/>
      <c r="C66" s="5">
        <f>IF(B66="","",IFERROR(INDEX(EqTypeCol,MATCH(B66,EqTag,0)),"Tag not in register"))</f>
        <v/>
      </c>
      <c r="D66" s="4" t="n"/>
      <c r="E66" s="4" t="n"/>
      <c r="F66" s="4" t="n"/>
      <c r="G66" s="4" t="n"/>
      <c r="H66" s="4" t="n"/>
      <c r="I66" s="4" t="n"/>
      <c r="J66" s="5">
        <f>_xlfn.TEXTJOIN(CHAR(10),TRUE,IF(G66="","","• "&amp;G66),IF(H66="","","• "&amp;H66),IF(I66="","","• "&amp;I66))</f>
        <v/>
      </c>
      <c r="K66" s="4" t="n"/>
      <c r="L66" s="4" t="n"/>
      <c r="M66" s="4" t="n"/>
      <c r="N66" s="16" t="n"/>
      <c r="O66" s="4" t="n"/>
      <c r="P66" s="16" t="n"/>
      <c r="Q66" s="4" t="n"/>
      <c r="R66" s="16" t="n"/>
      <c r="S66" s="20">
        <f>IF(OR(N66="",P66="",R66=""),"",(--TRIM(LEFT(N66,2)))*(--TRIM(LEFT(P66,2)))*(--TRIM(LEFT(R66,2))))</f>
        <v/>
      </c>
      <c r="T66" s="20">
        <f>IF(OR(N66="",P66="",R66=""),"",INDEX(APGrid,COUNTIF(APS,"&gt;"&amp;(--TRIM(LEFT(N66,2))))*5+COUNTIF(APO,"&gt;"&amp;(--TRIM(LEFT(P66,2))))+1,COUNTIF(APD,"&gt;"&amp;(--TRIM(LEFT(R66,2))))+1))</f>
        <v/>
      </c>
      <c r="U66" s="20">
        <f>IF(S66="","",IF(OR((--TRIM(LEFT(N66,2)))&gt;=SThr,S66&gt;=RPNThr,T66="H"),"Yes","No"))</f>
        <v/>
      </c>
      <c r="V66" s="4" t="n"/>
      <c r="W66" s="4" t="n"/>
      <c r="X66" s="4" t="n"/>
      <c r="Y66" s="29" t="n"/>
      <c r="Z66" s="16" t="n"/>
      <c r="AA66" s="16" t="n"/>
      <c r="AB66" s="16" t="n"/>
      <c r="AC66" s="20">
        <f>IF(OR(Z66="",AA66="",AB66=""),"",(--TRIM(LEFT(Z66,2)))*(--TRIM(LEFT(AA66,2)))*(--TRIM(LEFT(AB66,2))))</f>
        <v/>
      </c>
      <c r="AD66" s="20">
        <f>IF(OR(Z66="",AA66="",AB66=""),"",INDEX(APGrid,COUNTIF(APS,"&gt;"&amp;(--TRIM(LEFT(Z66,2))))*5+COUNTIF(APO,"&gt;"&amp;(--TRIM(LEFT(AA66,2))))+1,COUNTIF(APD,"&gt;"&amp;(--TRIM(LEFT(AB66,2))))+1))</f>
        <v/>
      </c>
      <c r="AE66" s="4" t="n"/>
      <c r="AF66" s="4" t="n"/>
      <c r="AH66">
        <f>IFERROR(INDEX(EqTag,_xlfn.AGGREGATE(15,6,(ROW(EqTag)-4)/((EqSys=$D$3)*(EqTag&lt;&gt;"")),ROWS($AH$14:AH66))),"")</f>
        <v/>
      </c>
    </row>
    <row r="67">
      <c r="A67" s="20">
        <f>IF(F67="","",LEFT($D$3,3)&amp;"-"&amp;TEXT(COUNTIF(F$14:F67,"?*"),"00"))</f>
        <v/>
      </c>
      <c r="B67" s="4" t="n"/>
      <c r="C67" s="5">
        <f>IF(B67="","",IFERROR(INDEX(EqTypeCol,MATCH(B67,EqTag,0)),"Tag not in register"))</f>
        <v/>
      </c>
      <c r="D67" s="4" t="n"/>
      <c r="E67" s="4" t="n"/>
      <c r="F67" s="4" t="n"/>
      <c r="G67" s="4" t="n"/>
      <c r="H67" s="4" t="n"/>
      <c r="I67" s="4" t="n"/>
      <c r="J67" s="5">
        <f>_xlfn.TEXTJOIN(CHAR(10),TRUE,IF(G67="","","• "&amp;G67),IF(H67="","","• "&amp;H67),IF(I67="","","• "&amp;I67))</f>
        <v/>
      </c>
      <c r="K67" s="4" t="n"/>
      <c r="L67" s="4" t="n"/>
      <c r="M67" s="4" t="n"/>
      <c r="N67" s="16" t="n"/>
      <c r="O67" s="4" t="n"/>
      <c r="P67" s="16" t="n"/>
      <c r="Q67" s="4" t="n"/>
      <c r="R67" s="16" t="n"/>
      <c r="S67" s="20">
        <f>IF(OR(N67="",P67="",R67=""),"",(--TRIM(LEFT(N67,2)))*(--TRIM(LEFT(P67,2)))*(--TRIM(LEFT(R67,2))))</f>
        <v/>
      </c>
      <c r="T67" s="20">
        <f>IF(OR(N67="",P67="",R67=""),"",INDEX(APGrid,COUNTIF(APS,"&gt;"&amp;(--TRIM(LEFT(N67,2))))*5+COUNTIF(APO,"&gt;"&amp;(--TRIM(LEFT(P67,2))))+1,COUNTIF(APD,"&gt;"&amp;(--TRIM(LEFT(R67,2))))+1))</f>
        <v/>
      </c>
      <c r="U67" s="20">
        <f>IF(S67="","",IF(OR((--TRIM(LEFT(N67,2)))&gt;=SThr,S67&gt;=RPNThr,T67="H"),"Yes","No"))</f>
        <v/>
      </c>
      <c r="V67" s="4" t="n"/>
      <c r="W67" s="4" t="n"/>
      <c r="X67" s="4" t="n"/>
      <c r="Y67" s="29" t="n"/>
      <c r="Z67" s="16" t="n"/>
      <c r="AA67" s="16" t="n"/>
      <c r="AB67" s="16" t="n"/>
      <c r="AC67" s="20">
        <f>IF(OR(Z67="",AA67="",AB67=""),"",(--TRIM(LEFT(Z67,2)))*(--TRIM(LEFT(AA67,2)))*(--TRIM(LEFT(AB67,2))))</f>
        <v/>
      </c>
      <c r="AD67" s="20">
        <f>IF(OR(Z67="",AA67="",AB67=""),"",INDEX(APGrid,COUNTIF(APS,"&gt;"&amp;(--TRIM(LEFT(Z67,2))))*5+COUNTIF(APO,"&gt;"&amp;(--TRIM(LEFT(AA67,2))))+1,COUNTIF(APD,"&gt;"&amp;(--TRIM(LEFT(AB67,2))))+1))</f>
        <v/>
      </c>
      <c r="AE67" s="4" t="n"/>
      <c r="AF67" s="4" t="n"/>
      <c r="AH67">
        <f>IFERROR(INDEX(EqTag,_xlfn.AGGREGATE(15,6,(ROW(EqTag)-4)/((EqSys=$D$3)*(EqTag&lt;&gt;"")),ROWS($AH$14:AH67))),"")</f>
        <v/>
      </c>
    </row>
    <row r="68">
      <c r="A68" s="20">
        <f>IF(F68="","",LEFT($D$3,3)&amp;"-"&amp;TEXT(COUNTIF(F$14:F68,"?*"),"00"))</f>
        <v/>
      </c>
      <c r="B68" s="4" t="n"/>
      <c r="C68" s="5">
        <f>IF(B68="","",IFERROR(INDEX(EqTypeCol,MATCH(B68,EqTag,0)),"Tag not in register"))</f>
        <v/>
      </c>
      <c r="D68" s="4" t="n"/>
      <c r="E68" s="4" t="n"/>
      <c r="F68" s="4" t="n"/>
      <c r="G68" s="4" t="n"/>
      <c r="H68" s="4" t="n"/>
      <c r="I68" s="4" t="n"/>
      <c r="J68" s="5">
        <f>_xlfn.TEXTJOIN(CHAR(10),TRUE,IF(G68="","","• "&amp;G68),IF(H68="","","• "&amp;H68),IF(I68="","","• "&amp;I68))</f>
        <v/>
      </c>
      <c r="K68" s="4" t="n"/>
      <c r="L68" s="4" t="n"/>
      <c r="M68" s="4" t="n"/>
      <c r="N68" s="16" t="n"/>
      <c r="O68" s="4" t="n"/>
      <c r="P68" s="16" t="n"/>
      <c r="Q68" s="4" t="n"/>
      <c r="R68" s="16" t="n"/>
      <c r="S68" s="20">
        <f>IF(OR(N68="",P68="",R68=""),"",(--TRIM(LEFT(N68,2)))*(--TRIM(LEFT(P68,2)))*(--TRIM(LEFT(R68,2))))</f>
        <v/>
      </c>
      <c r="T68" s="20">
        <f>IF(OR(N68="",P68="",R68=""),"",INDEX(APGrid,COUNTIF(APS,"&gt;"&amp;(--TRIM(LEFT(N68,2))))*5+COUNTIF(APO,"&gt;"&amp;(--TRIM(LEFT(P68,2))))+1,COUNTIF(APD,"&gt;"&amp;(--TRIM(LEFT(R68,2))))+1))</f>
        <v/>
      </c>
      <c r="U68" s="20">
        <f>IF(S68="","",IF(OR((--TRIM(LEFT(N68,2)))&gt;=SThr,S68&gt;=RPNThr,T68="H"),"Yes","No"))</f>
        <v/>
      </c>
      <c r="V68" s="4" t="n"/>
      <c r="W68" s="4" t="n"/>
      <c r="X68" s="4" t="n"/>
      <c r="Y68" s="29" t="n"/>
      <c r="Z68" s="16" t="n"/>
      <c r="AA68" s="16" t="n"/>
      <c r="AB68" s="16" t="n"/>
      <c r="AC68" s="20">
        <f>IF(OR(Z68="",AA68="",AB68=""),"",(--TRIM(LEFT(Z68,2)))*(--TRIM(LEFT(AA68,2)))*(--TRIM(LEFT(AB68,2))))</f>
        <v/>
      </c>
      <c r="AD68" s="20">
        <f>IF(OR(Z68="",AA68="",AB68=""),"",INDEX(APGrid,COUNTIF(APS,"&gt;"&amp;(--TRIM(LEFT(Z68,2))))*5+COUNTIF(APO,"&gt;"&amp;(--TRIM(LEFT(AA68,2))))+1,COUNTIF(APD,"&gt;"&amp;(--TRIM(LEFT(AB68,2))))+1))</f>
        <v/>
      </c>
      <c r="AE68" s="4" t="n"/>
      <c r="AF68" s="4" t="n"/>
      <c r="AH68">
        <f>IFERROR(INDEX(EqTag,_xlfn.AGGREGATE(15,6,(ROW(EqTag)-4)/((EqSys=$D$3)*(EqTag&lt;&gt;"")),ROWS($AH$14:AH68))),"")</f>
        <v/>
      </c>
    </row>
    <row r="69">
      <c r="A69" s="20">
        <f>IF(F69="","",LEFT($D$3,3)&amp;"-"&amp;TEXT(COUNTIF(F$14:F69,"?*"),"00"))</f>
        <v/>
      </c>
      <c r="B69" s="4" t="n"/>
      <c r="C69" s="5">
        <f>IF(B69="","",IFERROR(INDEX(EqTypeCol,MATCH(B69,EqTag,0)),"Tag not in register"))</f>
        <v/>
      </c>
      <c r="D69" s="4" t="n"/>
      <c r="E69" s="4" t="n"/>
      <c r="F69" s="4" t="n"/>
      <c r="G69" s="4" t="n"/>
      <c r="H69" s="4" t="n"/>
      <c r="I69" s="4" t="n"/>
      <c r="J69" s="5">
        <f>_xlfn.TEXTJOIN(CHAR(10),TRUE,IF(G69="","","• "&amp;G69),IF(H69="","","• "&amp;H69),IF(I69="","","• "&amp;I69))</f>
        <v/>
      </c>
      <c r="K69" s="4" t="n"/>
      <c r="L69" s="4" t="n"/>
      <c r="M69" s="4" t="n"/>
      <c r="N69" s="16" t="n"/>
      <c r="O69" s="4" t="n"/>
      <c r="P69" s="16" t="n"/>
      <c r="Q69" s="4" t="n"/>
      <c r="R69" s="16" t="n"/>
      <c r="S69" s="20">
        <f>IF(OR(N69="",P69="",R69=""),"",(--TRIM(LEFT(N69,2)))*(--TRIM(LEFT(P69,2)))*(--TRIM(LEFT(R69,2))))</f>
        <v/>
      </c>
      <c r="T69" s="20">
        <f>IF(OR(N69="",P69="",R69=""),"",INDEX(APGrid,COUNTIF(APS,"&gt;"&amp;(--TRIM(LEFT(N69,2))))*5+COUNTIF(APO,"&gt;"&amp;(--TRIM(LEFT(P69,2))))+1,COUNTIF(APD,"&gt;"&amp;(--TRIM(LEFT(R69,2))))+1))</f>
        <v/>
      </c>
      <c r="U69" s="20">
        <f>IF(S69="","",IF(OR((--TRIM(LEFT(N69,2)))&gt;=SThr,S69&gt;=RPNThr,T69="H"),"Yes","No"))</f>
        <v/>
      </c>
      <c r="V69" s="4" t="n"/>
      <c r="W69" s="4" t="n"/>
      <c r="X69" s="4" t="n"/>
      <c r="Y69" s="29" t="n"/>
      <c r="Z69" s="16" t="n"/>
      <c r="AA69" s="16" t="n"/>
      <c r="AB69" s="16" t="n"/>
      <c r="AC69" s="20">
        <f>IF(OR(Z69="",AA69="",AB69=""),"",(--TRIM(LEFT(Z69,2)))*(--TRIM(LEFT(AA69,2)))*(--TRIM(LEFT(AB69,2))))</f>
        <v/>
      </c>
      <c r="AD69" s="20">
        <f>IF(OR(Z69="",AA69="",AB69=""),"",INDEX(APGrid,COUNTIF(APS,"&gt;"&amp;(--TRIM(LEFT(Z69,2))))*5+COUNTIF(APO,"&gt;"&amp;(--TRIM(LEFT(AA69,2))))+1,COUNTIF(APD,"&gt;"&amp;(--TRIM(LEFT(AB69,2))))+1))</f>
        <v/>
      </c>
      <c r="AE69" s="4" t="n"/>
      <c r="AF69" s="4" t="n"/>
      <c r="AH69">
        <f>IFERROR(INDEX(EqTag,_xlfn.AGGREGATE(15,6,(ROW(EqTag)-4)/((EqSys=$D$3)*(EqTag&lt;&gt;"")),ROWS($AH$14:AH69))),"")</f>
        <v/>
      </c>
    </row>
    <row r="70">
      <c r="A70" s="20">
        <f>IF(F70="","",LEFT($D$3,3)&amp;"-"&amp;TEXT(COUNTIF(F$14:F70,"?*"),"00"))</f>
        <v/>
      </c>
      <c r="B70" s="4" t="n"/>
      <c r="C70" s="5">
        <f>IF(B70="","",IFERROR(INDEX(EqTypeCol,MATCH(B70,EqTag,0)),"Tag not in register"))</f>
        <v/>
      </c>
      <c r="D70" s="4" t="n"/>
      <c r="E70" s="4" t="n"/>
      <c r="F70" s="4" t="n"/>
      <c r="G70" s="4" t="n"/>
      <c r="H70" s="4" t="n"/>
      <c r="I70" s="4" t="n"/>
      <c r="J70" s="5">
        <f>_xlfn.TEXTJOIN(CHAR(10),TRUE,IF(G70="","","• "&amp;G70),IF(H70="","","• "&amp;H70),IF(I70="","","• "&amp;I70))</f>
        <v/>
      </c>
      <c r="K70" s="4" t="n"/>
      <c r="L70" s="4" t="n"/>
      <c r="M70" s="4" t="n"/>
      <c r="N70" s="16" t="n"/>
      <c r="O70" s="4" t="n"/>
      <c r="P70" s="16" t="n"/>
      <c r="Q70" s="4" t="n"/>
      <c r="R70" s="16" t="n"/>
      <c r="S70" s="20">
        <f>IF(OR(N70="",P70="",R70=""),"",(--TRIM(LEFT(N70,2)))*(--TRIM(LEFT(P70,2)))*(--TRIM(LEFT(R70,2))))</f>
        <v/>
      </c>
      <c r="T70" s="20">
        <f>IF(OR(N70="",P70="",R70=""),"",INDEX(APGrid,COUNTIF(APS,"&gt;"&amp;(--TRIM(LEFT(N70,2))))*5+COUNTIF(APO,"&gt;"&amp;(--TRIM(LEFT(P70,2))))+1,COUNTIF(APD,"&gt;"&amp;(--TRIM(LEFT(R70,2))))+1))</f>
        <v/>
      </c>
      <c r="U70" s="20">
        <f>IF(S70="","",IF(OR((--TRIM(LEFT(N70,2)))&gt;=SThr,S70&gt;=RPNThr,T70="H"),"Yes","No"))</f>
        <v/>
      </c>
      <c r="V70" s="4" t="n"/>
      <c r="W70" s="4" t="n"/>
      <c r="X70" s="4" t="n"/>
      <c r="Y70" s="29" t="n"/>
      <c r="Z70" s="16" t="n"/>
      <c r="AA70" s="16" t="n"/>
      <c r="AB70" s="16" t="n"/>
      <c r="AC70" s="20">
        <f>IF(OR(Z70="",AA70="",AB70=""),"",(--TRIM(LEFT(Z70,2)))*(--TRIM(LEFT(AA70,2)))*(--TRIM(LEFT(AB70,2))))</f>
        <v/>
      </c>
      <c r="AD70" s="20">
        <f>IF(OR(Z70="",AA70="",AB70=""),"",INDEX(APGrid,COUNTIF(APS,"&gt;"&amp;(--TRIM(LEFT(Z70,2))))*5+COUNTIF(APO,"&gt;"&amp;(--TRIM(LEFT(AA70,2))))+1,COUNTIF(APD,"&gt;"&amp;(--TRIM(LEFT(AB70,2))))+1))</f>
        <v/>
      </c>
      <c r="AE70" s="4" t="n"/>
      <c r="AF70" s="4" t="n"/>
      <c r="AH70">
        <f>IFERROR(INDEX(EqTag,_xlfn.AGGREGATE(15,6,(ROW(EqTag)-4)/((EqSys=$D$3)*(EqTag&lt;&gt;"")),ROWS($AH$14:AH70))),"")</f>
        <v/>
      </c>
    </row>
    <row r="71">
      <c r="A71" s="20">
        <f>IF(F71="","",LEFT($D$3,3)&amp;"-"&amp;TEXT(COUNTIF(F$14:F71,"?*"),"00"))</f>
        <v/>
      </c>
      <c r="B71" s="4" t="n"/>
      <c r="C71" s="5">
        <f>IF(B71="","",IFERROR(INDEX(EqTypeCol,MATCH(B71,EqTag,0)),"Tag not in register"))</f>
        <v/>
      </c>
      <c r="D71" s="4" t="n"/>
      <c r="E71" s="4" t="n"/>
      <c r="F71" s="4" t="n"/>
      <c r="G71" s="4" t="n"/>
      <c r="H71" s="4" t="n"/>
      <c r="I71" s="4" t="n"/>
      <c r="J71" s="5">
        <f>_xlfn.TEXTJOIN(CHAR(10),TRUE,IF(G71="","","• "&amp;G71),IF(H71="","","• "&amp;H71),IF(I71="","","• "&amp;I71))</f>
        <v/>
      </c>
      <c r="K71" s="4" t="n"/>
      <c r="L71" s="4" t="n"/>
      <c r="M71" s="4" t="n"/>
      <c r="N71" s="16" t="n"/>
      <c r="O71" s="4" t="n"/>
      <c r="P71" s="16" t="n"/>
      <c r="Q71" s="4" t="n"/>
      <c r="R71" s="16" t="n"/>
      <c r="S71" s="20">
        <f>IF(OR(N71="",P71="",R71=""),"",(--TRIM(LEFT(N71,2)))*(--TRIM(LEFT(P71,2)))*(--TRIM(LEFT(R71,2))))</f>
        <v/>
      </c>
      <c r="T71" s="20">
        <f>IF(OR(N71="",P71="",R71=""),"",INDEX(APGrid,COUNTIF(APS,"&gt;"&amp;(--TRIM(LEFT(N71,2))))*5+COUNTIF(APO,"&gt;"&amp;(--TRIM(LEFT(P71,2))))+1,COUNTIF(APD,"&gt;"&amp;(--TRIM(LEFT(R71,2))))+1))</f>
        <v/>
      </c>
      <c r="U71" s="20">
        <f>IF(S71="","",IF(OR((--TRIM(LEFT(N71,2)))&gt;=SThr,S71&gt;=RPNThr,T71="H"),"Yes","No"))</f>
        <v/>
      </c>
      <c r="V71" s="4" t="n"/>
      <c r="W71" s="4" t="n"/>
      <c r="X71" s="4" t="n"/>
      <c r="Y71" s="29" t="n"/>
      <c r="Z71" s="16" t="n"/>
      <c r="AA71" s="16" t="n"/>
      <c r="AB71" s="16" t="n"/>
      <c r="AC71" s="20">
        <f>IF(OR(Z71="",AA71="",AB71=""),"",(--TRIM(LEFT(Z71,2)))*(--TRIM(LEFT(AA71,2)))*(--TRIM(LEFT(AB71,2))))</f>
        <v/>
      </c>
      <c r="AD71" s="20">
        <f>IF(OR(Z71="",AA71="",AB71=""),"",INDEX(APGrid,COUNTIF(APS,"&gt;"&amp;(--TRIM(LEFT(Z71,2))))*5+COUNTIF(APO,"&gt;"&amp;(--TRIM(LEFT(AA71,2))))+1,COUNTIF(APD,"&gt;"&amp;(--TRIM(LEFT(AB71,2))))+1))</f>
        <v/>
      </c>
      <c r="AE71" s="4" t="n"/>
      <c r="AF71" s="4" t="n"/>
      <c r="AH71">
        <f>IFERROR(INDEX(EqTag,_xlfn.AGGREGATE(15,6,(ROW(EqTag)-4)/((EqSys=$D$3)*(EqTag&lt;&gt;"")),ROWS($AH$14:AH71))),"")</f>
        <v/>
      </c>
    </row>
    <row r="72">
      <c r="A72" s="20">
        <f>IF(F72="","",LEFT($D$3,3)&amp;"-"&amp;TEXT(COUNTIF(F$14:F72,"?*"),"00"))</f>
        <v/>
      </c>
      <c r="B72" s="4" t="n"/>
      <c r="C72" s="5">
        <f>IF(B72="","",IFERROR(INDEX(EqTypeCol,MATCH(B72,EqTag,0)),"Tag not in register"))</f>
        <v/>
      </c>
      <c r="D72" s="4" t="n"/>
      <c r="E72" s="4" t="n"/>
      <c r="F72" s="4" t="n"/>
      <c r="G72" s="4" t="n"/>
      <c r="H72" s="4" t="n"/>
      <c r="I72" s="4" t="n"/>
      <c r="J72" s="5">
        <f>_xlfn.TEXTJOIN(CHAR(10),TRUE,IF(G72="","","• "&amp;G72),IF(H72="","","• "&amp;H72),IF(I72="","","• "&amp;I72))</f>
        <v/>
      </c>
      <c r="K72" s="4" t="n"/>
      <c r="L72" s="4" t="n"/>
      <c r="M72" s="4" t="n"/>
      <c r="N72" s="16" t="n"/>
      <c r="O72" s="4" t="n"/>
      <c r="P72" s="16" t="n"/>
      <c r="Q72" s="4" t="n"/>
      <c r="R72" s="16" t="n"/>
      <c r="S72" s="20">
        <f>IF(OR(N72="",P72="",R72=""),"",(--TRIM(LEFT(N72,2)))*(--TRIM(LEFT(P72,2)))*(--TRIM(LEFT(R72,2))))</f>
        <v/>
      </c>
      <c r="T72" s="20">
        <f>IF(OR(N72="",P72="",R72=""),"",INDEX(APGrid,COUNTIF(APS,"&gt;"&amp;(--TRIM(LEFT(N72,2))))*5+COUNTIF(APO,"&gt;"&amp;(--TRIM(LEFT(P72,2))))+1,COUNTIF(APD,"&gt;"&amp;(--TRIM(LEFT(R72,2))))+1))</f>
        <v/>
      </c>
      <c r="U72" s="20">
        <f>IF(S72="","",IF(OR((--TRIM(LEFT(N72,2)))&gt;=SThr,S72&gt;=RPNThr,T72="H"),"Yes","No"))</f>
        <v/>
      </c>
      <c r="V72" s="4" t="n"/>
      <c r="W72" s="4" t="n"/>
      <c r="X72" s="4" t="n"/>
      <c r="Y72" s="29" t="n"/>
      <c r="Z72" s="16" t="n"/>
      <c r="AA72" s="16" t="n"/>
      <c r="AB72" s="16" t="n"/>
      <c r="AC72" s="20">
        <f>IF(OR(Z72="",AA72="",AB72=""),"",(--TRIM(LEFT(Z72,2)))*(--TRIM(LEFT(AA72,2)))*(--TRIM(LEFT(AB72,2))))</f>
        <v/>
      </c>
      <c r="AD72" s="20">
        <f>IF(OR(Z72="",AA72="",AB72=""),"",INDEX(APGrid,COUNTIF(APS,"&gt;"&amp;(--TRIM(LEFT(Z72,2))))*5+COUNTIF(APO,"&gt;"&amp;(--TRIM(LEFT(AA72,2))))+1,COUNTIF(APD,"&gt;"&amp;(--TRIM(LEFT(AB72,2))))+1))</f>
        <v/>
      </c>
      <c r="AE72" s="4" t="n"/>
      <c r="AF72" s="4" t="n"/>
      <c r="AH72">
        <f>IFERROR(INDEX(EqTag,_xlfn.AGGREGATE(15,6,(ROW(EqTag)-4)/((EqSys=$D$3)*(EqTag&lt;&gt;"")),ROWS($AH$14:AH72))),"")</f>
        <v/>
      </c>
    </row>
    <row r="73">
      <c r="A73" s="20">
        <f>IF(F73="","",LEFT($D$3,3)&amp;"-"&amp;TEXT(COUNTIF(F$14:F73,"?*"),"00"))</f>
        <v/>
      </c>
      <c r="B73" s="4" t="n"/>
      <c r="C73" s="5">
        <f>IF(B73="","",IFERROR(INDEX(EqTypeCol,MATCH(B73,EqTag,0)),"Tag not in register"))</f>
        <v/>
      </c>
      <c r="D73" s="4" t="n"/>
      <c r="E73" s="4" t="n"/>
      <c r="F73" s="4" t="n"/>
      <c r="G73" s="4" t="n"/>
      <c r="H73" s="4" t="n"/>
      <c r="I73" s="4" t="n"/>
      <c r="J73" s="5">
        <f>_xlfn.TEXTJOIN(CHAR(10),TRUE,IF(G73="","","• "&amp;G73),IF(H73="","","• "&amp;H73),IF(I73="","","• "&amp;I73))</f>
        <v/>
      </c>
      <c r="K73" s="4" t="n"/>
      <c r="L73" s="4" t="n"/>
      <c r="M73" s="4" t="n"/>
      <c r="N73" s="16" t="n"/>
      <c r="O73" s="4" t="n"/>
      <c r="P73" s="16" t="n"/>
      <c r="Q73" s="4" t="n"/>
      <c r="R73" s="16" t="n"/>
      <c r="S73" s="20">
        <f>IF(OR(N73="",P73="",R73=""),"",(--TRIM(LEFT(N73,2)))*(--TRIM(LEFT(P73,2)))*(--TRIM(LEFT(R73,2))))</f>
        <v/>
      </c>
      <c r="T73" s="20">
        <f>IF(OR(N73="",P73="",R73=""),"",INDEX(APGrid,COUNTIF(APS,"&gt;"&amp;(--TRIM(LEFT(N73,2))))*5+COUNTIF(APO,"&gt;"&amp;(--TRIM(LEFT(P73,2))))+1,COUNTIF(APD,"&gt;"&amp;(--TRIM(LEFT(R73,2))))+1))</f>
        <v/>
      </c>
      <c r="U73" s="20">
        <f>IF(S73="","",IF(OR((--TRIM(LEFT(N73,2)))&gt;=SThr,S73&gt;=RPNThr,T73="H"),"Yes","No"))</f>
        <v/>
      </c>
      <c r="V73" s="4" t="n"/>
      <c r="W73" s="4" t="n"/>
      <c r="X73" s="4" t="n"/>
      <c r="Y73" s="29" t="n"/>
      <c r="Z73" s="16" t="n"/>
      <c r="AA73" s="16" t="n"/>
      <c r="AB73" s="16" t="n"/>
      <c r="AC73" s="20">
        <f>IF(OR(Z73="",AA73="",AB73=""),"",(--TRIM(LEFT(Z73,2)))*(--TRIM(LEFT(AA73,2)))*(--TRIM(LEFT(AB73,2))))</f>
        <v/>
      </c>
      <c r="AD73" s="20">
        <f>IF(OR(Z73="",AA73="",AB73=""),"",INDEX(APGrid,COUNTIF(APS,"&gt;"&amp;(--TRIM(LEFT(Z73,2))))*5+COUNTIF(APO,"&gt;"&amp;(--TRIM(LEFT(AA73,2))))+1,COUNTIF(APD,"&gt;"&amp;(--TRIM(LEFT(AB73,2))))+1))</f>
        <v/>
      </c>
      <c r="AE73" s="4" t="n"/>
      <c r="AF73" s="4" t="n"/>
      <c r="AH73">
        <f>IFERROR(INDEX(EqTag,_xlfn.AGGREGATE(15,6,(ROW(EqTag)-4)/((EqSys=$D$3)*(EqTag&lt;&gt;"")),ROWS($AH$14:AH73))),"")</f>
        <v/>
      </c>
    </row>
    <row r="74">
      <c r="A74" s="20">
        <f>IF(F74="","",LEFT($D$3,3)&amp;"-"&amp;TEXT(COUNTIF(F$14:F74,"?*"),"00"))</f>
        <v/>
      </c>
      <c r="B74" s="4" t="n"/>
      <c r="C74" s="5">
        <f>IF(B74="","",IFERROR(INDEX(EqTypeCol,MATCH(B74,EqTag,0)),"Tag not in register"))</f>
        <v/>
      </c>
      <c r="D74" s="4" t="n"/>
      <c r="E74" s="4" t="n"/>
      <c r="F74" s="4" t="n"/>
      <c r="G74" s="4" t="n"/>
      <c r="H74" s="4" t="n"/>
      <c r="I74" s="4" t="n"/>
      <c r="J74" s="5">
        <f>_xlfn.TEXTJOIN(CHAR(10),TRUE,IF(G74="","","• "&amp;G74),IF(H74="","","• "&amp;H74),IF(I74="","","• "&amp;I74))</f>
        <v/>
      </c>
      <c r="K74" s="4" t="n"/>
      <c r="L74" s="4" t="n"/>
      <c r="M74" s="4" t="n"/>
      <c r="N74" s="16" t="n"/>
      <c r="O74" s="4" t="n"/>
      <c r="P74" s="16" t="n"/>
      <c r="Q74" s="4" t="n"/>
      <c r="R74" s="16" t="n"/>
      <c r="S74" s="20">
        <f>IF(OR(N74="",P74="",R74=""),"",(--TRIM(LEFT(N74,2)))*(--TRIM(LEFT(P74,2)))*(--TRIM(LEFT(R74,2))))</f>
        <v/>
      </c>
      <c r="T74" s="20">
        <f>IF(OR(N74="",P74="",R74=""),"",INDEX(APGrid,COUNTIF(APS,"&gt;"&amp;(--TRIM(LEFT(N74,2))))*5+COUNTIF(APO,"&gt;"&amp;(--TRIM(LEFT(P74,2))))+1,COUNTIF(APD,"&gt;"&amp;(--TRIM(LEFT(R74,2))))+1))</f>
        <v/>
      </c>
      <c r="U74" s="20">
        <f>IF(S74="","",IF(OR((--TRIM(LEFT(N74,2)))&gt;=SThr,S74&gt;=RPNThr,T74="H"),"Yes","No"))</f>
        <v/>
      </c>
      <c r="V74" s="4" t="n"/>
      <c r="W74" s="4" t="n"/>
      <c r="X74" s="4" t="n"/>
      <c r="Y74" s="29" t="n"/>
      <c r="Z74" s="16" t="n"/>
      <c r="AA74" s="16" t="n"/>
      <c r="AB74" s="16" t="n"/>
      <c r="AC74" s="20">
        <f>IF(OR(Z74="",AA74="",AB74=""),"",(--TRIM(LEFT(Z74,2)))*(--TRIM(LEFT(AA74,2)))*(--TRIM(LEFT(AB74,2))))</f>
        <v/>
      </c>
      <c r="AD74" s="20">
        <f>IF(OR(Z74="",AA74="",AB74=""),"",INDEX(APGrid,COUNTIF(APS,"&gt;"&amp;(--TRIM(LEFT(Z74,2))))*5+COUNTIF(APO,"&gt;"&amp;(--TRIM(LEFT(AA74,2))))+1,COUNTIF(APD,"&gt;"&amp;(--TRIM(LEFT(AB74,2))))+1))</f>
        <v/>
      </c>
      <c r="AE74" s="4" t="n"/>
      <c r="AF74" s="4" t="n"/>
      <c r="AH74">
        <f>IFERROR(INDEX(EqTag,_xlfn.AGGREGATE(15,6,(ROW(EqTag)-4)/((EqSys=$D$3)*(EqTag&lt;&gt;"")),ROWS($AH$14:AH74))),"")</f>
        <v/>
      </c>
    </row>
    <row r="75">
      <c r="A75" s="20">
        <f>IF(F75="","",LEFT($D$3,3)&amp;"-"&amp;TEXT(COUNTIF(F$14:F75,"?*"),"00"))</f>
        <v/>
      </c>
      <c r="B75" s="4" t="n"/>
      <c r="C75" s="5">
        <f>IF(B75="","",IFERROR(INDEX(EqTypeCol,MATCH(B75,EqTag,0)),"Tag not in register"))</f>
        <v/>
      </c>
      <c r="D75" s="4" t="n"/>
      <c r="E75" s="4" t="n"/>
      <c r="F75" s="4" t="n"/>
      <c r="G75" s="4" t="n"/>
      <c r="H75" s="4" t="n"/>
      <c r="I75" s="4" t="n"/>
      <c r="J75" s="5">
        <f>_xlfn.TEXTJOIN(CHAR(10),TRUE,IF(G75="","","• "&amp;G75),IF(H75="","","• "&amp;H75),IF(I75="","","• "&amp;I75))</f>
        <v/>
      </c>
      <c r="K75" s="4" t="n"/>
      <c r="L75" s="4" t="n"/>
      <c r="M75" s="4" t="n"/>
      <c r="N75" s="16" t="n"/>
      <c r="O75" s="4" t="n"/>
      <c r="P75" s="16" t="n"/>
      <c r="Q75" s="4" t="n"/>
      <c r="R75" s="16" t="n"/>
      <c r="S75" s="20">
        <f>IF(OR(N75="",P75="",R75=""),"",(--TRIM(LEFT(N75,2)))*(--TRIM(LEFT(P75,2)))*(--TRIM(LEFT(R75,2))))</f>
        <v/>
      </c>
      <c r="T75" s="20">
        <f>IF(OR(N75="",P75="",R75=""),"",INDEX(APGrid,COUNTIF(APS,"&gt;"&amp;(--TRIM(LEFT(N75,2))))*5+COUNTIF(APO,"&gt;"&amp;(--TRIM(LEFT(P75,2))))+1,COUNTIF(APD,"&gt;"&amp;(--TRIM(LEFT(R75,2))))+1))</f>
        <v/>
      </c>
      <c r="U75" s="20">
        <f>IF(S75="","",IF(OR((--TRIM(LEFT(N75,2)))&gt;=SThr,S75&gt;=RPNThr,T75="H"),"Yes","No"))</f>
        <v/>
      </c>
      <c r="V75" s="4" t="n"/>
      <c r="W75" s="4" t="n"/>
      <c r="X75" s="4" t="n"/>
      <c r="Y75" s="29" t="n"/>
      <c r="Z75" s="16" t="n"/>
      <c r="AA75" s="16" t="n"/>
      <c r="AB75" s="16" t="n"/>
      <c r="AC75" s="20">
        <f>IF(OR(Z75="",AA75="",AB75=""),"",(--TRIM(LEFT(Z75,2)))*(--TRIM(LEFT(AA75,2)))*(--TRIM(LEFT(AB75,2))))</f>
        <v/>
      </c>
      <c r="AD75" s="20">
        <f>IF(OR(Z75="",AA75="",AB75=""),"",INDEX(APGrid,COUNTIF(APS,"&gt;"&amp;(--TRIM(LEFT(Z75,2))))*5+COUNTIF(APO,"&gt;"&amp;(--TRIM(LEFT(AA75,2))))+1,COUNTIF(APD,"&gt;"&amp;(--TRIM(LEFT(AB75,2))))+1))</f>
        <v/>
      </c>
      <c r="AE75" s="4" t="n"/>
      <c r="AF75" s="4" t="n"/>
      <c r="AH75">
        <f>IFERROR(INDEX(EqTag,_xlfn.AGGREGATE(15,6,(ROW(EqTag)-4)/((EqSys=$D$3)*(EqTag&lt;&gt;"")),ROWS($AH$14:AH75))),"")</f>
        <v/>
      </c>
    </row>
    <row r="76">
      <c r="A76" s="20">
        <f>IF(F76="","",LEFT($D$3,3)&amp;"-"&amp;TEXT(COUNTIF(F$14:F76,"?*"),"00"))</f>
        <v/>
      </c>
      <c r="B76" s="4" t="n"/>
      <c r="C76" s="5">
        <f>IF(B76="","",IFERROR(INDEX(EqTypeCol,MATCH(B76,EqTag,0)),"Tag not in register"))</f>
        <v/>
      </c>
      <c r="D76" s="4" t="n"/>
      <c r="E76" s="4" t="n"/>
      <c r="F76" s="4" t="n"/>
      <c r="G76" s="4" t="n"/>
      <c r="H76" s="4" t="n"/>
      <c r="I76" s="4" t="n"/>
      <c r="J76" s="5">
        <f>_xlfn.TEXTJOIN(CHAR(10),TRUE,IF(G76="","","• "&amp;G76),IF(H76="","","• "&amp;H76),IF(I76="","","• "&amp;I76))</f>
        <v/>
      </c>
      <c r="K76" s="4" t="n"/>
      <c r="L76" s="4" t="n"/>
      <c r="M76" s="4" t="n"/>
      <c r="N76" s="16" t="n"/>
      <c r="O76" s="4" t="n"/>
      <c r="P76" s="16" t="n"/>
      <c r="Q76" s="4" t="n"/>
      <c r="R76" s="16" t="n"/>
      <c r="S76" s="20">
        <f>IF(OR(N76="",P76="",R76=""),"",(--TRIM(LEFT(N76,2)))*(--TRIM(LEFT(P76,2)))*(--TRIM(LEFT(R76,2))))</f>
        <v/>
      </c>
      <c r="T76" s="20">
        <f>IF(OR(N76="",P76="",R76=""),"",INDEX(APGrid,COUNTIF(APS,"&gt;"&amp;(--TRIM(LEFT(N76,2))))*5+COUNTIF(APO,"&gt;"&amp;(--TRIM(LEFT(P76,2))))+1,COUNTIF(APD,"&gt;"&amp;(--TRIM(LEFT(R76,2))))+1))</f>
        <v/>
      </c>
      <c r="U76" s="20">
        <f>IF(S76="","",IF(OR((--TRIM(LEFT(N76,2)))&gt;=SThr,S76&gt;=RPNThr,T76="H"),"Yes","No"))</f>
        <v/>
      </c>
      <c r="V76" s="4" t="n"/>
      <c r="W76" s="4" t="n"/>
      <c r="X76" s="4" t="n"/>
      <c r="Y76" s="29" t="n"/>
      <c r="Z76" s="16" t="n"/>
      <c r="AA76" s="16" t="n"/>
      <c r="AB76" s="16" t="n"/>
      <c r="AC76" s="20">
        <f>IF(OR(Z76="",AA76="",AB76=""),"",(--TRIM(LEFT(Z76,2)))*(--TRIM(LEFT(AA76,2)))*(--TRIM(LEFT(AB76,2))))</f>
        <v/>
      </c>
      <c r="AD76" s="20">
        <f>IF(OR(Z76="",AA76="",AB76=""),"",INDEX(APGrid,COUNTIF(APS,"&gt;"&amp;(--TRIM(LEFT(Z76,2))))*5+COUNTIF(APO,"&gt;"&amp;(--TRIM(LEFT(AA76,2))))+1,COUNTIF(APD,"&gt;"&amp;(--TRIM(LEFT(AB76,2))))+1))</f>
        <v/>
      </c>
      <c r="AE76" s="4" t="n"/>
      <c r="AF76" s="4" t="n"/>
      <c r="AH76">
        <f>IFERROR(INDEX(EqTag,_xlfn.AGGREGATE(15,6,(ROW(EqTag)-4)/((EqSys=$D$3)*(EqTag&lt;&gt;"")),ROWS($AH$14:AH76))),"")</f>
        <v/>
      </c>
    </row>
    <row r="77">
      <c r="A77" s="20">
        <f>IF(F77="","",LEFT($D$3,3)&amp;"-"&amp;TEXT(COUNTIF(F$14:F77,"?*"),"00"))</f>
        <v/>
      </c>
      <c r="B77" s="4" t="n"/>
      <c r="C77" s="5">
        <f>IF(B77="","",IFERROR(INDEX(EqTypeCol,MATCH(B77,EqTag,0)),"Tag not in register"))</f>
        <v/>
      </c>
      <c r="D77" s="4" t="n"/>
      <c r="E77" s="4" t="n"/>
      <c r="F77" s="4" t="n"/>
      <c r="G77" s="4" t="n"/>
      <c r="H77" s="4" t="n"/>
      <c r="I77" s="4" t="n"/>
      <c r="J77" s="5">
        <f>_xlfn.TEXTJOIN(CHAR(10),TRUE,IF(G77="","","• "&amp;G77),IF(H77="","","• "&amp;H77),IF(I77="","","• "&amp;I77))</f>
        <v/>
      </c>
      <c r="K77" s="4" t="n"/>
      <c r="L77" s="4" t="n"/>
      <c r="M77" s="4" t="n"/>
      <c r="N77" s="16" t="n"/>
      <c r="O77" s="4" t="n"/>
      <c r="P77" s="16" t="n"/>
      <c r="Q77" s="4" t="n"/>
      <c r="R77" s="16" t="n"/>
      <c r="S77" s="20">
        <f>IF(OR(N77="",P77="",R77=""),"",(--TRIM(LEFT(N77,2)))*(--TRIM(LEFT(P77,2)))*(--TRIM(LEFT(R77,2))))</f>
        <v/>
      </c>
      <c r="T77" s="20">
        <f>IF(OR(N77="",P77="",R77=""),"",INDEX(APGrid,COUNTIF(APS,"&gt;"&amp;(--TRIM(LEFT(N77,2))))*5+COUNTIF(APO,"&gt;"&amp;(--TRIM(LEFT(P77,2))))+1,COUNTIF(APD,"&gt;"&amp;(--TRIM(LEFT(R77,2))))+1))</f>
        <v/>
      </c>
      <c r="U77" s="20">
        <f>IF(S77="","",IF(OR((--TRIM(LEFT(N77,2)))&gt;=SThr,S77&gt;=RPNThr,T77="H"),"Yes","No"))</f>
        <v/>
      </c>
      <c r="V77" s="4" t="n"/>
      <c r="W77" s="4" t="n"/>
      <c r="X77" s="4" t="n"/>
      <c r="Y77" s="29" t="n"/>
      <c r="Z77" s="16" t="n"/>
      <c r="AA77" s="16" t="n"/>
      <c r="AB77" s="16" t="n"/>
      <c r="AC77" s="20">
        <f>IF(OR(Z77="",AA77="",AB77=""),"",(--TRIM(LEFT(Z77,2)))*(--TRIM(LEFT(AA77,2)))*(--TRIM(LEFT(AB77,2))))</f>
        <v/>
      </c>
      <c r="AD77" s="20">
        <f>IF(OR(Z77="",AA77="",AB77=""),"",INDEX(APGrid,COUNTIF(APS,"&gt;"&amp;(--TRIM(LEFT(Z77,2))))*5+COUNTIF(APO,"&gt;"&amp;(--TRIM(LEFT(AA77,2))))+1,COUNTIF(APD,"&gt;"&amp;(--TRIM(LEFT(AB77,2))))+1))</f>
        <v/>
      </c>
      <c r="AE77" s="4" t="n"/>
      <c r="AF77" s="4" t="n"/>
      <c r="AH77">
        <f>IFERROR(INDEX(EqTag,_xlfn.AGGREGATE(15,6,(ROW(EqTag)-4)/((EqSys=$D$3)*(EqTag&lt;&gt;"")),ROWS($AH$14:AH77))),"")</f>
        <v/>
      </c>
    </row>
    <row r="78">
      <c r="A78" s="20">
        <f>IF(F78="","",LEFT($D$3,3)&amp;"-"&amp;TEXT(COUNTIF(F$14:F78,"?*"),"00"))</f>
        <v/>
      </c>
      <c r="B78" s="4" t="n"/>
      <c r="C78" s="5">
        <f>IF(B78="","",IFERROR(INDEX(EqTypeCol,MATCH(B78,EqTag,0)),"Tag not in register"))</f>
        <v/>
      </c>
      <c r="D78" s="4" t="n"/>
      <c r="E78" s="4" t="n"/>
      <c r="F78" s="4" t="n"/>
      <c r="G78" s="4" t="n"/>
      <c r="H78" s="4" t="n"/>
      <c r="I78" s="4" t="n"/>
      <c r="J78" s="5">
        <f>_xlfn.TEXTJOIN(CHAR(10),TRUE,IF(G78="","","• "&amp;G78),IF(H78="","","• "&amp;H78),IF(I78="","","• "&amp;I78))</f>
        <v/>
      </c>
      <c r="K78" s="4" t="n"/>
      <c r="L78" s="4" t="n"/>
      <c r="M78" s="4" t="n"/>
      <c r="N78" s="16" t="n"/>
      <c r="O78" s="4" t="n"/>
      <c r="P78" s="16" t="n"/>
      <c r="Q78" s="4" t="n"/>
      <c r="R78" s="16" t="n"/>
      <c r="S78" s="20">
        <f>IF(OR(N78="",P78="",R78=""),"",(--TRIM(LEFT(N78,2)))*(--TRIM(LEFT(P78,2)))*(--TRIM(LEFT(R78,2))))</f>
        <v/>
      </c>
      <c r="T78" s="20">
        <f>IF(OR(N78="",P78="",R78=""),"",INDEX(APGrid,COUNTIF(APS,"&gt;"&amp;(--TRIM(LEFT(N78,2))))*5+COUNTIF(APO,"&gt;"&amp;(--TRIM(LEFT(P78,2))))+1,COUNTIF(APD,"&gt;"&amp;(--TRIM(LEFT(R78,2))))+1))</f>
        <v/>
      </c>
      <c r="U78" s="20">
        <f>IF(S78="","",IF(OR((--TRIM(LEFT(N78,2)))&gt;=SThr,S78&gt;=RPNThr,T78="H"),"Yes","No"))</f>
        <v/>
      </c>
      <c r="V78" s="4" t="n"/>
      <c r="W78" s="4" t="n"/>
      <c r="X78" s="4" t="n"/>
      <c r="Y78" s="29" t="n"/>
      <c r="Z78" s="16" t="n"/>
      <c r="AA78" s="16" t="n"/>
      <c r="AB78" s="16" t="n"/>
      <c r="AC78" s="20">
        <f>IF(OR(Z78="",AA78="",AB78=""),"",(--TRIM(LEFT(Z78,2)))*(--TRIM(LEFT(AA78,2)))*(--TRIM(LEFT(AB78,2))))</f>
        <v/>
      </c>
      <c r="AD78" s="20">
        <f>IF(OR(Z78="",AA78="",AB78=""),"",INDEX(APGrid,COUNTIF(APS,"&gt;"&amp;(--TRIM(LEFT(Z78,2))))*5+COUNTIF(APO,"&gt;"&amp;(--TRIM(LEFT(AA78,2))))+1,COUNTIF(APD,"&gt;"&amp;(--TRIM(LEFT(AB78,2))))+1))</f>
        <v/>
      </c>
      <c r="AE78" s="4" t="n"/>
      <c r="AF78" s="4" t="n"/>
      <c r="AH78">
        <f>IFERROR(INDEX(EqTag,_xlfn.AGGREGATE(15,6,(ROW(EqTag)-4)/((EqSys=$D$3)*(EqTag&lt;&gt;"")),ROWS($AH$14:AH78))),"")</f>
        <v/>
      </c>
    </row>
    <row r="79">
      <c r="A79" s="20">
        <f>IF(F79="","",LEFT($D$3,3)&amp;"-"&amp;TEXT(COUNTIF(F$14:F79,"?*"),"00"))</f>
        <v/>
      </c>
      <c r="B79" s="4" t="n"/>
      <c r="C79" s="5">
        <f>IF(B79="","",IFERROR(INDEX(EqTypeCol,MATCH(B79,EqTag,0)),"Tag not in register"))</f>
        <v/>
      </c>
      <c r="D79" s="4" t="n"/>
      <c r="E79" s="4" t="n"/>
      <c r="F79" s="4" t="n"/>
      <c r="G79" s="4" t="n"/>
      <c r="H79" s="4" t="n"/>
      <c r="I79" s="4" t="n"/>
      <c r="J79" s="5">
        <f>_xlfn.TEXTJOIN(CHAR(10),TRUE,IF(G79="","","• "&amp;G79),IF(H79="","","• "&amp;H79),IF(I79="","","• "&amp;I79))</f>
        <v/>
      </c>
      <c r="K79" s="4" t="n"/>
      <c r="L79" s="4" t="n"/>
      <c r="M79" s="4" t="n"/>
      <c r="N79" s="16" t="n"/>
      <c r="O79" s="4" t="n"/>
      <c r="P79" s="16" t="n"/>
      <c r="Q79" s="4" t="n"/>
      <c r="R79" s="16" t="n"/>
      <c r="S79" s="20">
        <f>IF(OR(N79="",P79="",R79=""),"",(--TRIM(LEFT(N79,2)))*(--TRIM(LEFT(P79,2)))*(--TRIM(LEFT(R79,2))))</f>
        <v/>
      </c>
      <c r="T79" s="20">
        <f>IF(OR(N79="",P79="",R79=""),"",INDEX(APGrid,COUNTIF(APS,"&gt;"&amp;(--TRIM(LEFT(N79,2))))*5+COUNTIF(APO,"&gt;"&amp;(--TRIM(LEFT(P79,2))))+1,COUNTIF(APD,"&gt;"&amp;(--TRIM(LEFT(R79,2))))+1))</f>
        <v/>
      </c>
      <c r="U79" s="20">
        <f>IF(S79="","",IF(OR((--TRIM(LEFT(N79,2)))&gt;=SThr,S79&gt;=RPNThr,T79="H"),"Yes","No"))</f>
        <v/>
      </c>
      <c r="V79" s="4" t="n"/>
      <c r="W79" s="4" t="n"/>
      <c r="X79" s="4" t="n"/>
      <c r="Y79" s="29" t="n"/>
      <c r="Z79" s="16" t="n"/>
      <c r="AA79" s="16" t="n"/>
      <c r="AB79" s="16" t="n"/>
      <c r="AC79" s="20">
        <f>IF(OR(Z79="",AA79="",AB79=""),"",(--TRIM(LEFT(Z79,2)))*(--TRIM(LEFT(AA79,2)))*(--TRIM(LEFT(AB79,2))))</f>
        <v/>
      </c>
      <c r="AD79" s="20">
        <f>IF(OR(Z79="",AA79="",AB79=""),"",INDEX(APGrid,COUNTIF(APS,"&gt;"&amp;(--TRIM(LEFT(Z79,2))))*5+COUNTIF(APO,"&gt;"&amp;(--TRIM(LEFT(AA79,2))))+1,COUNTIF(APD,"&gt;"&amp;(--TRIM(LEFT(AB79,2))))+1))</f>
        <v/>
      </c>
      <c r="AE79" s="4" t="n"/>
      <c r="AF79" s="4" t="n"/>
      <c r="AH79">
        <f>IFERROR(INDEX(EqTag,_xlfn.AGGREGATE(15,6,(ROW(EqTag)-4)/((EqSys=$D$3)*(EqTag&lt;&gt;"")),ROWS($AH$14:AH79))),"")</f>
        <v/>
      </c>
    </row>
    <row r="80">
      <c r="A80" s="20">
        <f>IF(F80="","",LEFT($D$3,3)&amp;"-"&amp;TEXT(COUNTIF(F$14:F80,"?*"),"00"))</f>
        <v/>
      </c>
      <c r="B80" s="4" t="n"/>
      <c r="C80" s="5">
        <f>IF(B80="","",IFERROR(INDEX(EqTypeCol,MATCH(B80,EqTag,0)),"Tag not in register"))</f>
        <v/>
      </c>
      <c r="D80" s="4" t="n"/>
      <c r="E80" s="4" t="n"/>
      <c r="F80" s="4" t="n"/>
      <c r="G80" s="4" t="n"/>
      <c r="H80" s="4" t="n"/>
      <c r="I80" s="4" t="n"/>
      <c r="J80" s="5">
        <f>_xlfn.TEXTJOIN(CHAR(10),TRUE,IF(G80="","","• "&amp;G80),IF(H80="","","• "&amp;H80),IF(I80="","","• "&amp;I80))</f>
        <v/>
      </c>
      <c r="K80" s="4" t="n"/>
      <c r="L80" s="4" t="n"/>
      <c r="M80" s="4" t="n"/>
      <c r="N80" s="16" t="n"/>
      <c r="O80" s="4" t="n"/>
      <c r="P80" s="16" t="n"/>
      <c r="Q80" s="4" t="n"/>
      <c r="R80" s="16" t="n"/>
      <c r="S80" s="20">
        <f>IF(OR(N80="",P80="",R80=""),"",(--TRIM(LEFT(N80,2)))*(--TRIM(LEFT(P80,2)))*(--TRIM(LEFT(R80,2))))</f>
        <v/>
      </c>
      <c r="T80" s="20">
        <f>IF(OR(N80="",P80="",R80=""),"",INDEX(APGrid,COUNTIF(APS,"&gt;"&amp;(--TRIM(LEFT(N80,2))))*5+COUNTIF(APO,"&gt;"&amp;(--TRIM(LEFT(P80,2))))+1,COUNTIF(APD,"&gt;"&amp;(--TRIM(LEFT(R80,2))))+1))</f>
        <v/>
      </c>
      <c r="U80" s="20">
        <f>IF(S80="","",IF(OR((--TRIM(LEFT(N80,2)))&gt;=SThr,S80&gt;=RPNThr,T80="H"),"Yes","No"))</f>
        <v/>
      </c>
      <c r="V80" s="4" t="n"/>
      <c r="W80" s="4" t="n"/>
      <c r="X80" s="4" t="n"/>
      <c r="Y80" s="29" t="n"/>
      <c r="Z80" s="16" t="n"/>
      <c r="AA80" s="16" t="n"/>
      <c r="AB80" s="16" t="n"/>
      <c r="AC80" s="20">
        <f>IF(OR(Z80="",AA80="",AB80=""),"",(--TRIM(LEFT(Z80,2)))*(--TRIM(LEFT(AA80,2)))*(--TRIM(LEFT(AB80,2))))</f>
        <v/>
      </c>
      <c r="AD80" s="20">
        <f>IF(OR(Z80="",AA80="",AB80=""),"",INDEX(APGrid,COUNTIF(APS,"&gt;"&amp;(--TRIM(LEFT(Z80,2))))*5+COUNTIF(APO,"&gt;"&amp;(--TRIM(LEFT(AA80,2))))+1,COUNTIF(APD,"&gt;"&amp;(--TRIM(LEFT(AB80,2))))+1))</f>
        <v/>
      </c>
      <c r="AE80" s="4" t="n"/>
      <c r="AF80" s="4" t="n"/>
      <c r="AH80">
        <f>IFERROR(INDEX(EqTag,_xlfn.AGGREGATE(15,6,(ROW(EqTag)-4)/((EqSys=$D$3)*(EqTag&lt;&gt;"")),ROWS($AH$14:AH80))),"")</f>
        <v/>
      </c>
    </row>
    <row r="81">
      <c r="A81" s="20">
        <f>IF(F81="","",LEFT($D$3,3)&amp;"-"&amp;TEXT(COUNTIF(F$14:F81,"?*"),"00"))</f>
        <v/>
      </c>
      <c r="B81" s="4" t="n"/>
      <c r="C81" s="5">
        <f>IF(B81="","",IFERROR(INDEX(EqTypeCol,MATCH(B81,EqTag,0)),"Tag not in register"))</f>
        <v/>
      </c>
      <c r="D81" s="4" t="n"/>
      <c r="E81" s="4" t="n"/>
      <c r="F81" s="4" t="n"/>
      <c r="G81" s="4" t="n"/>
      <c r="H81" s="4" t="n"/>
      <c r="I81" s="4" t="n"/>
      <c r="J81" s="5">
        <f>_xlfn.TEXTJOIN(CHAR(10),TRUE,IF(G81="","","• "&amp;G81),IF(H81="","","• "&amp;H81),IF(I81="","","• "&amp;I81))</f>
        <v/>
      </c>
      <c r="K81" s="4" t="n"/>
      <c r="L81" s="4" t="n"/>
      <c r="M81" s="4" t="n"/>
      <c r="N81" s="16" t="n"/>
      <c r="O81" s="4" t="n"/>
      <c r="P81" s="16" t="n"/>
      <c r="Q81" s="4" t="n"/>
      <c r="R81" s="16" t="n"/>
      <c r="S81" s="20">
        <f>IF(OR(N81="",P81="",R81=""),"",(--TRIM(LEFT(N81,2)))*(--TRIM(LEFT(P81,2)))*(--TRIM(LEFT(R81,2))))</f>
        <v/>
      </c>
      <c r="T81" s="20">
        <f>IF(OR(N81="",P81="",R81=""),"",INDEX(APGrid,COUNTIF(APS,"&gt;"&amp;(--TRIM(LEFT(N81,2))))*5+COUNTIF(APO,"&gt;"&amp;(--TRIM(LEFT(P81,2))))+1,COUNTIF(APD,"&gt;"&amp;(--TRIM(LEFT(R81,2))))+1))</f>
        <v/>
      </c>
      <c r="U81" s="20">
        <f>IF(S81="","",IF(OR((--TRIM(LEFT(N81,2)))&gt;=SThr,S81&gt;=RPNThr,T81="H"),"Yes","No"))</f>
        <v/>
      </c>
      <c r="V81" s="4" t="n"/>
      <c r="W81" s="4" t="n"/>
      <c r="X81" s="4" t="n"/>
      <c r="Y81" s="29" t="n"/>
      <c r="Z81" s="16" t="n"/>
      <c r="AA81" s="16" t="n"/>
      <c r="AB81" s="16" t="n"/>
      <c r="AC81" s="20">
        <f>IF(OR(Z81="",AA81="",AB81=""),"",(--TRIM(LEFT(Z81,2)))*(--TRIM(LEFT(AA81,2)))*(--TRIM(LEFT(AB81,2))))</f>
        <v/>
      </c>
      <c r="AD81" s="20">
        <f>IF(OR(Z81="",AA81="",AB81=""),"",INDEX(APGrid,COUNTIF(APS,"&gt;"&amp;(--TRIM(LEFT(Z81,2))))*5+COUNTIF(APO,"&gt;"&amp;(--TRIM(LEFT(AA81,2))))+1,COUNTIF(APD,"&gt;"&amp;(--TRIM(LEFT(AB81,2))))+1))</f>
        <v/>
      </c>
      <c r="AE81" s="4" t="n"/>
      <c r="AF81" s="4" t="n"/>
      <c r="AH81">
        <f>IFERROR(INDEX(EqTag,_xlfn.AGGREGATE(15,6,(ROW(EqTag)-4)/((EqSys=$D$3)*(EqTag&lt;&gt;"")),ROWS($AH$14:AH81))),"")</f>
        <v/>
      </c>
    </row>
    <row r="82">
      <c r="A82" s="20">
        <f>IF(F82="","",LEFT($D$3,3)&amp;"-"&amp;TEXT(COUNTIF(F$14:F82,"?*"),"00"))</f>
        <v/>
      </c>
      <c r="B82" s="4" t="n"/>
      <c r="C82" s="5">
        <f>IF(B82="","",IFERROR(INDEX(EqTypeCol,MATCH(B82,EqTag,0)),"Tag not in register"))</f>
        <v/>
      </c>
      <c r="D82" s="4" t="n"/>
      <c r="E82" s="4" t="n"/>
      <c r="F82" s="4" t="n"/>
      <c r="G82" s="4" t="n"/>
      <c r="H82" s="4" t="n"/>
      <c r="I82" s="4" t="n"/>
      <c r="J82" s="5">
        <f>_xlfn.TEXTJOIN(CHAR(10),TRUE,IF(G82="","","• "&amp;G82),IF(H82="","","• "&amp;H82),IF(I82="","","• "&amp;I82))</f>
        <v/>
      </c>
      <c r="K82" s="4" t="n"/>
      <c r="L82" s="4" t="n"/>
      <c r="M82" s="4" t="n"/>
      <c r="N82" s="16" t="n"/>
      <c r="O82" s="4" t="n"/>
      <c r="P82" s="16" t="n"/>
      <c r="Q82" s="4" t="n"/>
      <c r="R82" s="16" t="n"/>
      <c r="S82" s="20">
        <f>IF(OR(N82="",P82="",R82=""),"",(--TRIM(LEFT(N82,2)))*(--TRIM(LEFT(P82,2)))*(--TRIM(LEFT(R82,2))))</f>
        <v/>
      </c>
      <c r="T82" s="20">
        <f>IF(OR(N82="",P82="",R82=""),"",INDEX(APGrid,COUNTIF(APS,"&gt;"&amp;(--TRIM(LEFT(N82,2))))*5+COUNTIF(APO,"&gt;"&amp;(--TRIM(LEFT(P82,2))))+1,COUNTIF(APD,"&gt;"&amp;(--TRIM(LEFT(R82,2))))+1))</f>
        <v/>
      </c>
      <c r="U82" s="20">
        <f>IF(S82="","",IF(OR((--TRIM(LEFT(N82,2)))&gt;=SThr,S82&gt;=RPNThr,T82="H"),"Yes","No"))</f>
        <v/>
      </c>
      <c r="V82" s="4" t="n"/>
      <c r="W82" s="4" t="n"/>
      <c r="X82" s="4" t="n"/>
      <c r="Y82" s="29" t="n"/>
      <c r="Z82" s="16" t="n"/>
      <c r="AA82" s="16" t="n"/>
      <c r="AB82" s="16" t="n"/>
      <c r="AC82" s="20">
        <f>IF(OR(Z82="",AA82="",AB82=""),"",(--TRIM(LEFT(Z82,2)))*(--TRIM(LEFT(AA82,2)))*(--TRIM(LEFT(AB82,2))))</f>
        <v/>
      </c>
      <c r="AD82" s="20">
        <f>IF(OR(Z82="",AA82="",AB82=""),"",INDEX(APGrid,COUNTIF(APS,"&gt;"&amp;(--TRIM(LEFT(Z82,2))))*5+COUNTIF(APO,"&gt;"&amp;(--TRIM(LEFT(AA82,2))))+1,COUNTIF(APD,"&gt;"&amp;(--TRIM(LEFT(AB82,2))))+1))</f>
        <v/>
      </c>
      <c r="AE82" s="4" t="n"/>
      <c r="AF82" s="4" t="n"/>
      <c r="AH82">
        <f>IFERROR(INDEX(EqTag,_xlfn.AGGREGATE(15,6,(ROW(EqTag)-4)/((EqSys=$D$3)*(EqTag&lt;&gt;"")),ROWS($AH$14:AH82))),"")</f>
        <v/>
      </c>
    </row>
    <row r="83">
      <c r="A83" s="20">
        <f>IF(F83="","",LEFT($D$3,3)&amp;"-"&amp;TEXT(COUNTIF(F$14:F83,"?*"),"00"))</f>
        <v/>
      </c>
      <c r="B83" s="4" t="n"/>
      <c r="C83" s="5">
        <f>IF(B83="","",IFERROR(INDEX(EqTypeCol,MATCH(B83,EqTag,0)),"Tag not in register"))</f>
        <v/>
      </c>
      <c r="D83" s="4" t="n"/>
      <c r="E83" s="4" t="n"/>
      <c r="F83" s="4" t="n"/>
      <c r="G83" s="4" t="n"/>
      <c r="H83" s="4" t="n"/>
      <c r="I83" s="4" t="n"/>
      <c r="J83" s="5">
        <f>_xlfn.TEXTJOIN(CHAR(10),TRUE,IF(G83="","","• "&amp;G83),IF(H83="","","• "&amp;H83),IF(I83="","","• "&amp;I83))</f>
        <v/>
      </c>
      <c r="K83" s="4" t="n"/>
      <c r="L83" s="4" t="n"/>
      <c r="M83" s="4" t="n"/>
      <c r="N83" s="16" t="n"/>
      <c r="O83" s="4" t="n"/>
      <c r="P83" s="16" t="n"/>
      <c r="Q83" s="4" t="n"/>
      <c r="R83" s="16" t="n"/>
      <c r="S83" s="20">
        <f>IF(OR(N83="",P83="",R83=""),"",(--TRIM(LEFT(N83,2)))*(--TRIM(LEFT(P83,2)))*(--TRIM(LEFT(R83,2))))</f>
        <v/>
      </c>
      <c r="T83" s="20">
        <f>IF(OR(N83="",P83="",R83=""),"",INDEX(APGrid,COUNTIF(APS,"&gt;"&amp;(--TRIM(LEFT(N83,2))))*5+COUNTIF(APO,"&gt;"&amp;(--TRIM(LEFT(P83,2))))+1,COUNTIF(APD,"&gt;"&amp;(--TRIM(LEFT(R83,2))))+1))</f>
        <v/>
      </c>
      <c r="U83" s="20">
        <f>IF(S83="","",IF(OR((--TRIM(LEFT(N83,2)))&gt;=SThr,S83&gt;=RPNThr,T83="H"),"Yes","No"))</f>
        <v/>
      </c>
      <c r="V83" s="4" t="n"/>
      <c r="W83" s="4" t="n"/>
      <c r="X83" s="4" t="n"/>
      <c r="Y83" s="29" t="n"/>
      <c r="Z83" s="16" t="n"/>
      <c r="AA83" s="16" t="n"/>
      <c r="AB83" s="16" t="n"/>
      <c r="AC83" s="20">
        <f>IF(OR(Z83="",AA83="",AB83=""),"",(--TRIM(LEFT(Z83,2)))*(--TRIM(LEFT(AA83,2)))*(--TRIM(LEFT(AB83,2))))</f>
        <v/>
      </c>
      <c r="AD83" s="20">
        <f>IF(OR(Z83="",AA83="",AB83=""),"",INDEX(APGrid,COUNTIF(APS,"&gt;"&amp;(--TRIM(LEFT(Z83,2))))*5+COUNTIF(APO,"&gt;"&amp;(--TRIM(LEFT(AA83,2))))+1,COUNTIF(APD,"&gt;"&amp;(--TRIM(LEFT(AB83,2))))+1))</f>
        <v/>
      </c>
      <c r="AE83" s="4" t="n"/>
      <c r="AF83" s="4" t="n"/>
      <c r="AH83">
        <f>IFERROR(INDEX(EqTag,_xlfn.AGGREGATE(15,6,(ROW(EqTag)-4)/((EqSys=$D$3)*(EqTag&lt;&gt;"")),ROWS($AH$14:AH83))),"")</f>
        <v/>
      </c>
    </row>
    <row r="84">
      <c r="A84" s="20">
        <f>IF(F84="","",LEFT($D$3,3)&amp;"-"&amp;TEXT(COUNTIF(F$14:F84,"?*"),"00"))</f>
        <v/>
      </c>
      <c r="B84" s="4" t="n"/>
      <c r="C84" s="5">
        <f>IF(B84="","",IFERROR(INDEX(EqTypeCol,MATCH(B84,EqTag,0)),"Tag not in register"))</f>
        <v/>
      </c>
      <c r="D84" s="4" t="n"/>
      <c r="E84" s="4" t="n"/>
      <c r="F84" s="4" t="n"/>
      <c r="G84" s="4" t="n"/>
      <c r="H84" s="4" t="n"/>
      <c r="I84" s="4" t="n"/>
      <c r="J84" s="5">
        <f>_xlfn.TEXTJOIN(CHAR(10),TRUE,IF(G84="","","• "&amp;G84),IF(H84="","","• "&amp;H84),IF(I84="","","• "&amp;I84))</f>
        <v/>
      </c>
      <c r="K84" s="4" t="n"/>
      <c r="L84" s="4" t="n"/>
      <c r="M84" s="4" t="n"/>
      <c r="N84" s="16" t="n"/>
      <c r="O84" s="4" t="n"/>
      <c r="P84" s="16" t="n"/>
      <c r="Q84" s="4" t="n"/>
      <c r="R84" s="16" t="n"/>
      <c r="S84" s="20">
        <f>IF(OR(N84="",P84="",R84=""),"",(--TRIM(LEFT(N84,2)))*(--TRIM(LEFT(P84,2)))*(--TRIM(LEFT(R84,2))))</f>
        <v/>
      </c>
      <c r="T84" s="20">
        <f>IF(OR(N84="",P84="",R84=""),"",INDEX(APGrid,COUNTIF(APS,"&gt;"&amp;(--TRIM(LEFT(N84,2))))*5+COUNTIF(APO,"&gt;"&amp;(--TRIM(LEFT(P84,2))))+1,COUNTIF(APD,"&gt;"&amp;(--TRIM(LEFT(R84,2))))+1))</f>
        <v/>
      </c>
      <c r="U84" s="20">
        <f>IF(S84="","",IF(OR((--TRIM(LEFT(N84,2)))&gt;=SThr,S84&gt;=RPNThr,T84="H"),"Yes","No"))</f>
        <v/>
      </c>
      <c r="V84" s="4" t="n"/>
      <c r="W84" s="4" t="n"/>
      <c r="X84" s="4" t="n"/>
      <c r="Y84" s="29" t="n"/>
      <c r="Z84" s="16" t="n"/>
      <c r="AA84" s="16" t="n"/>
      <c r="AB84" s="16" t="n"/>
      <c r="AC84" s="20">
        <f>IF(OR(Z84="",AA84="",AB84=""),"",(--TRIM(LEFT(Z84,2)))*(--TRIM(LEFT(AA84,2)))*(--TRIM(LEFT(AB84,2))))</f>
        <v/>
      </c>
      <c r="AD84" s="20">
        <f>IF(OR(Z84="",AA84="",AB84=""),"",INDEX(APGrid,COUNTIF(APS,"&gt;"&amp;(--TRIM(LEFT(Z84,2))))*5+COUNTIF(APO,"&gt;"&amp;(--TRIM(LEFT(AA84,2))))+1,COUNTIF(APD,"&gt;"&amp;(--TRIM(LEFT(AB84,2))))+1))</f>
        <v/>
      </c>
      <c r="AE84" s="4" t="n"/>
      <c r="AF84" s="4" t="n"/>
      <c r="AH84">
        <f>IFERROR(INDEX(EqTag,_xlfn.AGGREGATE(15,6,(ROW(EqTag)-4)/((EqSys=$D$3)*(EqTag&lt;&gt;"")),ROWS($AH$14:AH84))),"")</f>
        <v/>
      </c>
    </row>
    <row r="85">
      <c r="A85" s="20">
        <f>IF(F85="","",LEFT($D$3,3)&amp;"-"&amp;TEXT(COUNTIF(F$14:F85,"?*"),"00"))</f>
        <v/>
      </c>
      <c r="B85" s="4" t="n"/>
      <c r="C85" s="5">
        <f>IF(B85="","",IFERROR(INDEX(EqTypeCol,MATCH(B85,EqTag,0)),"Tag not in register"))</f>
        <v/>
      </c>
      <c r="D85" s="4" t="n"/>
      <c r="E85" s="4" t="n"/>
      <c r="F85" s="4" t="n"/>
      <c r="G85" s="4" t="n"/>
      <c r="H85" s="4" t="n"/>
      <c r="I85" s="4" t="n"/>
      <c r="J85" s="5">
        <f>_xlfn.TEXTJOIN(CHAR(10),TRUE,IF(G85="","","• "&amp;G85),IF(H85="","","• "&amp;H85),IF(I85="","","• "&amp;I85))</f>
        <v/>
      </c>
      <c r="K85" s="4" t="n"/>
      <c r="L85" s="4" t="n"/>
      <c r="M85" s="4" t="n"/>
      <c r="N85" s="16" t="n"/>
      <c r="O85" s="4" t="n"/>
      <c r="P85" s="16" t="n"/>
      <c r="Q85" s="4" t="n"/>
      <c r="R85" s="16" t="n"/>
      <c r="S85" s="20">
        <f>IF(OR(N85="",P85="",R85=""),"",(--TRIM(LEFT(N85,2)))*(--TRIM(LEFT(P85,2)))*(--TRIM(LEFT(R85,2))))</f>
        <v/>
      </c>
      <c r="T85" s="20">
        <f>IF(OR(N85="",P85="",R85=""),"",INDEX(APGrid,COUNTIF(APS,"&gt;"&amp;(--TRIM(LEFT(N85,2))))*5+COUNTIF(APO,"&gt;"&amp;(--TRIM(LEFT(P85,2))))+1,COUNTIF(APD,"&gt;"&amp;(--TRIM(LEFT(R85,2))))+1))</f>
        <v/>
      </c>
      <c r="U85" s="20">
        <f>IF(S85="","",IF(OR((--TRIM(LEFT(N85,2)))&gt;=SThr,S85&gt;=RPNThr,T85="H"),"Yes","No"))</f>
        <v/>
      </c>
      <c r="V85" s="4" t="n"/>
      <c r="W85" s="4" t="n"/>
      <c r="X85" s="4" t="n"/>
      <c r="Y85" s="29" t="n"/>
      <c r="Z85" s="16" t="n"/>
      <c r="AA85" s="16" t="n"/>
      <c r="AB85" s="16" t="n"/>
      <c r="AC85" s="20">
        <f>IF(OR(Z85="",AA85="",AB85=""),"",(--TRIM(LEFT(Z85,2)))*(--TRIM(LEFT(AA85,2)))*(--TRIM(LEFT(AB85,2))))</f>
        <v/>
      </c>
      <c r="AD85" s="20">
        <f>IF(OR(Z85="",AA85="",AB85=""),"",INDEX(APGrid,COUNTIF(APS,"&gt;"&amp;(--TRIM(LEFT(Z85,2))))*5+COUNTIF(APO,"&gt;"&amp;(--TRIM(LEFT(AA85,2))))+1,COUNTIF(APD,"&gt;"&amp;(--TRIM(LEFT(AB85,2))))+1))</f>
        <v/>
      </c>
      <c r="AE85" s="4" t="n"/>
      <c r="AF85" s="4" t="n"/>
      <c r="AH85">
        <f>IFERROR(INDEX(EqTag,_xlfn.AGGREGATE(15,6,(ROW(EqTag)-4)/((EqSys=$D$3)*(EqTag&lt;&gt;"")),ROWS($AH$14:AH85))),"")</f>
        <v/>
      </c>
    </row>
    <row r="86">
      <c r="A86" s="20">
        <f>IF(F86="","",LEFT($D$3,3)&amp;"-"&amp;TEXT(COUNTIF(F$14:F86,"?*"),"00"))</f>
        <v/>
      </c>
      <c r="B86" s="4" t="n"/>
      <c r="C86" s="5">
        <f>IF(B86="","",IFERROR(INDEX(EqTypeCol,MATCH(B86,EqTag,0)),"Tag not in register"))</f>
        <v/>
      </c>
      <c r="D86" s="4" t="n"/>
      <c r="E86" s="4" t="n"/>
      <c r="F86" s="4" t="n"/>
      <c r="G86" s="4" t="n"/>
      <c r="H86" s="4" t="n"/>
      <c r="I86" s="4" t="n"/>
      <c r="J86" s="5">
        <f>_xlfn.TEXTJOIN(CHAR(10),TRUE,IF(G86="","","• "&amp;G86),IF(H86="","","• "&amp;H86),IF(I86="","","• "&amp;I86))</f>
        <v/>
      </c>
      <c r="K86" s="4" t="n"/>
      <c r="L86" s="4" t="n"/>
      <c r="M86" s="4" t="n"/>
      <c r="N86" s="16" t="n"/>
      <c r="O86" s="4" t="n"/>
      <c r="P86" s="16" t="n"/>
      <c r="Q86" s="4" t="n"/>
      <c r="R86" s="16" t="n"/>
      <c r="S86" s="20">
        <f>IF(OR(N86="",P86="",R86=""),"",(--TRIM(LEFT(N86,2)))*(--TRIM(LEFT(P86,2)))*(--TRIM(LEFT(R86,2))))</f>
        <v/>
      </c>
      <c r="T86" s="20">
        <f>IF(OR(N86="",P86="",R86=""),"",INDEX(APGrid,COUNTIF(APS,"&gt;"&amp;(--TRIM(LEFT(N86,2))))*5+COUNTIF(APO,"&gt;"&amp;(--TRIM(LEFT(P86,2))))+1,COUNTIF(APD,"&gt;"&amp;(--TRIM(LEFT(R86,2))))+1))</f>
        <v/>
      </c>
      <c r="U86" s="20">
        <f>IF(S86="","",IF(OR((--TRIM(LEFT(N86,2)))&gt;=SThr,S86&gt;=RPNThr,T86="H"),"Yes","No"))</f>
        <v/>
      </c>
      <c r="V86" s="4" t="n"/>
      <c r="W86" s="4" t="n"/>
      <c r="X86" s="4" t="n"/>
      <c r="Y86" s="29" t="n"/>
      <c r="Z86" s="16" t="n"/>
      <c r="AA86" s="16" t="n"/>
      <c r="AB86" s="16" t="n"/>
      <c r="AC86" s="20">
        <f>IF(OR(Z86="",AA86="",AB86=""),"",(--TRIM(LEFT(Z86,2)))*(--TRIM(LEFT(AA86,2)))*(--TRIM(LEFT(AB86,2))))</f>
        <v/>
      </c>
      <c r="AD86" s="20">
        <f>IF(OR(Z86="",AA86="",AB86=""),"",INDEX(APGrid,COUNTIF(APS,"&gt;"&amp;(--TRIM(LEFT(Z86,2))))*5+COUNTIF(APO,"&gt;"&amp;(--TRIM(LEFT(AA86,2))))+1,COUNTIF(APD,"&gt;"&amp;(--TRIM(LEFT(AB86,2))))+1))</f>
        <v/>
      </c>
      <c r="AE86" s="4" t="n"/>
      <c r="AF86" s="4" t="n"/>
      <c r="AH86">
        <f>IFERROR(INDEX(EqTag,_xlfn.AGGREGATE(15,6,(ROW(EqTag)-4)/((EqSys=$D$3)*(EqTag&lt;&gt;"")),ROWS($AH$14:AH86))),"")</f>
        <v/>
      </c>
    </row>
    <row r="87">
      <c r="A87" s="20">
        <f>IF(F87="","",LEFT($D$3,3)&amp;"-"&amp;TEXT(COUNTIF(F$14:F87,"?*"),"00"))</f>
        <v/>
      </c>
      <c r="B87" s="4" t="n"/>
      <c r="C87" s="5">
        <f>IF(B87="","",IFERROR(INDEX(EqTypeCol,MATCH(B87,EqTag,0)),"Tag not in register"))</f>
        <v/>
      </c>
      <c r="D87" s="4" t="n"/>
      <c r="E87" s="4" t="n"/>
      <c r="F87" s="4" t="n"/>
      <c r="G87" s="4" t="n"/>
      <c r="H87" s="4" t="n"/>
      <c r="I87" s="4" t="n"/>
      <c r="J87" s="5">
        <f>_xlfn.TEXTJOIN(CHAR(10),TRUE,IF(G87="","","• "&amp;G87),IF(H87="","","• "&amp;H87),IF(I87="","","• "&amp;I87))</f>
        <v/>
      </c>
      <c r="K87" s="4" t="n"/>
      <c r="L87" s="4" t="n"/>
      <c r="M87" s="4" t="n"/>
      <c r="N87" s="16" t="n"/>
      <c r="O87" s="4" t="n"/>
      <c r="P87" s="16" t="n"/>
      <c r="Q87" s="4" t="n"/>
      <c r="R87" s="16" t="n"/>
      <c r="S87" s="20">
        <f>IF(OR(N87="",P87="",R87=""),"",(--TRIM(LEFT(N87,2)))*(--TRIM(LEFT(P87,2)))*(--TRIM(LEFT(R87,2))))</f>
        <v/>
      </c>
      <c r="T87" s="20">
        <f>IF(OR(N87="",P87="",R87=""),"",INDEX(APGrid,COUNTIF(APS,"&gt;"&amp;(--TRIM(LEFT(N87,2))))*5+COUNTIF(APO,"&gt;"&amp;(--TRIM(LEFT(P87,2))))+1,COUNTIF(APD,"&gt;"&amp;(--TRIM(LEFT(R87,2))))+1))</f>
        <v/>
      </c>
      <c r="U87" s="20">
        <f>IF(S87="","",IF(OR((--TRIM(LEFT(N87,2)))&gt;=SThr,S87&gt;=RPNThr,T87="H"),"Yes","No"))</f>
        <v/>
      </c>
      <c r="V87" s="4" t="n"/>
      <c r="W87" s="4" t="n"/>
      <c r="X87" s="4" t="n"/>
      <c r="Y87" s="29" t="n"/>
      <c r="Z87" s="16" t="n"/>
      <c r="AA87" s="16" t="n"/>
      <c r="AB87" s="16" t="n"/>
      <c r="AC87" s="20">
        <f>IF(OR(Z87="",AA87="",AB87=""),"",(--TRIM(LEFT(Z87,2)))*(--TRIM(LEFT(AA87,2)))*(--TRIM(LEFT(AB87,2))))</f>
        <v/>
      </c>
      <c r="AD87" s="20">
        <f>IF(OR(Z87="",AA87="",AB87=""),"",INDEX(APGrid,COUNTIF(APS,"&gt;"&amp;(--TRIM(LEFT(Z87,2))))*5+COUNTIF(APO,"&gt;"&amp;(--TRIM(LEFT(AA87,2))))+1,COUNTIF(APD,"&gt;"&amp;(--TRIM(LEFT(AB87,2))))+1))</f>
        <v/>
      </c>
      <c r="AE87" s="4" t="n"/>
      <c r="AF87" s="4" t="n"/>
      <c r="AH87">
        <f>IFERROR(INDEX(EqTag,_xlfn.AGGREGATE(15,6,(ROW(EqTag)-4)/((EqSys=$D$3)*(EqTag&lt;&gt;"")),ROWS($AH$14:AH87))),"")</f>
        <v/>
      </c>
    </row>
    <row r="88">
      <c r="A88" s="20">
        <f>IF(F88="","",LEFT($D$3,3)&amp;"-"&amp;TEXT(COUNTIF(F$14:F88,"?*"),"00"))</f>
        <v/>
      </c>
      <c r="B88" s="4" t="n"/>
      <c r="C88" s="5">
        <f>IF(B88="","",IFERROR(INDEX(EqTypeCol,MATCH(B88,EqTag,0)),"Tag not in register"))</f>
        <v/>
      </c>
      <c r="D88" s="4" t="n"/>
      <c r="E88" s="4" t="n"/>
      <c r="F88" s="4" t="n"/>
      <c r="G88" s="4" t="n"/>
      <c r="H88" s="4" t="n"/>
      <c r="I88" s="4" t="n"/>
      <c r="J88" s="5">
        <f>_xlfn.TEXTJOIN(CHAR(10),TRUE,IF(G88="","","• "&amp;G88),IF(H88="","","• "&amp;H88),IF(I88="","","• "&amp;I88))</f>
        <v/>
      </c>
      <c r="K88" s="4" t="n"/>
      <c r="L88" s="4" t="n"/>
      <c r="M88" s="4" t="n"/>
      <c r="N88" s="16" t="n"/>
      <c r="O88" s="4" t="n"/>
      <c r="P88" s="16" t="n"/>
      <c r="Q88" s="4" t="n"/>
      <c r="R88" s="16" t="n"/>
      <c r="S88" s="20">
        <f>IF(OR(N88="",P88="",R88=""),"",(--TRIM(LEFT(N88,2)))*(--TRIM(LEFT(P88,2)))*(--TRIM(LEFT(R88,2))))</f>
        <v/>
      </c>
      <c r="T88" s="20">
        <f>IF(OR(N88="",P88="",R88=""),"",INDEX(APGrid,COUNTIF(APS,"&gt;"&amp;(--TRIM(LEFT(N88,2))))*5+COUNTIF(APO,"&gt;"&amp;(--TRIM(LEFT(P88,2))))+1,COUNTIF(APD,"&gt;"&amp;(--TRIM(LEFT(R88,2))))+1))</f>
        <v/>
      </c>
      <c r="U88" s="20">
        <f>IF(S88="","",IF(OR((--TRIM(LEFT(N88,2)))&gt;=SThr,S88&gt;=RPNThr,T88="H"),"Yes","No"))</f>
        <v/>
      </c>
      <c r="V88" s="4" t="n"/>
      <c r="W88" s="4" t="n"/>
      <c r="X88" s="4" t="n"/>
      <c r="Y88" s="29" t="n"/>
      <c r="Z88" s="16" t="n"/>
      <c r="AA88" s="16" t="n"/>
      <c r="AB88" s="16" t="n"/>
      <c r="AC88" s="20">
        <f>IF(OR(Z88="",AA88="",AB88=""),"",(--TRIM(LEFT(Z88,2)))*(--TRIM(LEFT(AA88,2)))*(--TRIM(LEFT(AB88,2))))</f>
        <v/>
      </c>
      <c r="AD88" s="20">
        <f>IF(OR(Z88="",AA88="",AB88=""),"",INDEX(APGrid,COUNTIF(APS,"&gt;"&amp;(--TRIM(LEFT(Z88,2))))*5+COUNTIF(APO,"&gt;"&amp;(--TRIM(LEFT(AA88,2))))+1,COUNTIF(APD,"&gt;"&amp;(--TRIM(LEFT(AB88,2))))+1))</f>
        <v/>
      </c>
      <c r="AE88" s="4" t="n"/>
      <c r="AF88" s="4" t="n"/>
      <c r="AH88">
        <f>IFERROR(INDEX(EqTag,_xlfn.AGGREGATE(15,6,(ROW(EqTag)-4)/((EqSys=$D$3)*(EqTag&lt;&gt;"")),ROWS($AH$14:AH88))),"")</f>
        <v/>
      </c>
    </row>
    <row r="89">
      <c r="A89" s="20">
        <f>IF(F89="","",LEFT($D$3,3)&amp;"-"&amp;TEXT(COUNTIF(F$14:F89,"?*"),"00"))</f>
        <v/>
      </c>
      <c r="B89" s="4" t="n"/>
      <c r="C89" s="5">
        <f>IF(B89="","",IFERROR(INDEX(EqTypeCol,MATCH(B89,EqTag,0)),"Tag not in register"))</f>
        <v/>
      </c>
      <c r="D89" s="4" t="n"/>
      <c r="E89" s="4" t="n"/>
      <c r="F89" s="4" t="n"/>
      <c r="G89" s="4" t="n"/>
      <c r="H89" s="4" t="n"/>
      <c r="I89" s="4" t="n"/>
      <c r="J89" s="5">
        <f>_xlfn.TEXTJOIN(CHAR(10),TRUE,IF(G89="","","• "&amp;G89),IF(H89="","","• "&amp;H89),IF(I89="","","• "&amp;I89))</f>
        <v/>
      </c>
      <c r="K89" s="4" t="n"/>
      <c r="L89" s="4" t="n"/>
      <c r="M89" s="4" t="n"/>
      <c r="N89" s="16" t="n"/>
      <c r="O89" s="4" t="n"/>
      <c r="P89" s="16" t="n"/>
      <c r="Q89" s="4" t="n"/>
      <c r="R89" s="16" t="n"/>
      <c r="S89" s="20">
        <f>IF(OR(N89="",P89="",R89=""),"",(--TRIM(LEFT(N89,2)))*(--TRIM(LEFT(P89,2)))*(--TRIM(LEFT(R89,2))))</f>
        <v/>
      </c>
      <c r="T89" s="20">
        <f>IF(OR(N89="",P89="",R89=""),"",INDEX(APGrid,COUNTIF(APS,"&gt;"&amp;(--TRIM(LEFT(N89,2))))*5+COUNTIF(APO,"&gt;"&amp;(--TRIM(LEFT(P89,2))))+1,COUNTIF(APD,"&gt;"&amp;(--TRIM(LEFT(R89,2))))+1))</f>
        <v/>
      </c>
      <c r="U89" s="20">
        <f>IF(S89="","",IF(OR((--TRIM(LEFT(N89,2)))&gt;=SThr,S89&gt;=RPNThr,T89="H"),"Yes","No"))</f>
        <v/>
      </c>
      <c r="V89" s="4" t="n"/>
      <c r="W89" s="4" t="n"/>
      <c r="X89" s="4" t="n"/>
      <c r="Y89" s="29" t="n"/>
      <c r="Z89" s="16" t="n"/>
      <c r="AA89" s="16" t="n"/>
      <c r="AB89" s="16" t="n"/>
      <c r="AC89" s="20">
        <f>IF(OR(Z89="",AA89="",AB89=""),"",(--TRIM(LEFT(Z89,2)))*(--TRIM(LEFT(AA89,2)))*(--TRIM(LEFT(AB89,2))))</f>
        <v/>
      </c>
      <c r="AD89" s="20">
        <f>IF(OR(Z89="",AA89="",AB89=""),"",INDEX(APGrid,COUNTIF(APS,"&gt;"&amp;(--TRIM(LEFT(Z89,2))))*5+COUNTIF(APO,"&gt;"&amp;(--TRIM(LEFT(AA89,2))))+1,COUNTIF(APD,"&gt;"&amp;(--TRIM(LEFT(AB89,2))))+1))</f>
        <v/>
      </c>
      <c r="AE89" s="4" t="n"/>
      <c r="AF89" s="4" t="n"/>
      <c r="AH89">
        <f>IFERROR(INDEX(EqTag,_xlfn.AGGREGATE(15,6,(ROW(EqTag)-4)/((EqSys=$D$3)*(EqTag&lt;&gt;"")),ROWS($AH$14:AH89))),"")</f>
        <v/>
      </c>
    </row>
    <row r="90">
      <c r="A90" s="20">
        <f>IF(F90="","",LEFT($D$3,3)&amp;"-"&amp;TEXT(COUNTIF(F$14:F90,"?*"),"00"))</f>
        <v/>
      </c>
      <c r="B90" s="4" t="n"/>
      <c r="C90" s="5">
        <f>IF(B90="","",IFERROR(INDEX(EqTypeCol,MATCH(B90,EqTag,0)),"Tag not in register"))</f>
        <v/>
      </c>
      <c r="D90" s="4" t="n"/>
      <c r="E90" s="4" t="n"/>
      <c r="F90" s="4" t="n"/>
      <c r="G90" s="4" t="n"/>
      <c r="H90" s="4" t="n"/>
      <c r="I90" s="4" t="n"/>
      <c r="J90" s="5">
        <f>_xlfn.TEXTJOIN(CHAR(10),TRUE,IF(G90="","","• "&amp;G90),IF(H90="","","• "&amp;H90),IF(I90="","","• "&amp;I90))</f>
        <v/>
      </c>
      <c r="K90" s="4" t="n"/>
      <c r="L90" s="4" t="n"/>
      <c r="M90" s="4" t="n"/>
      <c r="N90" s="16" t="n"/>
      <c r="O90" s="4" t="n"/>
      <c r="P90" s="16" t="n"/>
      <c r="Q90" s="4" t="n"/>
      <c r="R90" s="16" t="n"/>
      <c r="S90" s="20">
        <f>IF(OR(N90="",P90="",R90=""),"",(--TRIM(LEFT(N90,2)))*(--TRIM(LEFT(P90,2)))*(--TRIM(LEFT(R90,2))))</f>
        <v/>
      </c>
      <c r="T90" s="20">
        <f>IF(OR(N90="",P90="",R90=""),"",INDEX(APGrid,COUNTIF(APS,"&gt;"&amp;(--TRIM(LEFT(N90,2))))*5+COUNTIF(APO,"&gt;"&amp;(--TRIM(LEFT(P90,2))))+1,COUNTIF(APD,"&gt;"&amp;(--TRIM(LEFT(R90,2))))+1))</f>
        <v/>
      </c>
      <c r="U90" s="20">
        <f>IF(S90="","",IF(OR((--TRIM(LEFT(N90,2)))&gt;=SThr,S90&gt;=RPNThr,T90="H"),"Yes","No"))</f>
        <v/>
      </c>
      <c r="V90" s="4" t="n"/>
      <c r="W90" s="4" t="n"/>
      <c r="X90" s="4" t="n"/>
      <c r="Y90" s="29" t="n"/>
      <c r="Z90" s="16" t="n"/>
      <c r="AA90" s="16" t="n"/>
      <c r="AB90" s="16" t="n"/>
      <c r="AC90" s="20">
        <f>IF(OR(Z90="",AA90="",AB90=""),"",(--TRIM(LEFT(Z90,2)))*(--TRIM(LEFT(AA90,2)))*(--TRIM(LEFT(AB90,2))))</f>
        <v/>
      </c>
      <c r="AD90" s="20">
        <f>IF(OR(Z90="",AA90="",AB90=""),"",INDEX(APGrid,COUNTIF(APS,"&gt;"&amp;(--TRIM(LEFT(Z90,2))))*5+COUNTIF(APO,"&gt;"&amp;(--TRIM(LEFT(AA90,2))))+1,COUNTIF(APD,"&gt;"&amp;(--TRIM(LEFT(AB90,2))))+1))</f>
        <v/>
      </c>
      <c r="AE90" s="4" t="n"/>
      <c r="AF90" s="4" t="n"/>
      <c r="AH90">
        <f>IFERROR(INDEX(EqTag,_xlfn.AGGREGATE(15,6,(ROW(EqTag)-4)/((EqSys=$D$3)*(EqTag&lt;&gt;"")),ROWS($AH$14:AH90))),"")</f>
        <v/>
      </c>
    </row>
    <row r="91">
      <c r="A91" s="20">
        <f>IF(F91="","",LEFT($D$3,3)&amp;"-"&amp;TEXT(COUNTIF(F$14:F91,"?*"),"00"))</f>
        <v/>
      </c>
      <c r="B91" s="4" t="n"/>
      <c r="C91" s="5">
        <f>IF(B91="","",IFERROR(INDEX(EqTypeCol,MATCH(B91,EqTag,0)),"Tag not in register"))</f>
        <v/>
      </c>
      <c r="D91" s="4" t="n"/>
      <c r="E91" s="4" t="n"/>
      <c r="F91" s="4" t="n"/>
      <c r="G91" s="4" t="n"/>
      <c r="H91" s="4" t="n"/>
      <c r="I91" s="4" t="n"/>
      <c r="J91" s="5">
        <f>_xlfn.TEXTJOIN(CHAR(10),TRUE,IF(G91="","","• "&amp;G91),IF(H91="","","• "&amp;H91),IF(I91="","","• "&amp;I91))</f>
        <v/>
      </c>
      <c r="K91" s="4" t="n"/>
      <c r="L91" s="4" t="n"/>
      <c r="M91" s="4" t="n"/>
      <c r="N91" s="16" t="n"/>
      <c r="O91" s="4" t="n"/>
      <c r="P91" s="16" t="n"/>
      <c r="Q91" s="4" t="n"/>
      <c r="R91" s="16" t="n"/>
      <c r="S91" s="20">
        <f>IF(OR(N91="",P91="",R91=""),"",(--TRIM(LEFT(N91,2)))*(--TRIM(LEFT(P91,2)))*(--TRIM(LEFT(R91,2))))</f>
        <v/>
      </c>
      <c r="T91" s="20">
        <f>IF(OR(N91="",P91="",R91=""),"",INDEX(APGrid,COUNTIF(APS,"&gt;"&amp;(--TRIM(LEFT(N91,2))))*5+COUNTIF(APO,"&gt;"&amp;(--TRIM(LEFT(P91,2))))+1,COUNTIF(APD,"&gt;"&amp;(--TRIM(LEFT(R91,2))))+1))</f>
        <v/>
      </c>
      <c r="U91" s="20">
        <f>IF(S91="","",IF(OR((--TRIM(LEFT(N91,2)))&gt;=SThr,S91&gt;=RPNThr,T91="H"),"Yes","No"))</f>
        <v/>
      </c>
      <c r="V91" s="4" t="n"/>
      <c r="W91" s="4" t="n"/>
      <c r="X91" s="4" t="n"/>
      <c r="Y91" s="29" t="n"/>
      <c r="Z91" s="16" t="n"/>
      <c r="AA91" s="16" t="n"/>
      <c r="AB91" s="16" t="n"/>
      <c r="AC91" s="20">
        <f>IF(OR(Z91="",AA91="",AB91=""),"",(--TRIM(LEFT(Z91,2)))*(--TRIM(LEFT(AA91,2)))*(--TRIM(LEFT(AB91,2))))</f>
        <v/>
      </c>
      <c r="AD91" s="20">
        <f>IF(OR(Z91="",AA91="",AB91=""),"",INDEX(APGrid,COUNTIF(APS,"&gt;"&amp;(--TRIM(LEFT(Z91,2))))*5+COUNTIF(APO,"&gt;"&amp;(--TRIM(LEFT(AA91,2))))+1,COUNTIF(APD,"&gt;"&amp;(--TRIM(LEFT(AB91,2))))+1))</f>
        <v/>
      </c>
      <c r="AE91" s="4" t="n"/>
      <c r="AF91" s="4" t="n"/>
      <c r="AH91">
        <f>IFERROR(INDEX(EqTag,_xlfn.AGGREGATE(15,6,(ROW(EqTag)-4)/((EqSys=$D$3)*(EqTag&lt;&gt;"")),ROWS($AH$14:AH91))),"")</f>
        <v/>
      </c>
    </row>
    <row r="92">
      <c r="A92" s="20">
        <f>IF(F92="","",LEFT($D$3,3)&amp;"-"&amp;TEXT(COUNTIF(F$14:F92,"?*"),"00"))</f>
        <v/>
      </c>
      <c r="B92" s="4" t="n"/>
      <c r="C92" s="5">
        <f>IF(B92="","",IFERROR(INDEX(EqTypeCol,MATCH(B92,EqTag,0)),"Tag not in register"))</f>
        <v/>
      </c>
      <c r="D92" s="4" t="n"/>
      <c r="E92" s="4" t="n"/>
      <c r="F92" s="4" t="n"/>
      <c r="G92" s="4" t="n"/>
      <c r="H92" s="4" t="n"/>
      <c r="I92" s="4" t="n"/>
      <c r="J92" s="5">
        <f>_xlfn.TEXTJOIN(CHAR(10),TRUE,IF(G92="","","• "&amp;G92),IF(H92="","","• "&amp;H92),IF(I92="","","• "&amp;I92))</f>
        <v/>
      </c>
      <c r="K92" s="4" t="n"/>
      <c r="L92" s="4" t="n"/>
      <c r="M92" s="4" t="n"/>
      <c r="N92" s="16" t="n"/>
      <c r="O92" s="4" t="n"/>
      <c r="P92" s="16" t="n"/>
      <c r="Q92" s="4" t="n"/>
      <c r="R92" s="16" t="n"/>
      <c r="S92" s="20">
        <f>IF(OR(N92="",P92="",R92=""),"",(--TRIM(LEFT(N92,2)))*(--TRIM(LEFT(P92,2)))*(--TRIM(LEFT(R92,2))))</f>
        <v/>
      </c>
      <c r="T92" s="20">
        <f>IF(OR(N92="",P92="",R92=""),"",INDEX(APGrid,COUNTIF(APS,"&gt;"&amp;(--TRIM(LEFT(N92,2))))*5+COUNTIF(APO,"&gt;"&amp;(--TRIM(LEFT(P92,2))))+1,COUNTIF(APD,"&gt;"&amp;(--TRIM(LEFT(R92,2))))+1))</f>
        <v/>
      </c>
      <c r="U92" s="20">
        <f>IF(S92="","",IF(OR((--TRIM(LEFT(N92,2)))&gt;=SThr,S92&gt;=RPNThr,T92="H"),"Yes","No"))</f>
        <v/>
      </c>
      <c r="V92" s="4" t="n"/>
      <c r="W92" s="4" t="n"/>
      <c r="X92" s="4" t="n"/>
      <c r="Y92" s="29" t="n"/>
      <c r="Z92" s="16" t="n"/>
      <c r="AA92" s="16" t="n"/>
      <c r="AB92" s="16" t="n"/>
      <c r="AC92" s="20">
        <f>IF(OR(Z92="",AA92="",AB92=""),"",(--TRIM(LEFT(Z92,2)))*(--TRIM(LEFT(AA92,2)))*(--TRIM(LEFT(AB92,2))))</f>
        <v/>
      </c>
      <c r="AD92" s="20">
        <f>IF(OR(Z92="",AA92="",AB92=""),"",INDEX(APGrid,COUNTIF(APS,"&gt;"&amp;(--TRIM(LEFT(Z92,2))))*5+COUNTIF(APO,"&gt;"&amp;(--TRIM(LEFT(AA92,2))))+1,COUNTIF(APD,"&gt;"&amp;(--TRIM(LEFT(AB92,2))))+1))</f>
        <v/>
      </c>
      <c r="AE92" s="4" t="n"/>
      <c r="AF92" s="4" t="n"/>
      <c r="AH92">
        <f>IFERROR(INDEX(EqTag,_xlfn.AGGREGATE(15,6,(ROW(EqTag)-4)/((EqSys=$D$3)*(EqTag&lt;&gt;"")),ROWS($AH$14:AH92))),"")</f>
        <v/>
      </c>
    </row>
    <row r="93">
      <c r="A93" s="20">
        <f>IF(F93="","",LEFT($D$3,3)&amp;"-"&amp;TEXT(COUNTIF(F$14:F93,"?*"),"00"))</f>
        <v/>
      </c>
      <c r="B93" s="4" t="n"/>
      <c r="C93" s="5">
        <f>IF(B93="","",IFERROR(INDEX(EqTypeCol,MATCH(B93,EqTag,0)),"Tag not in register"))</f>
        <v/>
      </c>
      <c r="D93" s="4" t="n"/>
      <c r="E93" s="4" t="n"/>
      <c r="F93" s="4" t="n"/>
      <c r="G93" s="4" t="n"/>
      <c r="H93" s="4" t="n"/>
      <c r="I93" s="4" t="n"/>
      <c r="J93" s="5">
        <f>_xlfn.TEXTJOIN(CHAR(10),TRUE,IF(G93="","","• "&amp;G93),IF(H93="","","• "&amp;H93),IF(I93="","","• "&amp;I93))</f>
        <v/>
      </c>
      <c r="K93" s="4" t="n"/>
      <c r="L93" s="4" t="n"/>
      <c r="M93" s="4" t="n"/>
      <c r="N93" s="16" t="n"/>
      <c r="O93" s="4" t="n"/>
      <c r="P93" s="16" t="n"/>
      <c r="Q93" s="4" t="n"/>
      <c r="R93" s="16" t="n"/>
      <c r="S93" s="20">
        <f>IF(OR(N93="",P93="",R93=""),"",(--TRIM(LEFT(N93,2)))*(--TRIM(LEFT(P93,2)))*(--TRIM(LEFT(R93,2))))</f>
        <v/>
      </c>
      <c r="T93" s="20">
        <f>IF(OR(N93="",P93="",R93=""),"",INDEX(APGrid,COUNTIF(APS,"&gt;"&amp;(--TRIM(LEFT(N93,2))))*5+COUNTIF(APO,"&gt;"&amp;(--TRIM(LEFT(P93,2))))+1,COUNTIF(APD,"&gt;"&amp;(--TRIM(LEFT(R93,2))))+1))</f>
        <v/>
      </c>
      <c r="U93" s="20">
        <f>IF(S93="","",IF(OR((--TRIM(LEFT(N93,2)))&gt;=SThr,S93&gt;=RPNThr,T93="H"),"Yes","No"))</f>
        <v/>
      </c>
      <c r="V93" s="4" t="n"/>
      <c r="W93" s="4" t="n"/>
      <c r="X93" s="4" t="n"/>
      <c r="Y93" s="29" t="n"/>
      <c r="Z93" s="16" t="n"/>
      <c r="AA93" s="16" t="n"/>
      <c r="AB93" s="16" t="n"/>
      <c r="AC93" s="20">
        <f>IF(OR(Z93="",AA93="",AB93=""),"",(--TRIM(LEFT(Z93,2)))*(--TRIM(LEFT(AA93,2)))*(--TRIM(LEFT(AB93,2))))</f>
        <v/>
      </c>
      <c r="AD93" s="20">
        <f>IF(OR(Z93="",AA93="",AB93=""),"",INDEX(APGrid,COUNTIF(APS,"&gt;"&amp;(--TRIM(LEFT(Z93,2))))*5+COUNTIF(APO,"&gt;"&amp;(--TRIM(LEFT(AA93,2))))+1,COUNTIF(APD,"&gt;"&amp;(--TRIM(LEFT(AB93,2))))+1))</f>
        <v/>
      </c>
      <c r="AE93" s="4" t="n"/>
      <c r="AF93" s="4" t="n"/>
      <c r="AH93">
        <f>IFERROR(INDEX(EqTag,_xlfn.AGGREGATE(15,6,(ROW(EqTag)-4)/((EqSys=$D$3)*(EqTag&lt;&gt;"")),ROWS($AH$14:AH93))),"")</f>
        <v/>
      </c>
    </row>
    <row r="94">
      <c r="A94" s="20">
        <f>IF(F94="","",LEFT($D$3,3)&amp;"-"&amp;TEXT(COUNTIF(F$14:F94,"?*"),"00"))</f>
        <v/>
      </c>
      <c r="B94" s="4" t="n"/>
      <c r="C94" s="5">
        <f>IF(B94="","",IFERROR(INDEX(EqTypeCol,MATCH(B94,EqTag,0)),"Tag not in register"))</f>
        <v/>
      </c>
      <c r="D94" s="4" t="n"/>
      <c r="E94" s="4" t="n"/>
      <c r="F94" s="4" t="n"/>
      <c r="G94" s="4" t="n"/>
      <c r="H94" s="4" t="n"/>
      <c r="I94" s="4" t="n"/>
      <c r="J94" s="5">
        <f>_xlfn.TEXTJOIN(CHAR(10),TRUE,IF(G94="","","• "&amp;G94),IF(H94="","","• "&amp;H94),IF(I94="","","• "&amp;I94))</f>
        <v/>
      </c>
      <c r="K94" s="4" t="n"/>
      <c r="L94" s="4" t="n"/>
      <c r="M94" s="4" t="n"/>
      <c r="N94" s="16" t="n"/>
      <c r="O94" s="4" t="n"/>
      <c r="P94" s="16" t="n"/>
      <c r="Q94" s="4" t="n"/>
      <c r="R94" s="16" t="n"/>
      <c r="S94" s="20">
        <f>IF(OR(N94="",P94="",R94=""),"",(--TRIM(LEFT(N94,2)))*(--TRIM(LEFT(P94,2)))*(--TRIM(LEFT(R94,2))))</f>
        <v/>
      </c>
      <c r="T94" s="20">
        <f>IF(OR(N94="",P94="",R94=""),"",INDEX(APGrid,COUNTIF(APS,"&gt;"&amp;(--TRIM(LEFT(N94,2))))*5+COUNTIF(APO,"&gt;"&amp;(--TRIM(LEFT(P94,2))))+1,COUNTIF(APD,"&gt;"&amp;(--TRIM(LEFT(R94,2))))+1))</f>
        <v/>
      </c>
      <c r="U94" s="20">
        <f>IF(S94="","",IF(OR((--TRIM(LEFT(N94,2)))&gt;=SThr,S94&gt;=RPNThr,T94="H"),"Yes","No"))</f>
        <v/>
      </c>
      <c r="V94" s="4" t="n"/>
      <c r="W94" s="4" t="n"/>
      <c r="X94" s="4" t="n"/>
      <c r="Y94" s="29" t="n"/>
      <c r="Z94" s="16" t="n"/>
      <c r="AA94" s="16" t="n"/>
      <c r="AB94" s="16" t="n"/>
      <c r="AC94" s="20">
        <f>IF(OR(Z94="",AA94="",AB94=""),"",(--TRIM(LEFT(Z94,2)))*(--TRIM(LEFT(AA94,2)))*(--TRIM(LEFT(AB94,2))))</f>
        <v/>
      </c>
      <c r="AD94" s="20">
        <f>IF(OR(Z94="",AA94="",AB94=""),"",INDEX(APGrid,COUNTIF(APS,"&gt;"&amp;(--TRIM(LEFT(Z94,2))))*5+COUNTIF(APO,"&gt;"&amp;(--TRIM(LEFT(AA94,2))))+1,COUNTIF(APD,"&gt;"&amp;(--TRIM(LEFT(AB94,2))))+1))</f>
        <v/>
      </c>
      <c r="AE94" s="4" t="n"/>
      <c r="AF94" s="4" t="n"/>
      <c r="AH94">
        <f>IFERROR(INDEX(EqTag,_xlfn.AGGREGATE(15,6,(ROW(EqTag)-4)/((EqSys=$D$3)*(EqTag&lt;&gt;"")),ROWS($AH$14:AH94))),"")</f>
        <v/>
      </c>
    </row>
    <row r="95">
      <c r="A95" s="20">
        <f>IF(F95="","",LEFT($D$3,3)&amp;"-"&amp;TEXT(COUNTIF(F$14:F95,"?*"),"00"))</f>
        <v/>
      </c>
      <c r="B95" s="4" t="n"/>
      <c r="C95" s="5">
        <f>IF(B95="","",IFERROR(INDEX(EqTypeCol,MATCH(B95,EqTag,0)),"Tag not in register"))</f>
        <v/>
      </c>
      <c r="D95" s="4" t="n"/>
      <c r="E95" s="4" t="n"/>
      <c r="F95" s="4" t="n"/>
      <c r="G95" s="4" t="n"/>
      <c r="H95" s="4" t="n"/>
      <c r="I95" s="4" t="n"/>
      <c r="J95" s="5">
        <f>_xlfn.TEXTJOIN(CHAR(10),TRUE,IF(G95="","","• "&amp;G95),IF(H95="","","• "&amp;H95),IF(I95="","","• "&amp;I95))</f>
        <v/>
      </c>
      <c r="K95" s="4" t="n"/>
      <c r="L95" s="4" t="n"/>
      <c r="M95" s="4" t="n"/>
      <c r="N95" s="16" t="n"/>
      <c r="O95" s="4" t="n"/>
      <c r="P95" s="16" t="n"/>
      <c r="Q95" s="4" t="n"/>
      <c r="R95" s="16" t="n"/>
      <c r="S95" s="20">
        <f>IF(OR(N95="",P95="",R95=""),"",(--TRIM(LEFT(N95,2)))*(--TRIM(LEFT(P95,2)))*(--TRIM(LEFT(R95,2))))</f>
        <v/>
      </c>
      <c r="T95" s="20">
        <f>IF(OR(N95="",P95="",R95=""),"",INDEX(APGrid,COUNTIF(APS,"&gt;"&amp;(--TRIM(LEFT(N95,2))))*5+COUNTIF(APO,"&gt;"&amp;(--TRIM(LEFT(P95,2))))+1,COUNTIF(APD,"&gt;"&amp;(--TRIM(LEFT(R95,2))))+1))</f>
        <v/>
      </c>
      <c r="U95" s="20">
        <f>IF(S95="","",IF(OR((--TRIM(LEFT(N95,2)))&gt;=SThr,S95&gt;=RPNThr,T95="H"),"Yes","No"))</f>
        <v/>
      </c>
      <c r="V95" s="4" t="n"/>
      <c r="W95" s="4" t="n"/>
      <c r="X95" s="4" t="n"/>
      <c r="Y95" s="29" t="n"/>
      <c r="Z95" s="16" t="n"/>
      <c r="AA95" s="16" t="n"/>
      <c r="AB95" s="16" t="n"/>
      <c r="AC95" s="20">
        <f>IF(OR(Z95="",AA95="",AB95=""),"",(--TRIM(LEFT(Z95,2)))*(--TRIM(LEFT(AA95,2)))*(--TRIM(LEFT(AB95,2))))</f>
        <v/>
      </c>
      <c r="AD95" s="20">
        <f>IF(OR(Z95="",AA95="",AB95=""),"",INDEX(APGrid,COUNTIF(APS,"&gt;"&amp;(--TRIM(LEFT(Z95,2))))*5+COUNTIF(APO,"&gt;"&amp;(--TRIM(LEFT(AA95,2))))+1,COUNTIF(APD,"&gt;"&amp;(--TRIM(LEFT(AB95,2))))+1))</f>
        <v/>
      </c>
      <c r="AE95" s="4" t="n"/>
      <c r="AF95" s="4" t="n"/>
      <c r="AH95">
        <f>IFERROR(INDEX(EqTag,_xlfn.AGGREGATE(15,6,(ROW(EqTag)-4)/((EqSys=$D$3)*(EqTag&lt;&gt;"")),ROWS($AH$14:AH95))),"")</f>
        <v/>
      </c>
    </row>
    <row r="96">
      <c r="A96" s="20">
        <f>IF(F96="","",LEFT($D$3,3)&amp;"-"&amp;TEXT(COUNTIF(F$14:F96,"?*"),"00"))</f>
        <v/>
      </c>
      <c r="B96" s="4" t="n"/>
      <c r="C96" s="5">
        <f>IF(B96="","",IFERROR(INDEX(EqTypeCol,MATCH(B96,EqTag,0)),"Tag not in register"))</f>
        <v/>
      </c>
      <c r="D96" s="4" t="n"/>
      <c r="E96" s="4" t="n"/>
      <c r="F96" s="4" t="n"/>
      <c r="G96" s="4" t="n"/>
      <c r="H96" s="4" t="n"/>
      <c r="I96" s="4" t="n"/>
      <c r="J96" s="5">
        <f>_xlfn.TEXTJOIN(CHAR(10),TRUE,IF(G96="","","• "&amp;G96),IF(H96="","","• "&amp;H96),IF(I96="","","• "&amp;I96))</f>
        <v/>
      </c>
      <c r="K96" s="4" t="n"/>
      <c r="L96" s="4" t="n"/>
      <c r="M96" s="4" t="n"/>
      <c r="N96" s="16" t="n"/>
      <c r="O96" s="4" t="n"/>
      <c r="P96" s="16" t="n"/>
      <c r="Q96" s="4" t="n"/>
      <c r="R96" s="16" t="n"/>
      <c r="S96" s="20">
        <f>IF(OR(N96="",P96="",R96=""),"",(--TRIM(LEFT(N96,2)))*(--TRIM(LEFT(P96,2)))*(--TRIM(LEFT(R96,2))))</f>
        <v/>
      </c>
      <c r="T96" s="20">
        <f>IF(OR(N96="",P96="",R96=""),"",INDEX(APGrid,COUNTIF(APS,"&gt;"&amp;(--TRIM(LEFT(N96,2))))*5+COUNTIF(APO,"&gt;"&amp;(--TRIM(LEFT(P96,2))))+1,COUNTIF(APD,"&gt;"&amp;(--TRIM(LEFT(R96,2))))+1))</f>
        <v/>
      </c>
      <c r="U96" s="20">
        <f>IF(S96="","",IF(OR((--TRIM(LEFT(N96,2)))&gt;=SThr,S96&gt;=RPNThr,T96="H"),"Yes","No"))</f>
        <v/>
      </c>
      <c r="V96" s="4" t="n"/>
      <c r="W96" s="4" t="n"/>
      <c r="X96" s="4" t="n"/>
      <c r="Y96" s="29" t="n"/>
      <c r="Z96" s="16" t="n"/>
      <c r="AA96" s="16" t="n"/>
      <c r="AB96" s="16" t="n"/>
      <c r="AC96" s="20">
        <f>IF(OR(Z96="",AA96="",AB96=""),"",(--TRIM(LEFT(Z96,2)))*(--TRIM(LEFT(AA96,2)))*(--TRIM(LEFT(AB96,2))))</f>
        <v/>
      </c>
      <c r="AD96" s="20">
        <f>IF(OR(Z96="",AA96="",AB96=""),"",INDEX(APGrid,COUNTIF(APS,"&gt;"&amp;(--TRIM(LEFT(Z96,2))))*5+COUNTIF(APO,"&gt;"&amp;(--TRIM(LEFT(AA96,2))))+1,COUNTIF(APD,"&gt;"&amp;(--TRIM(LEFT(AB96,2))))+1))</f>
        <v/>
      </c>
      <c r="AE96" s="4" t="n"/>
      <c r="AF96" s="4" t="n"/>
      <c r="AH96">
        <f>IFERROR(INDEX(EqTag,_xlfn.AGGREGATE(15,6,(ROW(EqTag)-4)/((EqSys=$D$3)*(EqTag&lt;&gt;"")),ROWS($AH$14:AH96))),"")</f>
        <v/>
      </c>
    </row>
    <row r="97">
      <c r="A97" s="20">
        <f>IF(F97="","",LEFT($D$3,3)&amp;"-"&amp;TEXT(COUNTIF(F$14:F97,"?*"),"00"))</f>
        <v/>
      </c>
      <c r="B97" s="4" t="n"/>
      <c r="C97" s="5">
        <f>IF(B97="","",IFERROR(INDEX(EqTypeCol,MATCH(B97,EqTag,0)),"Tag not in register"))</f>
        <v/>
      </c>
      <c r="D97" s="4" t="n"/>
      <c r="E97" s="4" t="n"/>
      <c r="F97" s="4" t="n"/>
      <c r="G97" s="4" t="n"/>
      <c r="H97" s="4" t="n"/>
      <c r="I97" s="4" t="n"/>
      <c r="J97" s="5">
        <f>_xlfn.TEXTJOIN(CHAR(10),TRUE,IF(G97="","","• "&amp;G97),IF(H97="","","• "&amp;H97),IF(I97="","","• "&amp;I97))</f>
        <v/>
      </c>
      <c r="K97" s="4" t="n"/>
      <c r="L97" s="4" t="n"/>
      <c r="M97" s="4" t="n"/>
      <c r="N97" s="16" t="n"/>
      <c r="O97" s="4" t="n"/>
      <c r="P97" s="16" t="n"/>
      <c r="Q97" s="4" t="n"/>
      <c r="R97" s="16" t="n"/>
      <c r="S97" s="20">
        <f>IF(OR(N97="",P97="",R97=""),"",(--TRIM(LEFT(N97,2)))*(--TRIM(LEFT(P97,2)))*(--TRIM(LEFT(R97,2))))</f>
        <v/>
      </c>
      <c r="T97" s="20">
        <f>IF(OR(N97="",P97="",R97=""),"",INDEX(APGrid,COUNTIF(APS,"&gt;"&amp;(--TRIM(LEFT(N97,2))))*5+COUNTIF(APO,"&gt;"&amp;(--TRIM(LEFT(P97,2))))+1,COUNTIF(APD,"&gt;"&amp;(--TRIM(LEFT(R97,2))))+1))</f>
        <v/>
      </c>
      <c r="U97" s="20">
        <f>IF(S97="","",IF(OR((--TRIM(LEFT(N97,2)))&gt;=SThr,S97&gt;=RPNThr,T97="H"),"Yes","No"))</f>
        <v/>
      </c>
      <c r="V97" s="4" t="n"/>
      <c r="W97" s="4" t="n"/>
      <c r="X97" s="4" t="n"/>
      <c r="Y97" s="29" t="n"/>
      <c r="Z97" s="16" t="n"/>
      <c r="AA97" s="16" t="n"/>
      <c r="AB97" s="16" t="n"/>
      <c r="AC97" s="20">
        <f>IF(OR(Z97="",AA97="",AB97=""),"",(--TRIM(LEFT(Z97,2)))*(--TRIM(LEFT(AA97,2)))*(--TRIM(LEFT(AB97,2))))</f>
        <v/>
      </c>
      <c r="AD97" s="20">
        <f>IF(OR(Z97="",AA97="",AB97=""),"",INDEX(APGrid,COUNTIF(APS,"&gt;"&amp;(--TRIM(LEFT(Z97,2))))*5+COUNTIF(APO,"&gt;"&amp;(--TRIM(LEFT(AA97,2))))+1,COUNTIF(APD,"&gt;"&amp;(--TRIM(LEFT(AB97,2))))+1))</f>
        <v/>
      </c>
      <c r="AE97" s="4" t="n"/>
      <c r="AF97" s="4" t="n"/>
      <c r="AH97">
        <f>IFERROR(INDEX(EqTag,_xlfn.AGGREGATE(15,6,(ROW(EqTag)-4)/((EqSys=$D$3)*(EqTag&lt;&gt;"")),ROWS($AH$14:AH97))),"")</f>
        <v/>
      </c>
    </row>
    <row r="98">
      <c r="A98" s="20">
        <f>IF(F98="","",LEFT($D$3,3)&amp;"-"&amp;TEXT(COUNTIF(F$14:F98,"?*"),"00"))</f>
        <v/>
      </c>
      <c r="B98" s="4" t="n"/>
      <c r="C98" s="5">
        <f>IF(B98="","",IFERROR(INDEX(EqTypeCol,MATCH(B98,EqTag,0)),"Tag not in register"))</f>
        <v/>
      </c>
      <c r="D98" s="4" t="n"/>
      <c r="E98" s="4" t="n"/>
      <c r="F98" s="4" t="n"/>
      <c r="G98" s="4" t="n"/>
      <c r="H98" s="4" t="n"/>
      <c r="I98" s="4" t="n"/>
      <c r="J98" s="5">
        <f>_xlfn.TEXTJOIN(CHAR(10),TRUE,IF(G98="","","• "&amp;G98),IF(H98="","","• "&amp;H98),IF(I98="","","• "&amp;I98))</f>
        <v/>
      </c>
      <c r="K98" s="4" t="n"/>
      <c r="L98" s="4" t="n"/>
      <c r="M98" s="4" t="n"/>
      <c r="N98" s="16" t="n"/>
      <c r="O98" s="4" t="n"/>
      <c r="P98" s="16" t="n"/>
      <c r="Q98" s="4" t="n"/>
      <c r="R98" s="16" t="n"/>
      <c r="S98" s="20">
        <f>IF(OR(N98="",P98="",R98=""),"",(--TRIM(LEFT(N98,2)))*(--TRIM(LEFT(P98,2)))*(--TRIM(LEFT(R98,2))))</f>
        <v/>
      </c>
      <c r="T98" s="20">
        <f>IF(OR(N98="",P98="",R98=""),"",INDEX(APGrid,COUNTIF(APS,"&gt;"&amp;(--TRIM(LEFT(N98,2))))*5+COUNTIF(APO,"&gt;"&amp;(--TRIM(LEFT(P98,2))))+1,COUNTIF(APD,"&gt;"&amp;(--TRIM(LEFT(R98,2))))+1))</f>
        <v/>
      </c>
      <c r="U98" s="20">
        <f>IF(S98="","",IF(OR((--TRIM(LEFT(N98,2)))&gt;=SThr,S98&gt;=RPNThr,T98="H"),"Yes","No"))</f>
        <v/>
      </c>
      <c r="V98" s="4" t="n"/>
      <c r="W98" s="4" t="n"/>
      <c r="X98" s="4" t="n"/>
      <c r="Y98" s="29" t="n"/>
      <c r="Z98" s="16" t="n"/>
      <c r="AA98" s="16" t="n"/>
      <c r="AB98" s="16" t="n"/>
      <c r="AC98" s="20">
        <f>IF(OR(Z98="",AA98="",AB98=""),"",(--TRIM(LEFT(Z98,2)))*(--TRIM(LEFT(AA98,2)))*(--TRIM(LEFT(AB98,2))))</f>
        <v/>
      </c>
      <c r="AD98" s="20">
        <f>IF(OR(Z98="",AA98="",AB98=""),"",INDEX(APGrid,COUNTIF(APS,"&gt;"&amp;(--TRIM(LEFT(Z98,2))))*5+COUNTIF(APO,"&gt;"&amp;(--TRIM(LEFT(AA98,2))))+1,COUNTIF(APD,"&gt;"&amp;(--TRIM(LEFT(AB98,2))))+1))</f>
        <v/>
      </c>
      <c r="AE98" s="4" t="n"/>
      <c r="AF98" s="4" t="n"/>
      <c r="AH98">
        <f>IFERROR(INDEX(EqTag,_xlfn.AGGREGATE(15,6,(ROW(EqTag)-4)/((EqSys=$D$3)*(EqTag&lt;&gt;"")),ROWS($AH$14:AH98))),"")</f>
        <v/>
      </c>
    </row>
    <row r="99">
      <c r="A99" s="20">
        <f>IF(F99="","",LEFT($D$3,3)&amp;"-"&amp;TEXT(COUNTIF(F$14:F99,"?*"),"00"))</f>
        <v/>
      </c>
      <c r="B99" s="4" t="n"/>
      <c r="C99" s="5">
        <f>IF(B99="","",IFERROR(INDEX(EqTypeCol,MATCH(B99,EqTag,0)),"Tag not in register"))</f>
        <v/>
      </c>
      <c r="D99" s="4" t="n"/>
      <c r="E99" s="4" t="n"/>
      <c r="F99" s="4" t="n"/>
      <c r="G99" s="4" t="n"/>
      <c r="H99" s="4" t="n"/>
      <c r="I99" s="4" t="n"/>
      <c r="J99" s="5">
        <f>_xlfn.TEXTJOIN(CHAR(10),TRUE,IF(G99="","","• "&amp;G99),IF(H99="","","• "&amp;H99),IF(I99="","","• "&amp;I99))</f>
        <v/>
      </c>
      <c r="K99" s="4" t="n"/>
      <c r="L99" s="4" t="n"/>
      <c r="M99" s="4" t="n"/>
      <c r="N99" s="16" t="n"/>
      <c r="O99" s="4" t="n"/>
      <c r="P99" s="16" t="n"/>
      <c r="Q99" s="4" t="n"/>
      <c r="R99" s="16" t="n"/>
      <c r="S99" s="20">
        <f>IF(OR(N99="",P99="",R99=""),"",(--TRIM(LEFT(N99,2)))*(--TRIM(LEFT(P99,2)))*(--TRIM(LEFT(R99,2))))</f>
        <v/>
      </c>
      <c r="T99" s="20">
        <f>IF(OR(N99="",P99="",R99=""),"",INDEX(APGrid,COUNTIF(APS,"&gt;"&amp;(--TRIM(LEFT(N99,2))))*5+COUNTIF(APO,"&gt;"&amp;(--TRIM(LEFT(P99,2))))+1,COUNTIF(APD,"&gt;"&amp;(--TRIM(LEFT(R99,2))))+1))</f>
        <v/>
      </c>
      <c r="U99" s="20">
        <f>IF(S99="","",IF(OR((--TRIM(LEFT(N99,2)))&gt;=SThr,S99&gt;=RPNThr,T99="H"),"Yes","No"))</f>
        <v/>
      </c>
      <c r="V99" s="4" t="n"/>
      <c r="W99" s="4" t="n"/>
      <c r="X99" s="4" t="n"/>
      <c r="Y99" s="29" t="n"/>
      <c r="Z99" s="16" t="n"/>
      <c r="AA99" s="16" t="n"/>
      <c r="AB99" s="16" t="n"/>
      <c r="AC99" s="20">
        <f>IF(OR(Z99="",AA99="",AB99=""),"",(--TRIM(LEFT(Z99,2)))*(--TRIM(LEFT(AA99,2)))*(--TRIM(LEFT(AB99,2))))</f>
        <v/>
      </c>
      <c r="AD99" s="20">
        <f>IF(OR(Z99="",AA99="",AB99=""),"",INDEX(APGrid,COUNTIF(APS,"&gt;"&amp;(--TRIM(LEFT(Z99,2))))*5+COUNTIF(APO,"&gt;"&amp;(--TRIM(LEFT(AA99,2))))+1,COUNTIF(APD,"&gt;"&amp;(--TRIM(LEFT(AB99,2))))+1))</f>
        <v/>
      </c>
      <c r="AE99" s="4" t="n"/>
      <c r="AF99" s="4" t="n"/>
      <c r="AH99">
        <f>IFERROR(INDEX(EqTag,_xlfn.AGGREGATE(15,6,(ROW(EqTag)-4)/((EqSys=$D$3)*(EqTag&lt;&gt;"")),ROWS($AH$14:AH99))),"")</f>
        <v/>
      </c>
    </row>
    <row r="100">
      <c r="A100" s="20">
        <f>IF(F100="","",LEFT($D$3,3)&amp;"-"&amp;TEXT(COUNTIF(F$14:F100,"?*"),"00"))</f>
        <v/>
      </c>
      <c r="B100" s="4" t="n"/>
      <c r="C100" s="5">
        <f>IF(B100="","",IFERROR(INDEX(EqTypeCol,MATCH(B100,EqTag,0)),"Tag not in register"))</f>
        <v/>
      </c>
      <c r="D100" s="4" t="n"/>
      <c r="E100" s="4" t="n"/>
      <c r="F100" s="4" t="n"/>
      <c r="G100" s="4" t="n"/>
      <c r="H100" s="4" t="n"/>
      <c r="I100" s="4" t="n"/>
      <c r="J100" s="5">
        <f>_xlfn.TEXTJOIN(CHAR(10),TRUE,IF(G100="","","• "&amp;G100),IF(H100="","","• "&amp;H100),IF(I100="","","• "&amp;I100))</f>
        <v/>
      </c>
      <c r="K100" s="4" t="n"/>
      <c r="L100" s="4" t="n"/>
      <c r="M100" s="4" t="n"/>
      <c r="N100" s="16" t="n"/>
      <c r="O100" s="4" t="n"/>
      <c r="P100" s="16" t="n"/>
      <c r="Q100" s="4" t="n"/>
      <c r="R100" s="16" t="n"/>
      <c r="S100" s="20">
        <f>IF(OR(N100="",P100="",R100=""),"",(--TRIM(LEFT(N100,2)))*(--TRIM(LEFT(P100,2)))*(--TRIM(LEFT(R100,2))))</f>
        <v/>
      </c>
      <c r="T100" s="20">
        <f>IF(OR(N100="",P100="",R100=""),"",INDEX(APGrid,COUNTIF(APS,"&gt;"&amp;(--TRIM(LEFT(N100,2))))*5+COUNTIF(APO,"&gt;"&amp;(--TRIM(LEFT(P100,2))))+1,COUNTIF(APD,"&gt;"&amp;(--TRIM(LEFT(R100,2))))+1))</f>
        <v/>
      </c>
      <c r="U100" s="20">
        <f>IF(S100="","",IF(OR((--TRIM(LEFT(N100,2)))&gt;=SThr,S100&gt;=RPNThr,T100="H"),"Yes","No"))</f>
        <v/>
      </c>
      <c r="V100" s="4" t="n"/>
      <c r="W100" s="4" t="n"/>
      <c r="X100" s="4" t="n"/>
      <c r="Y100" s="29" t="n"/>
      <c r="Z100" s="16" t="n"/>
      <c r="AA100" s="16" t="n"/>
      <c r="AB100" s="16" t="n"/>
      <c r="AC100" s="20">
        <f>IF(OR(Z100="",AA100="",AB100=""),"",(--TRIM(LEFT(Z100,2)))*(--TRIM(LEFT(AA100,2)))*(--TRIM(LEFT(AB100,2))))</f>
        <v/>
      </c>
      <c r="AD100" s="20">
        <f>IF(OR(Z100="",AA100="",AB100=""),"",INDEX(APGrid,COUNTIF(APS,"&gt;"&amp;(--TRIM(LEFT(Z100,2))))*5+COUNTIF(APO,"&gt;"&amp;(--TRIM(LEFT(AA100,2))))+1,COUNTIF(APD,"&gt;"&amp;(--TRIM(LEFT(AB100,2))))+1))</f>
        <v/>
      </c>
      <c r="AE100" s="4" t="n"/>
      <c r="AF100" s="4" t="n"/>
      <c r="AH100">
        <f>IFERROR(INDEX(EqTag,_xlfn.AGGREGATE(15,6,(ROW(EqTag)-4)/((EqSys=$D$3)*(EqTag&lt;&gt;"")),ROWS($AH$14:AH100))),"")</f>
        <v/>
      </c>
    </row>
    <row r="101">
      <c r="A101" s="20">
        <f>IF(F101="","",LEFT($D$3,3)&amp;"-"&amp;TEXT(COUNTIF(F$14:F101,"?*"),"00"))</f>
        <v/>
      </c>
      <c r="B101" s="4" t="n"/>
      <c r="C101" s="5">
        <f>IF(B101="","",IFERROR(INDEX(EqTypeCol,MATCH(B101,EqTag,0)),"Tag not in register"))</f>
        <v/>
      </c>
      <c r="D101" s="4" t="n"/>
      <c r="E101" s="4" t="n"/>
      <c r="F101" s="4" t="n"/>
      <c r="G101" s="4" t="n"/>
      <c r="H101" s="4" t="n"/>
      <c r="I101" s="4" t="n"/>
      <c r="J101" s="5">
        <f>_xlfn.TEXTJOIN(CHAR(10),TRUE,IF(G101="","","• "&amp;G101),IF(H101="","","• "&amp;H101),IF(I101="","","• "&amp;I101))</f>
        <v/>
      </c>
      <c r="K101" s="4" t="n"/>
      <c r="L101" s="4" t="n"/>
      <c r="M101" s="4" t="n"/>
      <c r="N101" s="16" t="n"/>
      <c r="O101" s="4" t="n"/>
      <c r="P101" s="16" t="n"/>
      <c r="Q101" s="4" t="n"/>
      <c r="R101" s="16" t="n"/>
      <c r="S101" s="20">
        <f>IF(OR(N101="",P101="",R101=""),"",(--TRIM(LEFT(N101,2)))*(--TRIM(LEFT(P101,2)))*(--TRIM(LEFT(R101,2))))</f>
        <v/>
      </c>
      <c r="T101" s="20">
        <f>IF(OR(N101="",P101="",R101=""),"",INDEX(APGrid,COUNTIF(APS,"&gt;"&amp;(--TRIM(LEFT(N101,2))))*5+COUNTIF(APO,"&gt;"&amp;(--TRIM(LEFT(P101,2))))+1,COUNTIF(APD,"&gt;"&amp;(--TRIM(LEFT(R101,2))))+1))</f>
        <v/>
      </c>
      <c r="U101" s="20">
        <f>IF(S101="","",IF(OR((--TRIM(LEFT(N101,2)))&gt;=SThr,S101&gt;=RPNThr,T101="H"),"Yes","No"))</f>
        <v/>
      </c>
      <c r="V101" s="4" t="n"/>
      <c r="W101" s="4" t="n"/>
      <c r="X101" s="4" t="n"/>
      <c r="Y101" s="29" t="n"/>
      <c r="Z101" s="16" t="n"/>
      <c r="AA101" s="16" t="n"/>
      <c r="AB101" s="16" t="n"/>
      <c r="AC101" s="20">
        <f>IF(OR(Z101="",AA101="",AB101=""),"",(--TRIM(LEFT(Z101,2)))*(--TRIM(LEFT(AA101,2)))*(--TRIM(LEFT(AB101,2))))</f>
        <v/>
      </c>
      <c r="AD101" s="20">
        <f>IF(OR(Z101="",AA101="",AB101=""),"",INDEX(APGrid,COUNTIF(APS,"&gt;"&amp;(--TRIM(LEFT(Z101,2))))*5+COUNTIF(APO,"&gt;"&amp;(--TRIM(LEFT(AA101,2))))+1,COUNTIF(APD,"&gt;"&amp;(--TRIM(LEFT(AB101,2))))+1))</f>
        <v/>
      </c>
      <c r="AE101" s="4" t="n"/>
      <c r="AF101" s="4" t="n"/>
      <c r="AH101">
        <f>IFERROR(INDEX(EqTag,_xlfn.AGGREGATE(15,6,(ROW(EqTag)-4)/((EqSys=$D$3)*(EqTag&lt;&gt;"")),ROWS($AH$14:AH101))),"")</f>
        <v/>
      </c>
    </row>
    <row r="102">
      <c r="A102" s="20">
        <f>IF(F102="","",LEFT($D$3,3)&amp;"-"&amp;TEXT(COUNTIF(F$14:F102,"?*"),"00"))</f>
        <v/>
      </c>
      <c r="B102" s="4" t="n"/>
      <c r="C102" s="5">
        <f>IF(B102="","",IFERROR(INDEX(EqTypeCol,MATCH(B102,EqTag,0)),"Tag not in register"))</f>
        <v/>
      </c>
      <c r="D102" s="4" t="n"/>
      <c r="E102" s="4" t="n"/>
      <c r="F102" s="4" t="n"/>
      <c r="G102" s="4" t="n"/>
      <c r="H102" s="4" t="n"/>
      <c r="I102" s="4" t="n"/>
      <c r="J102" s="5">
        <f>_xlfn.TEXTJOIN(CHAR(10),TRUE,IF(G102="","","• "&amp;G102),IF(H102="","","• "&amp;H102),IF(I102="","","• "&amp;I102))</f>
        <v/>
      </c>
      <c r="K102" s="4" t="n"/>
      <c r="L102" s="4" t="n"/>
      <c r="M102" s="4" t="n"/>
      <c r="N102" s="16" t="n"/>
      <c r="O102" s="4" t="n"/>
      <c r="P102" s="16" t="n"/>
      <c r="Q102" s="4" t="n"/>
      <c r="R102" s="16" t="n"/>
      <c r="S102" s="20">
        <f>IF(OR(N102="",P102="",R102=""),"",(--TRIM(LEFT(N102,2)))*(--TRIM(LEFT(P102,2)))*(--TRIM(LEFT(R102,2))))</f>
        <v/>
      </c>
      <c r="T102" s="20">
        <f>IF(OR(N102="",P102="",R102=""),"",INDEX(APGrid,COUNTIF(APS,"&gt;"&amp;(--TRIM(LEFT(N102,2))))*5+COUNTIF(APO,"&gt;"&amp;(--TRIM(LEFT(P102,2))))+1,COUNTIF(APD,"&gt;"&amp;(--TRIM(LEFT(R102,2))))+1))</f>
        <v/>
      </c>
      <c r="U102" s="20">
        <f>IF(S102="","",IF(OR((--TRIM(LEFT(N102,2)))&gt;=SThr,S102&gt;=RPNThr,T102="H"),"Yes","No"))</f>
        <v/>
      </c>
      <c r="V102" s="4" t="n"/>
      <c r="W102" s="4" t="n"/>
      <c r="X102" s="4" t="n"/>
      <c r="Y102" s="29" t="n"/>
      <c r="Z102" s="16" t="n"/>
      <c r="AA102" s="16" t="n"/>
      <c r="AB102" s="16" t="n"/>
      <c r="AC102" s="20">
        <f>IF(OR(Z102="",AA102="",AB102=""),"",(--TRIM(LEFT(Z102,2)))*(--TRIM(LEFT(AA102,2)))*(--TRIM(LEFT(AB102,2))))</f>
        <v/>
      </c>
      <c r="AD102" s="20">
        <f>IF(OR(Z102="",AA102="",AB102=""),"",INDEX(APGrid,COUNTIF(APS,"&gt;"&amp;(--TRIM(LEFT(Z102,2))))*5+COUNTIF(APO,"&gt;"&amp;(--TRIM(LEFT(AA102,2))))+1,COUNTIF(APD,"&gt;"&amp;(--TRIM(LEFT(AB102,2))))+1))</f>
        <v/>
      </c>
      <c r="AE102" s="4" t="n"/>
      <c r="AF102" s="4" t="n"/>
      <c r="AH102">
        <f>IFERROR(INDEX(EqTag,_xlfn.AGGREGATE(15,6,(ROW(EqTag)-4)/((EqSys=$D$3)*(EqTag&lt;&gt;"")),ROWS($AH$14:AH102))),"")</f>
        <v/>
      </c>
    </row>
    <row r="103">
      <c r="A103" s="20">
        <f>IF(F103="","",LEFT($D$3,3)&amp;"-"&amp;TEXT(COUNTIF(F$14:F103,"?*"),"00"))</f>
        <v/>
      </c>
      <c r="B103" s="4" t="n"/>
      <c r="C103" s="5">
        <f>IF(B103="","",IFERROR(INDEX(EqTypeCol,MATCH(B103,EqTag,0)),"Tag not in register"))</f>
        <v/>
      </c>
      <c r="D103" s="4" t="n"/>
      <c r="E103" s="4" t="n"/>
      <c r="F103" s="4" t="n"/>
      <c r="G103" s="4" t="n"/>
      <c r="H103" s="4" t="n"/>
      <c r="I103" s="4" t="n"/>
      <c r="J103" s="5">
        <f>_xlfn.TEXTJOIN(CHAR(10),TRUE,IF(G103="","","• "&amp;G103),IF(H103="","","• "&amp;H103),IF(I103="","","• "&amp;I103))</f>
        <v/>
      </c>
      <c r="K103" s="4" t="n"/>
      <c r="L103" s="4" t="n"/>
      <c r="M103" s="4" t="n"/>
      <c r="N103" s="16" t="n"/>
      <c r="O103" s="4" t="n"/>
      <c r="P103" s="16" t="n"/>
      <c r="Q103" s="4" t="n"/>
      <c r="R103" s="16" t="n"/>
      <c r="S103" s="20">
        <f>IF(OR(N103="",P103="",R103=""),"",(--TRIM(LEFT(N103,2)))*(--TRIM(LEFT(P103,2)))*(--TRIM(LEFT(R103,2))))</f>
        <v/>
      </c>
      <c r="T103" s="20">
        <f>IF(OR(N103="",P103="",R103=""),"",INDEX(APGrid,COUNTIF(APS,"&gt;"&amp;(--TRIM(LEFT(N103,2))))*5+COUNTIF(APO,"&gt;"&amp;(--TRIM(LEFT(P103,2))))+1,COUNTIF(APD,"&gt;"&amp;(--TRIM(LEFT(R103,2))))+1))</f>
        <v/>
      </c>
      <c r="U103" s="20">
        <f>IF(S103="","",IF(OR((--TRIM(LEFT(N103,2)))&gt;=SThr,S103&gt;=RPNThr,T103="H"),"Yes","No"))</f>
        <v/>
      </c>
      <c r="V103" s="4" t="n"/>
      <c r="W103" s="4" t="n"/>
      <c r="X103" s="4" t="n"/>
      <c r="Y103" s="29" t="n"/>
      <c r="Z103" s="16" t="n"/>
      <c r="AA103" s="16" t="n"/>
      <c r="AB103" s="16" t="n"/>
      <c r="AC103" s="20">
        <f>IF(OR(Z103="",AA103="",AB103=""),"",(--TRIM(LEFT(Z103,2)))*(--TRIM(LEFT(AA103,2)))*(--TRIM(LEFT(AB103,2))))</f>
        <v/>
      </c>
      <c r="AD103" s="20">
        <f>IF(OR(Z103="",AA103="",AB103=""),"",INDEX(APGrid,COUNTIF(APS,"&gt;"&amp;(--TRIM(LEFT(Z103,2))))*5+COUNTIF(APO,"&gt;"&amp;(--TRIM(LEFT(AA103,2))))+1,COUNTIF(APD,"&gt;"&amp;(--TRIM(LEFT(AB103,2))))+1))</f>
        <v/>
      </c>
      <c r="AE103" s="4" t="n"/>
      <c r="AF103" s="4" t="n"/>
      <c r="AH103">
        <f>IFERROR(INDEX(EqTag,_xlfn.AGGREGATE(15,6,(ROW(EqTag)-4)/((EqSys=$D$3)*(EqTag&lt;&gt;"")),ROWS($AH$14:AH103))),"")</f>
        <v/>
      </c>
    </row>
    <row r="104">
      <c r="A104" s="20">
        <f>IF(F104="","",LEFT($D$3,3)&amp;"-"&amp;TEXT(COUNTIF(F$14:F104,"?*"),"00"))</f>
        <v/>
      </c>
      <c r="B104" s="4" t="n"/>
      <c r="C104" s="5">
        <f>IF(B104="","",IFERROR(INDEX(EqTypeCol,MATCH(B104,EqTag,0)),"Tag not in register"))</f>
        <v/>
      </c>
      <c r="D104" s="4" t="n"/>
      <c r="E104" s="4" t="n"/>
      <c r="F104" s="4" t="n"/>
      <c r="G104" s="4" t="n"/>
      <c r="H104" s="4" t="n"/>
      <c r="I104" s="4" t="n"/>
      <c r="J104" s="5">
        <f>_xlfn.TEXTJOIN(CHAR(10),TRUE,IF(G104="","","• "&amp;G104),IF(H104="","","• "&amp;H104),IF(I104="","","• "&amp;I104))</f>
        <v/>
      </c>
      <c r="K104" s="4" t="n"/>
      <c r="L104" s="4" t="n"/>
      <c r="M104" s="4" t="n"/>
      <c r="N104" s="16" t="n"/>
      <c r="O104" s="4" t="n"/>
      <c r="P104" s="16" t="n"/>
      <c r="Q104" s="4" t="n"/>
      <c r="R104" s="16" t="n"/>
      <c r="S104" s="20">
        <f>IF(OR(N104="",P104="",R104=""),"",(--TRIM(LEFT(N104,2)))*(--TRIM(LEFT(P104,2)))*(--TRIM(LEFT(R104,2))))</f>
        <v/>
      </c>
      <c r="T104" s="20">
        <f>IF(OR(N104="",P104="",R104=""),"",INDEX(APGrid,COUNTIF(APS,"&gt;"&amp;(--TRIM(LEFT(N104,2))))*5+COUNTIF(APO,"&gt;"&amp;(--TRIM(LEFT(P104,2))))+1,COUNTIF(APD,"&gt;"&amp;(--TRIM(LEFT(R104,2))))+1))</f>
        <v/>
      </c>
      <c r="U104" s="20">
        <f>IF(S104="","",IF(OR((--TRIM(LEFT(N104,2)))&gt;=SThr,S104&gt;=RPNThr,T104="H"),"Yes","No"))</f>
        <v/>
      </c>
      <c r="V104" s="4" t="n"/>
      <c r="W104" s="4" t="n"/>
      <c r="X104" s="4" t="n"/>
      <c r="Y104" s="29" t="n"/>
      <c r="Z104" s="16" t="n"/>
      <c r="AA104" s="16" t="n"/>
      <c r="AB104" s="16" t="n"/>
      <c r="AC104" s="20">
        <f>IF(OR(Z104="",AA104="",AB104=""),"",(--TRIM(LEFT(Z104,2)))*(--TRIM(LEFT(AA104,2)))*(--TRIM(LEFT(AB104,2))))</f>
        <v/>
      </c>
      <c r="AD104" s="20">
        <f>IF(OR(Z104="",AA104="",AB104=""),"",INDEX(APGrid,COUNTIF(APS,"&gt;"&amp;(--TRIM(LEFT(Z104,2))))*5+COUNTIF(APO,"&gt;"&amp;(--TRIM(LEFT(AA104,2))))+1,COUNTIF(APD,"&gt;"&amp;(--TRIM(LEFT(AB104,2))))+1))</f>
        <v/>
      </c>
      <c r="AE104" s="4" t="n"/>
      <c r="AF104" s="4" t="n"/>
      <c r="AH104">
        <f>IFERROR(INDEX(EqTag,_xlfn.AGGREGATE(15,6,(ROW(EqTag)-4)/((EqSys=$D$3)*(EqTag&lt;&gt;"")),ROWS($AH$14:AH104))),"")</f>
        <v/>
      </c>
    </row>
    <row r="105">
      <c r="A105" s="20">
        <f>IF(F105="","",LEFT($D$3,3)&amp;"-"&amp;TEXT(COUNTIF(F$14:F105,"?*"),"00"))</f>
        <v/>
      </c>
      <c r="B105" s="4" t="n"/>
      <c r="C105" s="5">
        <f>IF(B105="","",IFERROR(INDEX(EqTypeCol,MATCH(B105,EqTag,0)),"Tag not in register"))</f>
        <v/>
      </c>
      <c r="D105" s="4" t="n"/>
      <c r="E105" s="4" t="n"/>
      <c r="F105" s="4" t="n"/>
      <c r="G105" s="4" t="n"/>
      <c r="H105" s="4" t="n"/>
      <c r="I105" s="4" t="n"/>
      <c r="J105" s="5">
        <f>_xlfn.TEXTJOIN(CHAR(10),TRUE,IF(G105="","","• "&amp;G105),IF(H105="","","• "&amp;H105),IF(I105="","","• "&amp;I105))</f>
        <v/>
      </c>
      <c r="K105" s="4" t="n"/>
      <c r="L105" s="4" t="n"/>
      <c r="M105" s="4" t="n"/>
      <c r="N105" s="16" t="n"/>
      <c r="O105" s="4" t="n"/>
      <c r="P105" s="16" t="n"/>
      <c r="Q105" s="4" t="n"/>
      <c r="R105" s="16" t="n"/>
      <c r="S105" s="20">
        <f>IF(OR(N105="",P105="",R105=""),"",(--TRIM(LEFT(N105,2)))*(--TRIM(LEFT(P105,2)))*(--TRIM(LEFT(R105,2))))</f>
        <v/>
      </c>
      <c r="T105" s="20">
        <f>IF(OR(N105="",P105="",R105=""),"",INDEX(APGrid,COUNTIF(APS,"&gt;"&amp;(--TRIM(LEFT(N105,2))))*5+COUNTIF(APO,"&gt;"&amp;(--TRIM(LEFT(P105,2))))+1,COUNTIF(APD,"&gt;"&amp;(--TRIM(LEFT(R105,2))))+1))</f>
        <v/>
      </c>
      <c r="U105" s="20">
        <f>IF(S105="","",IF(OR((--TRIM(LEFT(N105,2)))&gt;=SThr,S105&gt;=RPNThr,T105="H"),"Yes","No"))</f>
        <v/>
      </c>
      <c r="V105" s="4" t="n"/>
      <c r="W105" s="4" t="n"/>
      <c r="X105" s="4" t="n"/>
      <c r="Y105" s="29" t="n"/>
      <c r="Z105" s="16" t="n"/>
      <c r="AA105" s="16" t="n"/>
      <c r="AB105" s="16" t="n"/>
      <c r="AC105" s="20">
        <f>IF(OR(Z105="",AA105="",AB105=""),"",(--TRIM(LEFT(Z105,2)))*(--TRIM(LEFT(AA105,2)))*(--TRIM(LEFT(AB105,2))))</f>
        <v/>
      </c>
      <c r="AD105" s="20">
        <f>IF(OR(Z105="",AA105="",AB105=""),"",INDEX(APGrid,COUNTIF(APS,"&gt;"&amp;(--TRIM(LEFT(Z105,2))))*5+COUNTIF(APO,"&gt;"&amp;(--TRIM(LEFT(AA105,2))))+1,COUNTIF(APD,"&gt;"&amp;(--TRIM(LEFT(AB105,2))))+1))</f>
        <v/>
      </c>
      <c r="AE105" s="4" t="n"/>
      <c r="AF105" s="4" t="n"/>
      <c r="AH105">
        <f>IFERROR(INDEX(EqTag,_xlfn.AGGREGATE(15,6,(ROW(EqTag)-4)/((EqSys=$D$3)*(EqTag&lt;&gt;"")),ROWS($AH$14:AH105))),"")</f>
        <v/>
      </c>
    </row>
    <row r="106">
      <c r="A106" s="20">
        <f>IF(F106="","",LEFT($D$3,3)&amp;"-"&amp;TEXT(COUNTIF(F$14:F106,"?*"),"00"))</f>
        <v/>
      </c>
      <c r="B106" s="4" t="n"/>
      <c r="C106" s="5">
        <f>IF(B106="","",IFERROR(INDEX(EqTypeCol,MATCH(B106,EqTag,0)),"Tag not in register"))</f>
        <v/>
      </c>
      <c r="D106" s="4" t="n"/>
      <c r="E106" s="4" t="n"/>
      <c r="F106" s="4" t="n"/>
      <c r="G106" s="4" t="n"/>
      <c r="H106" s="4" t="n"/>
      <c r="I106" s="4" t="n"/>
      <c r="J106" s="5">
        <f>_xlfn.TEXTJOIN(CHAR(10),TRUE,IF(G106="","","• "&amp;G106),IF(H106="","","• "&amp;H106),IF(I106="","","• "&amp;I106))</f>
        <v/>
      </c>
      <c r="K106" s="4" t="n"/>
      <c r="L106" s="4" t="n"/>
      <c r="M106" s="4" t="n"/>
      <c r="N106" s="16" t="n"/>
      <c r="O106" s="4" t="n"/>
      <c r="P106" s="16" t="n"/>
      <c r="Q106" s="4" t="n"/>
      <c r="R106" s="16" t="n"/>
      <c r="S106" s="20">
        <f>IF(OR(N106="",P106="",R106=""),"",(--TRIM(LEFT(N106,2)))*(--TRIM(LEFT(P106,2)))*(--TRIM(LEFT(R106,2))))</f>
        <v/>
      </c>
      <c r="T106" s="20">
        <f>IF(OR(N106="",P106="",R106=""),"",INDEX(APGrid,COUNTIF(APS,"&gt;"&amp;(--TRIM(LEFT(N106,2))))*5+COUNTIF(APO,"&gt;"&amp;(--TRIM(LEFT(P106,2))))+1,COUNTIF(APD,"&gt;"&amp;(--TRIM(LEFT(R106,2))))+1))</f>
        <v/>
      </c>
      <c r="U106" s="20">
        <f>IF(S106="","",IF(OR((--TRIM(LEFT(N106,2)))&gt;=SThr,S106&gt;=RPNThr,T106="H"),"Yes","No"))</f>
        <v/>
      </c>
      <c r="V106" s="4" t="n"/>
      <c r="W106" s="4" t="n"/>
      <c r="X106" s="4" t="n"/>
      <c r="Y106" s="29" t="n"/>
      <c r="Z106" s="16" t="n"/>
      <c r="AA106" s="16" t="n"/>
      <c r="AB106" s="16" t="n"/>
      <c r="AC106" s="20">
        <f>IF(OR(Z106="",AA106="",AB106=""),"",(--TRIM(LEFT(Z106,2)))*(--TRIM(LEFT(AA106,2)))*(--TRIM(LEFT(AB106,2))))</f>
        <v/>
      </c>
      <c r="AD106" s="20">
        <f>IF(OR(Z106="",AA106="",AB106=""),"",INDEX(APGrid,COUNTIF(APS,"&gt;"&amp;(--TRIM(LEFT(Z106,2))))*5+COUNTIF(APO,"&gt;"&amp;(--TRIM(LEFT(AA106,2))))+1,COUNTIF(APD,"&gt;"&amp;(--TRIM(LEFT(AB106,2))))+1))</f>
        <v/>
      </c>
      <c r="AE106" s="4" t="n"/>
      <c r="AF106" s="4" t="n"/>
      <c r="AH106">
        <f>IFERROR(INDEX(EqTag,_xlfn.AGGREGATE(15,6,(ROW(EqTag)-4)/((EqSys=$D$3)*(EqTag&lt;&gt;"")),ROWS($AH$14:AH106))),"")</f>
        <v/>
      </c>
    </row>
    <row r="107">
      <c r="A107" s="20">
        <f>IF(F107="","",LEFT($D$3,3)&amp;"-"&amp;TEXT(COUNTIF(F$14:F107,"?*"),"00"))</f>
        <v/>
      </c>
      <c r="B107" s="4" t="n"/>
      <c r="C107" s="5">
        <f>IF(B107="","",IFERROR(INDEX(EqTypeCol,MATCH(B107,EqTag,0)),"Tag not in register"))</f>
        <v/>
      </c>
      <c r="D107" s="4" t="n"/>
      <c r="E107" s="4" t="n"/>
      <c r="F107" s="4" t="n"/>
      <c r="G107" s="4" t="n"/>
      <c r="H107" s="4" t="n"/>
      <c r="I107" s="4" t="n"/>
      <c r="J107" s="5">
        <f>_xlfn.TEXTJOIN(CHAR(10),TRUE,IF(G107="","","• "&amp;G107),IF(H107="","","• "&amp;H107),IF(I107="","","• "&amp;I107))</f>
        <v/>
      </c>
      <c r="K107" s="4" t="n"/>
      <c r="L107" s="4" t="n"/>
      <c r="M107" s="4" t="n"/>
      <c r="N107" s="16" t="n"/>
      <c r="O107" s="4" t="n"/>
      <c r="P107" s="16" t="n"/>
      <c r="Q107" s="4" t="n"/>
      <c r="R107" s="16" t="n"/>
      <c r="S107" s="20">
        <f>IF(OR(N107="",P107="",R107=""),"",(--TRIM(LEFT(N107,2)))*(--TRIM(LEFT(P107,2)))*(--TRIM(LEFT(R107,2))))</f>
        <v/>
      </c>
      <c r="T107" s="20">
        <f>IF(OR(N107="",P107="",R107=""),"",INDEX(APGrid,COUNTIF(APS,"&gt;"&amp;(--TRIM(LEFT(N107,2))))*5+COUNTIF(APO,"&gt;"&amp;(--TRIM(LEFT(P107,2))))+1,COUNTIF(APD,"&gt;"&amp;(--TRIM(LEFT(R107,2))))+1))</f>
        <v/>
      </c>
      <c r="U107" s="20">
        <f>IF(S107="","",IF(OR((--TRIM(LEFT(N107,2)))&gt;=SThr,S107&gt;=RPNThr,T107="H"),"Yes","No"))</f>
        <v/>
      </c>
      <c r="V107" s="4" t="n"/>
      <c r="W107" s="4" t="n"/>
      <c r="X107" s="4" t="n"/>
      <c r="Y107" s="29" t="n"/>
      <c r="Z107" s="16" t="n"/>
      <c r="AA107" s="16" t="n"/>
      <c r="AB107" s="16" t="n"/>
      <c r="AC107" s="20">
        <f>IF(OR(Z107="",AA107="",AB107=""),"",(--TRIM(LEFT(Z107,2)))*(--TRIM(LEFT(AA107,2)))*(--TRIM(LEFT(AB107,2))))</f>
        <v/>
      </c>
      <c r="AD107" s="20">
        <f>IF(OR(Z107="",AA107="",AB107=""),"",INDEX(APGrid,COUNTIF(APS,"&gt;"&amp;(--TRIM(LEFT(Z107,2))))*5+COUNTIF(APO,"&gt;"&amp;(--TRIM(LEFT(AA107,2))))+1,COUNTIF(APD,"&gt;"&amp;(--TRIM(LEFT(AB107,2))))+1))</f>
        <v/>
      </c>
      <c r="AE107" s="4" t="n"/>
      <c r="AF107" s="4" t="n"/>
      <c r="AH107">
        <f>IFERROR(INDEX(EqTag,_xlfn.AGGREGATE(15,6,(ROW(EqTag)-4)/((EqSys=$D$3)*(EqTag&lt;&gt;"")),ROWS($AH$14:AH107))),"")</f>
        <v/>
      </c>
    </row>
    <row r="108">
      <c r="A108" s="20">
        <f>IF(F108="","",LEFT($D$3,3)&amp;"-"&amp;TEXT(COUNTIF(F$14:F108,"?*"),"00"))</f>
        <v/>
      </c>
      <c r="B108" s="4" t="n"/>
      <c r="C108" s="5">
        <f>IF(B108="","",IFERROR(INDEX(EqTypeCol,MATCH(B108,EqTag,0)),"Tag not in register"))</f>
        <v/>
      </c>
      <c r="D108" s="4" t="n"/>
      <c r="E108" s="4" t="n"/>
      <c r="F108" s="4" t="n"/>
      <c r="G108" s="4" t="n"/>
      <c r="H108" s="4" t="n"/>
      <c r="I108" s="4" t="n"/>
      <c r="J108" s="5">
        <f>_xlfn.TEXTJOIN(CHAR(10),TRUE,IF(G108="","","• "&amp;G108),IF(H108="","","• "&amp;H108),IF(I108="","","• "&amp;I108))</f>
        <v/>
      </c>
      <c r="K108" s="4" t="n"/>
      <c r="L108" s="4" t="n"/>
      <c r="M108" s="4" t="n"/>
      <c r="N108" s="16" t="n"/>
      <c r="O108" s="4" t="n"/>
      <c r="P108" s="16" t="n"/>
      <c r="Q108" s="4" t="n"/>
      <c r="R108" s="16" t="n"/>
      <c r="S108" s="20">
        <f>IF(OR(N108="",P108="",R108=""),"",(--TRIM(LEFT(N108,2)))*(--TRIM(LEFT(P108,2)))*(--TRIM(LEFT(R108,2))))</f>
        <v/>
      </c>
      <c r="T108" s="20">
        <f>IF(OR(N108="",P108="",R108=""),"",INDEX(APGrid,COUNTIF(APS,"&gt;"&amp;(--TRIM(LEFT(N108,2))))*5+COUNTIF(APO,"&gt;"&amp;(--TRIM(LEFT(P108,2))))+1,COUNTIF(APD,"&gt;"&amp;(--TRIM(LEFT(R108,2))))+1))</f>
        <v/>
      </c>
      <c r="U108" s="20">
        <f>IF(S108="","",IF(OR((--TRIM(LEFT(N108,2)))&gt;=SThr,S108&gt;=RPNThr,T108="H"),"Yes","No"))</f>
        <v/>
      </c>
      <c r="V108" s="4" t="n"/>
      <c r="W108" s="4" t="n"/>
      <c r="X108" s="4" t="n"/>
      <c r="Y108" s="29" t="n"/>
      <c r="Z108" s="16" t="n"/>
      <c r="AA108" s="16" t="n"/>
      <c r="AB108" s="16" t="n"/>
      <c r="AC108" s="20">
        <f>IF(OR(Z108="",AA108="",AB108=""),"",(--TRIM(LEFT(Z108,2)))*(--TRIM(LEFT(AA108,2)))*(--TRIM(LEFT(AB108,2))))</f>
        <v/>
      </c>
      <c r="AD108" s="20">
        <f>IF(OR(Z108="",AA108="",AB108=""),"",INDEX(APGrid,COUNTIF(APS,"&gt;"&amp;(--TRIM(LEFT(Z108,2))))*5+COUNTIF(APO,"&gt;"&amp;(--TRIM(LEFT(AA108,2))))+1,COUNTIF(APD,"&gt;"&amp;(--TRIM(LEFT(AB108,2))))+1))</f>
        <v/>
      </c>
      <c r="AE108" s="4" t="n"/>
      <c r="AF108" s="4" t="n"/>
      <c r="AH108">
        <f>IFERROR(INDEX(EqTag,_xlfn.AGGREGATE(15,6,(ROW(EqTag)-4)/((EqSys=$D$3)*(EqTag&lt;&gt;"")),ROWS($AH$14:AH108))),"")</f>
        <v/>
      </c>
    </row>
    <row r="109">
      <c r="A109" s="20">
        <f>IF(F109="","",LEFT($D$3,3)&amp;"-"&amp;TEXT(COUNTIF(F$14:F109,"?*"),"00"))</f>
        <v/>
      </c>
      <c r="B109" s="4" t="n"/>
      <c r="C109" s="5">
        <f>IF(B109="","",IFERROR(INDEX(EqTypeCol,MATCH(B109,EqTag,0)),"Tag not in register"))</f>
        <v/>
      </c>
      <c r="D109" s="4" t="n"/>
      <c r="E109" s="4" t="n"/>
      <c r="F109" s="4" t="n"/>
      <c r="G109" s="4" t="n"/>
      <c r="H109" s="4" t="n"/>
      <c r="I109" s="4" t="n"/>
      <c r="J109" s="5">
        <f>_xlfn.TEXTJOIN(CHAR(10),TRUE,IF(G109="","","• "&amp;G109),IF(H109="","","• "&amp;H109),IF(I109="","","• "&amp;I109))</f>
        <v/>
      </c>
      <c r="K109" s="4" t="n"/>
      <c r="L109" s="4" t="n"/>
      <c r="M109" s="4" t="n"/>
      <c r="N109" s="16" t="n"/>
      <c r="O109" s="4" t="n"/>
      <c r="P109" s="16" t="n"/>
      <c r="Q109" s="4" t="n"/>
      <c r="R109" s="16" t="n"/>
      <c r="S109" s="20">
        <f>IF(OR(N109="",P109="",R109=""),"",(--TRIM(LEFT(N109,2)))*(--TRIM(LEFT(P109,2)))*(--TRIM(LEFT(R109,2))))</f>
        <v/>
      </c>
      <c r="T109" s="20">
        <f>IF(OR(N109="",P109="",R109=""),"",INDEX(APGrid,COUNTIF(APS,"&gt;"&amp;(--TRIM(LEFT(N109,2))))*5+COUNTIF(APO,"&gt;"&amp;(--TRIM(LEFT(P109,2))))+1,COUNTIF(APD,"&gt;"&amp;(--TRIM(LEFT(R109,2))))+1))</f>
        <v/>
      </c>
      <c r="U109" s="20">
        <f>IF(S109="","",IF(OR((--TRIM(LEFT(N109,2)))&gt;=SThr,S109&gt;=RPNThr,T109="H"),"Yes","No"))</f>
        <v/>
      </c>
      <c r="V109" s="4" t="n"/>
      <c r="W109" s="4" t="n"/>
      <c r="X109" s="4" t="n"/>
      <c r="Y109" s="29" t="n"/>
      <c r="Z109" s="16" t="n"/>
      <c r="AA109" s="16" t="n"/>
      <c r="AB109" s="16" t="n"/>
      <c r="AC109" s="20">
        <f>IF(OR(Z109="",AA109="",AB109=""),"",(--TRIM(LEFT(Z109,2)))*(--TRIM(LEFT(AA109,2)))*(--TRIM(LEFT(AB109,2))))</f>
        <v/>
      </c>
      <c r="AD109" s="20">
        <f>IF(OR(Z109="",AA109="",AB109=""),"",INDEX(APGrid,COUNTIF(APS,"&gt;"&amp;(--TRIM(LEFT(Z109,2))))*5+COUNTIF(APO,"&gt;"&amp;(--TRIM(LEFT(AA109,2))))+1,COUNTIF(APD,"&gt;"&amp;(--TRIM(LEFT(AB109,2))))+1))</f>
        <v/>
      </c>
      <c r="AE109" s="4" t="n"/>
      <c r="AF109" s="4" t="n"/>
      <c r="AH109">
        <f>IFERROR(INDEX(EqTag,_xlfn.AGGREGATE(15,6,(ROW(EqTag)-4)/((EqSys=$D$3)*(EqTag&lt;&gt;"")),ROWS($AH$14:AH109))),"")</f>
        <v/>
      </c>
    </row>
    <row r="110">
      <c r="A110" s="20">
        <f>IF(F110="","",LEFT($D$3,3)&amp;"-"&amp;TEXT(COUNTIF(F$14:F110,"?*"),"00"))</f>
        <v/>
      </c>
      <c r="B110" s="4" t="n"/>
      <c r="C110" s="5">
        <f>IF(B110="","",IFERROR(INDEX(EqTypeCol,MATCH(B110,EqTag,0)),"Tag not in register"))</f>
        <v/>
      </c>
      <c r="D110" s="4" t="n"/>
      <c r="E110" s="4" t="n"/>
      <c r="F110" s="4" t="n"/>
      <c r="G110" s="4" t="n"/>
      <c r="H110" s="4" t="n"/>
      <c r="I110" s="4" t="n"/>
      <c r="J110" s="5">
        <f>_xlfn.TEXTJOIN(CHAR(10),TRUE,IF(G110="","","• "&amp;G110),IF(H110="","","• "&amp;H110),IF(I110="","","• "&amp;I110))</f>
        <v/>
      </c>
      <c r="K110" s="4" t="n"/>
      <c r="L110" s="4" t="n"/>
      <c r="M110" s="4" t="n"/>
      <c r="N110" s="16" t="n"/>
      <c r="O110" s="4" t="n"/>
      <c r="P110" s="16" t="n"/>
      <c r="Q110" s="4" t="n"/>
      <c r="R110" s="16" t="n"/>
      <c r="S110" s="20">
        <f>IF(OR(N110="",P110="",R110=""),"",(--TRIM(LEFT(N110,2)))*(--TRIM(LEFT(P110,2)))*(--TRIM(LEFT(R110,2))))</f>
        <v/>
      </c>
      <c r="T110" s="20">
        <f>IF(OR(N110="",P110="",R110=""),"",INDEX(APGrid,COUNTIF(APS,"&gt;"&amp;(--TRIM(LEFT(N110,2))))*5+COUNTIF(APO,"&gt;"&amp;(--TRIM(LEFT(P110,2))))+1,COUNTIF(APD,"&gt;"&amp;(--TRIM(LEFT(R110,2))))+1))</f>
        <v/>
      </c>
      <c r="U110" s="20">
        <f>IF(S110="","",IF(OR((--TRIM(LEFT(N110,2)))&gt;=SThr,S110&gt;=RPNThr,T110="H"),"Yes","No"))</f>
        <v/>
      </c>
      <c r="V110" s="4" t="n"/>
      <c r="W110" s="4" t="n"/>
      <c r="X110" s="4" t="n"/>
      <c r="Y110" s="29" t="n"/>
      <c r="Z110" s="16" t="n"/>
      <c r="AA110" s="16" t="n"/>
      <c r="AB110" s="16" t="n"/>
      <c r="AC110" s="20">
        <f>IF(OR(Z110="",AA110="",AB110=""),"",(--TRIM(LEFT(Z110,2)))*(--TRIM(LEFT(AA110,2)))*(--TRIM(LEFT(AB110,2))))</f>
        <v/>
      </c>
      <c r="AD110" s="20">
        <f>IF(OR(Z110="",AA110="",AB110=""),"",INDEX(APGrid,COUNTIF(APS,"&gt;"&amp;(--TRIM(LEFT(Z110,2))))*5+COUNTIF(APO,"&gt;"&amp;(--TRIM(LEFT(AA110,2))))+1,COUNTIF(APD,"&gt;"&amp;(--TRIM(LEFT(AB110,2))))+1))</f>
        <v/>
      </c>
      <c r="AE110" s="4" t="n"/>
      <c r="AF110" s="4" t="n"/>
      <c r="AH110">
        <f>IFERROR(INDEX(EqTag,_xlfn.AGGREGATE(15,6,(ROW(EqTag)-4)/((EqSys=$D$3)*(EqTag&lt;&gt;"")),ROWS($AH$14:AH110))),"")</f>
        <v/>
      </c>
    </row>
    <row r="111">
      <c r="A111" s="20">
        <f>IF(F111="","",LEFT($D$3,3)&amp;"-"&amp;TEXT(COUNTIF(F$14:F111,"?*"),"00"))</f>
        <v/>
      </c>
      <c r="B111" s="4" t="n"/>
      <c r="C111" s="5">
        <f>IF(B111="","",IFERROR(INDEX(EqTypeCol,MATCH(B111,EqTag,0)),"Tag not in register"))</f>
        <v/>
      </c>
      <c r="D111" s="4" t="n"/>
      <c r="E111" s="4" t="n"/>
      <c r="F111" s="4" t="n"/>
      <c r="G111" s="4" t="n"/>
      <c r="H111" s="4" t="n"/>
      <c r="I111" s="4" t="n"/>
      <c r="J111" s="5">
        <f>_xlfn.TEXTJOIN(CHAR(10),TRUE,IF(G111="","","• "&amp;G111),IF(H111="","","• "&amp;H111),IF(I111="","","• "&amp;I111))</f>
        <v/>
      </c>
      <c r="K111" s="4" t="n"/>
      <c r="L111" s="4" t="n"/>
      <c r="M111" s="4" t="n"/>
      <c r="N111" s="16" t="n"/>
      <c r="O111" s="4" t="n"/>
      <c r="P111" s="16" t="n"/>
      <c r="Q111" s="4" t="n"/>
      <c r="R111" s="16" t="n"/>
      <c r="S111" s="20">
        <f>IF(OR(N111="",P111="",R111=""),"",(--TRIM(LEFT(N111,2)))*(--TRIM(LEFT(P111,2)))*(--TRIM(LEFT(R111,2))))</f>
        <v/>
      </c>
      <c r="T111" s="20">
        <f>IF(OR(N111="",P111="",R111=""),"",INDEX(APGrid,COUNTIF(APS,"&gt;"&amp;(--TRIM(LEFT(N111,2))))*5+COUNTIF(APO,"&gt;"&amp;(--TRIM(LEFT(P111,2))))+1,COUNTIF(APD,"&gt;"&amp;(--TRIM(LEFT(R111,2))))+1))</f>
        <v/>
      </c>
      <c r="U111" s="20">
        <f>IF(S111="","",IF(OR((--TRIM(LEFT(N111,2)))&gt;=SThr,S111&gt;=RPNThr,T111="H"),"Yes","No"))</f>
        <v/>
      </c>
      <c r="V111" s="4" t="n"/>
      <c r="W111" s="4" t="n"/>
      <c r="X111" s="4" t="n"/>
      <c r="Y111" s="29" t="n"/>
      <c r="Z111" s="16" t="n"/>
      <c r="AA111" s="16" t="n"/>
      <c r="AB111" s="16" t="n"/>
      <c r="AC111" s="20">
        <f>IF(OR(Z111="",AA111="",AB111=""),"",(--TRIM(LEFT(Z111,2)))*(--TRIM(LEFT(AA111,2)))*(--TRIM(LEFT(AB111,2))))</f>
        <v/>
      </c>
      <c r="AD111" s="20">
        <f>IF(OR(Z111="",AA111="",AB111=""),"",INDEX(APGrid,COUNTIF(APS,"&gt;"&amp;(--TRIM(LEFT(Z111,2))))*5+COUNTIF(APO,"&gt;"&amp;(--TRIM(LEFT(AA111,2))))+1,COUNTIF(APD,"&gt;"&amp;(--TRIM(LEFT(AB111,2))))+1))</f>
        <v/>
      </c>
      <c r="AE111" s="4" t="n"/>
      <c r="AF111" s="4" t="n"/>
      <c r="AH111">
        <f>IFERROR(INDEX(EqTag,_xlfn.AGGREGATE(15,6,(ROW(EqTag)-4)/((EqSys=$D$3)*(EqTag&lt;&gt;"")),ROWS($AH$14:AH111))),"")</f>
        <v/>
      </c>
    </row>
    <row r="112">
      <c r="A112" s="20">
        <f>IF(F112="","",LEFT($D$3,3)&amp;"-"&amp;TEXT(COUNTIF(F$14:F112,"?*"),"00"))</f>
        <v/>
      </c>
      <c r="B112" s="4" t="n"/>
      <c r="C112" s="5">
        <f>IF(B112="","",IFERROR(INDEX(EqTypeCol,MATCH(B112,EqTag,0)),"Tag not in register"))</f>
        <v/>
      </c>
      <c r="D112" s="4" t="n"/>
      <c r="E112" s="4" t="n"/>
      <c r="F112" s="4" t="n"/>
      <c r="G112" s="4" t="n"/>
      <c r="H112" s="4" t="n"/>
      <c r="I112" s="4" t="n"/>
      <c r="J112" s="5">
        <f>_xlfn.TEXTJOIN(CHAR(10),TRUE,IF(G112="","","• "&amp;G112),IF(H112="","","• "&amp;H112),IF(I112="","","• "&amp;I112))</f>
        <v/>
      </c>
      <c r="K112" s="4" t="n"/>
      <c r="L112" s="4" t="n"/>
      <c r="M112" s="4" t="n"/>
      <c r="N112" s="16" t="n"/>
      <c r="O112" s="4" t="n"/>
      <c r="P112" s="16" t="n"/>
      <c r="Q112" s="4" t="n"/>
      <c r="R112" s="16" t="n"/>
      <c r="S112" s="20">
        <f>IF(OR(N112="",P112="",R112=""),"",(--TRIM(LEFT(N112,2)))*(--TRIM(LEFT(P112,2)))*(--TRIM(LEFT(R112,2))))</f>
        <v/>
      </c>
      <c r="T112" s="20">
        <f>IF(OR(N112="",P112="",R112=""),"",INDEX(APGrid,COUNTIF(APS,"&gt;"&amp;(--TRIM(LEFT(N112,2))))*5+COUNTIF(APO,"&gt;"&amp;(--TRIM(LEFT(P112,2))))+1,COUNTIF(APD,"&gt;"&amp;(--TRIM(LEFT(R112,2))))+1))</f>
        <v/>
      </c>
      <c r="U112" s="20">
        <f>IF(S112="","",IF(OR((--TRIM(LEFT(N112,2)))&gt;=SThr,S112&gt;=RPNThr,T112="H"),"Yes","No"))</f>
        <v/>
      </c>
      <c r="V112" s="4" t="n"/>
      <c r="W112" s="4" t="n"/>
      <c r="X112" s="4" t="n"/>
      <c r="Y112" s="29" t="n"/>
      <c r="Z112" s="16" t="n"/>
      <c r="AA112" s="16" t="n"/>
      <c r="AB112" s="16" t="n"/>
      <c r="AC112" s="20">
        <f>IF(OR(Z112="",AA112="",AB112=""),"",(--TRIM(LEFT(Z112,2)))*(--TRIM(LEFT(AA112,2)))*(--TRIM(LEFT(AB112,2))))</f>
        <v/>
      </c>
      <c r="AD112" s="20">
        <f>IF(OR(Z112="",AA112="",AB112=""),"",INDEX(APGrid,COUNTIF(APS,"&gt;"&amp;(--TRIM(LEFT(Z112,2))))*5+COUNTIF(APO,"&gt;"&amp;(--TRIM(LEFT(AA112,2))))+1,COUNTIF(APD,"&gt;"&amp;(--TRIM(LEFT(AB112,2))))+1))</f>
        <v/>
      </c>
      <c r="AE112" s="4" t="n"/>
      <c r="AF112" s="4" t="n"/>
      <c r="AH112">
        <f>IFERROR(INDEX(EqTag,_xlfn.AGGREGATE(15,6,(ROW(EqTag)-4)/((EqSys=$D$3)*(EqTag&lt;&gt;"")),ROWS($AH$14:AH112))),"")</f>
        <v/>
      </c>
    </row>
    <row r="113">
      <c r="A113" s="20">
        <f>IF(F113="","",LEFT($D$3,3)&amp;"-"&amp;TEXT(COUNTIF(F$14:F113,"?*"),"00"))</f>
        <v/>
      </c>
      <c r="B113" s="4" t="n"/>
      <c r="C113" s="5">
        <f>IF(B113="","",IFERROR(INDEX(EqTypeCol,MATCH(B113,EqTag,0)),"Tag not in register"))</f>
        <v/>
      </c>
      <c r="D113" s="4" t="n"/>
      <c r="E113" s="4" t="n"/>
      <c r="F113" s="4" t="n"/>
      <c r="G113" s="4" t="n"/>
      <c r="H113" s="4" t="n"/>
      <c r="I113" s="4" t="n"/>
      <c r="J113" s="5">
        <f>_xlfn.TEXTJOIN(CHAR(10),TRUE,IF(G113="","","• "&amp;G113),IF(H113="","","• "&amp;H113),IF(I113="","","• "&amp;I113))</f>
        <v/>
      </c>
      <c r="K113" s="4" t="n"/>
      <c r="L113" s="4" t="n"/>
      <c r="M113" s="4" t="n"/>
      <c r="N113" s="16" t="n"/>
      <c r="O113" s="4" t="n"/>
      <c r="P113" s="16" t="n"/>
      <c r="Q113" s="4" t="n"/>
      <c r="R113" s="16" t="n"/>
      <c r="S113" s="20">
        <f>IF(OR(N113="",P113="",R113=""),"",(--TRIM(LEFT(N113,2)))*(--TRIM(LEFT(P113,2)))*(--TRIM(LEFT(R113,2))))</f>
        <v/>
      </c>
      <c r="T113" s="20">
        <f>IF(OR(N113="",P113="",R113=""),"",INDEX(APGrid,COUNTIF(APS,"&gt;"&amp;(--TRIM(LEFT(N113,2))))*5+COUNTIF(APO,"&gt;"&amp;(--TRIM(LEFT(P113,2))))+1,COUNTIF(APD,"&gt;"&amp;(--TRIM(LEFT(R113,2))))+1))</f>
        <v/>
      </c>
      <c r="U113" s="20">
        <f>IF(S113="","",IF(OR((--TRIM(LEFT(N113,2)))&gt;=SThr,S113&gt;=RPNThr,T113="H"),"Yes","No"))</f>
        <v/>
      </c>
      <c r="V113" s="4" t="n"/>
      <c r="W113" s="4" t="n"/>
      <c r="X113" s="4" t="n"/>
      <c r="Y113" s="29" t="n"/>
      <c r="Z113" s="16" t="n"/>
      <c r="AA113" s="16" t="n"/>
      <c r="AB113" s="16" t="n"/>
      <c r="AC113" s="20">
        <f>IF(OR(Z113="",AA113="",AB113=""),"",(--TRIM(LEFT(Z113,2)))*(--TRIM(LEFT(AA113,2)))*(--TRIM(LEFT(AB113,2))))</f>
        <v/>
      </c>
      <c r="AD113" s="20">
        <f>IF(OR(Z113="",AA113="",AB113=""),"",INDEX(APGrid,COUNTIF(APS,"&gt;"&amp;(--TRIM(LEFT(Z113,2))))*5+COUNTIF(APO,"&gt;"&amp;(--TRIM(LEFT(AA113,2))))+1,COUNTIF(APD,"&gt;"&amp;(--TRIM(LEFT(AB113,2))))+1))</f>
        <v/>
      </c>
      <c r="AE113" s="4" t="n"/>
      <c r="AF113" s="4" t="n"/>
      <c r="AH113">
        <f>IFERROR(INDEX(EqTag,_xlfn.AGGREGATE(15,6,(ROW(EqTag)-4)/((EqSys=$D$3)*(EqTag&lt;&gt;"")),ROWS($AH$14:AH113))),"")</f>
        <v/>
      </c>
    </row>
  </sheetData>
  <mergeCells count="23">
    <mergeCell ref="D3:J3"/>
    <mergeCell ref="J12:M12"/>
    <mergeCell ref="A3:C3"/>
    <mergeCell ref="A11:N11"/>
    <mergeCell ref="A12:F12"/>
    <mergeCell ref="L3:M3"/>
    <mergeCell ref="AE12:AF12"/>
    <mergeCell ref="D6:N6"/>
    <mergeCell ref="A5:C5"/>
    <mergeCell ref="N12:U12"/>
    <mergeCell ref="A8:C8"/>
    <mergeCell ref="V12:Y12"/>
    <mergeCell ref="A4:C4"/>
    <mergeCell ref="Z12:AD12"/>
    <mergeCell ref="D7:N7"/>
    <mergeCell ref="A9:C9"/>
    <mergeCell ref="G12:I12"/>
    <mergeCell ref="D4:N4"/>
    <mergeCell ref="D9:N9"/>
    <mergeCell ref="D8:N8"/>
    <mergeCell ref="A6:C6"/>
    <mergeCell ref="D5:N5"/>
    <mergeCell ref="A7:C7"/>
  </mergeCells>
  <conditionalFormatting sqref="T14:T113">
    <cfRule type="expression" priority="1" dxfId="0">
      <formula>T14="H"</formula>
    </cfRule>
    <cfRule type="expression" priority="3" dxfId="1">
      <formula>T14="M"</formula>
    </cfRule>
    <cfRule type="expression" priority="5" dxfId="2">
      <formula>T14="L"</formula>
    </cfRule>
  </conditionalFormatting>
  <conditionalFormatting sqref="AD14:AD113">
    <cfRule type="expression" priority="2" dxfId="0">
      <formula>AD14="H"</formula>
    </cfRule>
    <cfRule type="expression" priority="4" dxfId="1">
      <formula>AD14="M"</formula>
    </cfRule>
    <cfRule type="expression" priority="6" dxfId="2">
      <formula>AD14="L"</formula>
    </cfRule>
  </conditionalFormatting>
  <conditionalFormatting sqref="U14:U113">
    <cfRule type="expression" priority="7" dxfId="3">
      <formula>U14="Yes"</formula>
    </cfRule>
  </conditionalFormatting>
  <conditionalFormatting sqref="S14:S113">
    <cfRule type="expression" priority="8" dxfId="4">
      <formula>AND(ISNUMBER(S14),S14&gt;=RPNThr)</formula>
    </cfRule>
  </conditionalFormatting>
  <conditionalFormatting sqref="AC14:AC113">
    <cfRule type="expression" priority="9" dxfId="4">
      <formula>AND(ISNUMBER(AC14),AC14&gt;=RPNThr)</formula>
    </cfRule>
  </conditionalFormatting>
  <dataValidations count="13">
    <dataValidation sqref="D3" showDropDown="0" showInputMessage="1" showErrorMessage="1" allowBlank="1" promptTitle="Select" prompt="Choose the system analysed on this sheet" type="list">
      <formula1>=SystemList</formula1>
    </dataValidation>
    <dataValidation sqref="B14:B113" showDropDown="0" showInputMessage="1" showErrorMessage="1" allowBlank="1" errorTitle="Not in list" error="Entry is not in the list – it will be accepted as free text." promptTitle="Select" prompt="Equipment tags of the selected system (from the Equipment Register)" type="list" errorStyle="information">
      <formula1>=OFFSET($AH$14,0,0,MAX(1,COUNTIFS(EqSys,$D$3,EqTag,"?*")),1)</formula1>
    </dataValidation>
    <dataValidation sqref="D14:D113" showDropDown="0" showInputMessage="1" showErrorMessage="1" allowBlank="1" errorTitle="Not in list" error="Entry is not in the list – it will be accepted as free text." promptTitle="Select" prompt="Components for this equipment type – or type your own" type="list" errorStyle="information">
      <formula1>=OFFSET(CompStart,MATCH($C14,CompType,0)-1,0,MAX(1,COUNTIF(CompType,$C14)),1)</formula1>
    </dataValidation>
    <dataValidation sqref="F14:F113" showDropDown="0" showInputMessage="1" showErrorMessage="1" allowBlank="1" errorTitle="Not in list" error="Entry is not in the list – it will be accepted as free text." promptTitle="Select" prompt="Failure modes for this equipment type – or type your own" type="list" errorStyle="information">
      <formula1>=OFFSET(FMStart,MATCH($C14,FMType,0)-1,0,MAX(1,COUNTIF(FMType,$C14)),1)</formula1>
    </dataValidation>
    <dataValidation sqref="G14:I113" showDropDown="0" showInputMessage="1" showErrorMessage="1" allowBlank="1" errorTitle="Not in list" error="Entry is not in the list – it will be accepted as free text." promptTitle="Select" prompt="Failure cause / mechanism – or type your own" type="list" errorStyle="information">
      <formula1>=MechList</formula1>
    </dataValidation>
    <dataValidation sqref="Q14:Q113" showDropDown="0" showInputMessage="1" showErrorMessage="1" allowBlank="1" errorTitle="Not in list" error="Entry is not in the list – it will be accepted as free text." promptTitle="Select" prompt="Detection method – or type your own" type="list" errorStyle="information">
      <formula1>=DetList</formula1>
    </dataValidation>
    <dataValidation sqref="W14:W113" showDropDown="0" showInputMessage="0" showErrorMessage="1" allowBlank="1" errorTitle="Not in list" error="Entry is not in the list – it will be accepted as free text." type="list" errorStyle="information">
      <formula1>=TaskList</formula1>
    </dataValidation>
    <dataValidation sqref="N14:N113" showDropDown="0" showInputMessage="0" showErrorMessage="1" allowBlank="1" type="list">
      <formula1>=SevList</formula1>
    </dataValidation>
    <dataValidation sqref="P14:P113" showDropDown="0" showInputMessage="0" showErrorMessage="1" allowBlank="1" type="list">
      <formula1>=OccList</formula1>
    </dataValidation>
    <dataValidation sqref="R14:R113" showDropDown="0" showInputMessage="0" showErrorMessage="1" allowBlank="1" type="list">
      <formula1>=DetScaleList</formula1>
    </dataValidation>
    <dataValidation sqref="Z14:Z113" showDropDown="0" showInputMessage="0" showErrorMessage="1" allowBlank="1" type="list">
      <formula1>=SevList</formula1>
    </dataValidation>
    <dataValidation sqref="AA14:AA113" showDropDown="0" showInputMessage="0" showErrorMessage="1" allowBlank="1" type="list">
      <formula1>=OccList</formula1>
    </dataValidation>
    <dataValidation sqref="AB14:AB113" showDropDown="0" showInputMessage="0" showErrorMessage="1" allowBlank="1" type="list">
      <formula1>=DetScaleList</formula1>
    </dataValidation>
  </dataValidations>
  <pageMargins left="0.75" right="0.75" top="1" bottom="1" header="0.5" footer="0.5"/>
  <pageSetup orientation="landscape" paperSize="8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AH113"/>
  <sheetViews>
    <sheetView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22" customWidth="1" min="4" max="4"/>
    <col width="26" customWidth="1" min="5" max="5"/>
    <col width="26" customWidth="1" min="6" max="6"/>
    <col outlineLevel="1" width="26" customWidth="1" min="7" max="9"/>
    <col width="38" customWidth="1" min="10" max="10"/>
    <col width="28" customWidth="1" min="11" max="11"/>
    <col width="28" customWidth="1" min="12" max="12"/>
    <col width="32" customWidth="1" min="13" max="13"/>
    <col width="18" customWidth="1" min="14" max="14"/>
    <col width="30" customWidth="1" min="15" max="15"/>
    <col width="18" customWidth="1" min="16" max="16"/>
    <col width="28" customWidth="1" min="17" max="17"/>
    <col width="18" customWidth="1" min="18" max="18"/>
    <col width="7" customWidth="1" min="19" max="19"/>
    <col width="6" customWidth="1" min="20" max="20"/>
    <col width="9" customWidth="1" min="21" max="21"/>
    <col width="34" customWidth="1" min="22" max="22"/>
    <col width="22" customWidth="1" min="23" max="23"/>
    <col width="14" customWidth="1" min="24" max="24"/>
    <col width="12" customWidth="1" min="25" max="25"/>
    <col width="18" customWidth="1" min="26" max="26"/>
    <col width="18" customWidth="1" min="27" max="27"/>
    <col width="18" customWidth="1" min="28" max="28"/>
    <col width="7" customWidth="1" min="29" max="29"/>
    <col width="6" customWidth="1" min="30" max="30"/>
    <col width="12" customWidth="1" min="31" max="31"/>
    <col width="24" customWidth="1" min="32" max="32"/>
    <col hidden="1" width="13" customWidth="1" min="34" max="34"/>
  </cols>
  <sheetData>
    <row r="1">
      <c r="A1" s="22" t="inlineStr">
        <is>
          <t>FMECA WORKSHEET</t>
        </is>
      </c>
      <c r="F1" s="23">
        <f>Cover!B7</f>
        <v/>
      </c>
    </row>
    <row r="3">
      <c r="A3" s="24" t="inlineStr">
        <is>
          <t>Select system ▸</t>
        </is>
      </c>
      <c r="B3" s="8" t="n"/>
      <c r="C3" s="9" t="n"/>
      <c r="D3" s="25" t="n"/>
      <c r="K3" s="24" t="inlineStr">
        <is>
          <t>Session date</t>
        </is>
      </c>
      <c r="L3" s="13" t="n"/>
      <c r="N3" s="24" t="inlineStr">
        <is>
          <t>Equipment items</t>
        </is>
      </c>
      <c r="O3" s="20">
        <f>IF($D$3="","",COUNTIFS(EqSys,$D$3,EqTag,"?*"))</f>
        <v/>
      </c>
    </row>
    <row r="4" ht="16" customHeight="1">
      <c r="A4" s="10" t="inlineStr">
        <is>
          <t>System title</t>
        </is>
      </c>
      <c r="D4" s="6">
        <f>IF($D$3="","",IFERROR(INDEX(Systems!$B$5:$B$34,MATCH($D$3,Systems!$C$5:$C$34,0))&amp;"",""))</f>
        <v/>
      </c>
    </row>
    <row r="5" ht="30" customHeight="1">
      <c r="A5" s="10" t="inlineStr">
        <is>
          <t>Function / performance standard</t>
        </is>
      </c>
      <c r="D5" s="6">
        <f>IF($D$3="","",IFERROR(INDEX(Systems!$D$5:$D$34,MATCH($D$3,Systems!$C$5:$C$34,0))&amp;"",""))</f>
        <v/>
      </c>
    </row>
    <row r="6" ht="30" customHeight="1">
      <c r="A6" s="10" t="inlineStr">
        <is>
          <t>Operating context</t>
        </is>
      </c>
      <c r="D6" s="6">
        <f>IF($D$3="","",IFERROR(INDEX(Systems!$E$5:$E$34,MATCH($D$3,Systems!$C$5:$C$34,0))&amp;"",""))</f>
        <v/>
      </c>
    </row>
    <row r="7" ht="30" customHeight="1">
      <c r="A7" s="10" t="inlineStr">
        <is>
          <t>System boundaries</t>
        </is>
      </c>
      <c r="D7" s="6">
        <f>IF($D$3="","",IFERROR(INDEX(Systems!$F$5:$F$34,MATCH($D$3,Systems!$C$5:$C$34,0))&amp;"",""))</f>
        <v/>
      </c>
    </row>
    <row r="8" ht="16" customHeight="1">
      <c r="A8" s="10" t="inlineStr">
        <is>
          <t>P&amp;IDs / drawings</t>
        </is>
      </c>
      <c r="D8" s="6">
        <f>IF($D$3="","",IFERROR(INDEX(Systems!$G$5:$G$34,MATCH($D$3,Systems!$C$5:$C$34,0))&amp;"",""))</f>
        <v/>
      </c>
    </row>
    <row r="9" ht="16" customHeight="1">
      <c r="A9" s="10" t="inlineStr">
        <is>
          <t>Related HAZOP node(s)</t>
        </is>
      </c>
      <c r="D9" s="6">
        <f>IF($D$3="","",IFERROR(INDEX(Systems!$H$5:$H$34,MATCH($D$3,Systems!$C$5:$C$34,0))&amp;"",""))</f>
        <v/>
      </c>
    </row>
    <row r="11" ht="26" customHeight="1">
      <c r="A11" s="26" t="inlineStr">
        <is>
          <t>ONE ROW PER FAILURE MODE. Pick the equipment tag (tags of the selected system), component and failure mode; pick up to 3 causes (listed line by line in 'Failure causes / mechanisms'). Rate S, O, D – RPN, Action Priority and 'Action required?' are calculated. Rate again after the recommended action. Use the [–] button above the Cause columns to collapse them.</t>
        </is>
      </c>
    </row>
    <row r="12">
      <c r="A12" s="7" t="inlineStr">
        <is>
          <t>ITEM / FAILURE MODE</t>
        </is>
      </c>
      <c r="B12" s="27" t="n"/>
      <c r="C12" s="27" t="n"/>
      <c r="D12" s="27" t="n"/>
      <c r="E12" s="27" t="n"/>
      <c r="F12" s="27" t="n"/>
      <c r="G12" s="7" t="inlineStr">
        <is>
          <t>CAUSE PICK-LIST</t>
        </is>
      </c>
      <c r="H12" s="27" t="n"/>
      <c r="I12" s="27" t="n"/>
      <c r="J12" s="7" t="inlineStr">
        <is>
          <t>CAUSES &amp; EFFECTS</t>
        </is>
      </c>
      <c r="K12" s="27" t="n"/>
      <c r="L12" s="27" t="n"/>
      <c r="M12" s="27" t="n"/>
      <c r="N12" s="7" t="inlineStr">
        <is>
          <t>CRITICALITY – CURRENT</t>
        </is>
      </c>
      <c r="O12" s="27" t="n"/>
      <c r="P12" s="27" t="n"/>
      <c r="Q12" s="27" t="n"/>
      <c r="R12" s="27" t="n"/>
      <c r="S12" s="27" t="n"/>
      <c r="T12" s="27" t="n"/>
      <c r="U12" s="27" t="n"/>
      <c r="V12" s="7" t="inlineStr">
        <is>
          <t>RECOMMENDED ACTIONS</t>
        </is>
      </c>
      <c r="W12" s="27" t="n"/>
      <c r="X12" s="27" t="n"/>
      <c r="Y12" s="27" t="n"/>
      <c r="Z12" s="7" t="inlineStr">
        <is>
          <t>CRITICALITY – AFTER ACTION</t>
        </is>
      </c>
      <c r="AA12" s="27" t="n"/>
      <c r="AB12" s="27" t="n"/>
      <c r="AC12" s="27" t="n"/>
      <c r="AD12" s="27" t="n"/>
      <c r="AE12" s="7" t="inlineStr">
        <is>
          <t>LINKS</t>
        </is>
      </c>
      <c r="AF12" s="27" t="n"/>
    </row>
    <row r="13" ht="42" customHeight="1">
      <c r="A13" s="7" t="inlineStr">
        <is>
          <t>Ref</t>
        </is>
      </c>
      <c r="B13" s="7" t="inlineStr">
        <is>
          <t>Equipment tag</t>
        </is>
      </c>
      <c r="C13" s="7" t="inlineStr">
        <is>
          <t>Equipment type (auto)</t>
        </is>
      </c>
      <c r="D13" s="7" t="inlineStr">
        <is>
          <t>Component / maintainable item</t>
        </is>
      </c>
      <c r="E13" s="7" t="inlineStr">
        <is>
          <t>Function of item</t>
        </is>
      </c>
      <c r="F13" s="7" t="inlineStr">
        <is>
          <t>Failure mode</t>
        </is>
      </c>
      <c r="G13" s="28" t="inlineStr">
        <is>
          <t>Cause 1</t>
        </is>
      </c>
      <c r="H13" s="28" t="inlineStr">
        <is>
          <t>Cause 2</t>
        </is>
      </c>
      <c r="I13" s="28" t="inlineStr">
        <is>
          <t>Cause 3</t>
        </is>
      </c>
      <c r="J13" s="7" t="inlineStr">
        <is>
          <t>Failure causes / mechanisms</t>
        </is>
      </c>
      <c r="K13" s="7" t="inlineStr">
        <is>
          <t>Local effect</t>
        </is>
      </c>
      <c r="L13" s="7" t="inlineStr">
        <is>
          <t>System effect</t>
        </is>
      </c>
      <c r="M13" s="7" t="inlineStr">
        <is>
          <t>End effect (safety / environment / production)</t>
        </is>
      </c>
      <c r="N13" s="7" t="inlineStr">
        <is>
          <t>Severity (S)</t>
        </is>
      </c>
      <c r="O13" s="7" t="inlineStr">
        <is>
          <t>Current prevention controls</t>
        </is>
      </c>
      <c r="P13" s="7" t="inlineStr">
        <is>
          <t>Occurrence (O)</t>
        </is>
      </c>
      <c r="Q13" s="7" t="inlineStr">
        <is>
          <t>Current detection method</t>
        </is>
      </c>
      <c r="R13" s="7" t="inlineStr">
        <is>
          <t>Detection (D)</t>
        </is>
      </c>
      <c r="S13" s="7" t="inlineStr">
        <is>
          <t>RPN</t>
        </is>
      </c>
      <c r="T13" s="7" t="inlineStr">
        <is>
          <t>AP</t>
        </is>
      </c>
      <c r="U13" s="7" t="inlineStr">
        <is>
          <t>Action required?</t>
        </is>
      </c>
      <c r="V13" s="7" t="inlineStr">
        <is>
          <t>Recommended action</t>
        </is>
      </c>
      <c r="W13" s="7" t="inlineStr">
        <is>
          <t>Action / task type</t>
        </is>
      </c>
      <c r="X13" s="7" t="inlineStr">
        <is>
          <t>Action by</t>
        </is>
      </c>
      <c r="Y13" s="7" t="inlineStr">
        <is>
          <t>Due date</t>
        </is>
      </c>
      <c r="Z13" s="7" t="inlineStr">
        <is>
          <t>Severity (S)</t>
        </is>
      </c>
      <c r="AA13" s="7" t="inlineStr">
        <is>
          <t>Occurrence (O)</t>
        </is>
      </c>
      <c r="AB13" s="7" t="inlineStr">
        <is>
          <t>Detection (D)</t>
        </is>
      </c>
      <c r="AC13" s="7" t="inlineStr">
        <is>
          <t>RPN after</t>
        </is>
      </c>
      <c r="AD13" s="7" t="inlineStr">
        <is>
          <t>AP after</t>
        </is>
      </c>
      <c r="AE13" s="7" t="inlineStr">
        <is>
          <t>HAZOP ref.</t>
        </is>
      </c>
      <c r="AF13" s="7" t="inlineStr">
        <is>
          <t>Comments</t>
        </is>
      </c>
    </row>
    <row r="14">
      <c r="A14" s="20">
        <f>IF(F14="","",LEFT($D$3,3)&amp;"-"&amp;TEXT(COUNTIF(F$14:F14,"?*"),"00"))</f>
        <v/>
      </c>
      <c r="B14" s="4" t="n"/>
      <c r="C14" s="5">
        <f>IF(B14="","",IFERROR(INDEX(EqTypeCol,MATCH(B14,EqTag,0)),"Tag not in register"))</f>
        <v/>
      </c>
      <c r="D14" s="4" t="n"/>
      <c r="E14" s="4" t="n"/>
      <c r="F14" s="4" t="n"/>
      <c r="G14" s="4" t="n"/>
      <c r="H14" s="4" t="n"/>
      <c r="I14" s="4" t="n"/>
      <c r="J14" s="5">
        <f>_xlfn.TEXTJOIN(CHAR(10),TRUE,IF(G14="","","• "&amp;G14),IF(H14="","","• "&amp;H14),IF(I14="","","• "&amp;I14))</f>
        <v/>
      </c>
      <c r="K14" s="4" t="n"/>
      <c r="L14" s="4" t="n"/>
      <c r="M14" s="4" t="n"/>
      <c r="N14" s="16" t="n"/>
      <c r="O14" s="4" t="n"/>
      <c r="P14" s="16" t="n"/>
      <c r="Q14" s="4" t="n"/>
      <c r="R14" s="16" t="n"/>
      <c r="S14" s="20">
        <f>IF(OR(N14="",P14="",R14=""),"",(--TRIM(LEFT(N14,2)))*(--TRIM(LEFT(P14,2)))*(--TRIM(LEFT(R14,2))))</f>
        <v/>
      </c>
      <c r="T14" s="20">
        <f>IF(OR(N14="",P14="",R14=""),"",INDEX(APGrid,COUNTIF(APS,"&gt;"&amp;(--TRIM(LEFT(N14,2))))*5+COUNTIF(APO,"&gt;"&amp;(--TRIM(LEFT(P14,2))))+1,COUNTIF(APD,"&gt;"&amp;(--TRIM(LEFT(R14,2))))+1))</f>
        <v/>
      </c>
      <c r="U14" s="20">
        <f>IF(S14="","",IF(OR((--TRIM(LEFT(N14,2)))&gt;=SThr,S14&gt;=RPNThr,T14="H"),"Yes","No"))</f>
        <v/>
      </c>
      <c r="V14" s="4" t="n"/>
      <c r="W14" s="4" t="n"/>
      <c r="X14" s="4" t="n"/>
      <c r="Y14" s="29" t="n"/>
      <c r="Z14" s="16" t="n"/>
      <c r="AA14" s="16" t="n"/>
      <c r="AB14" s="16" t="n"/>
      <c r="AC14" s="20">
        <f>IF(OR(Z14="",AA14="",AB14=""),"",(--TRIM(LEFT(Z14,2)))*(--TRIM(LEFT(AA14,2)))*(--TRIM(LEFT(AB14,2))))</f>
        <v/>
      </c>
      <c r="AD14" s="20">
        <f>IF(OR(Z14="",AA14="",AB14=""),"",INDEX(APGrid,COUNTIF(APS,"&gt;"&amp;(--TRIM(LEFT(Z14,2))))*5+COUNTIF(APO,"&gt;"&amp;(--TRIM(LEFT(AA14,2))))+1,COUNTIF(APD,"&gt;"&amp;(--TRIM(LEFT(AB14,2))))+1))</f>
        <v/>
      </c>
      <c r="AE14" s="4" t="n"/>
      <c r="AF14" s="4" t="n"/>
      <c r="AH14">
        <f>IFERROR(INDEX(EqTag,_xlfn.AGGREGATE(15,6,(ROW(EqTag)-4)/((EqSys=$D$3)*(EqTag&lt;&gt;"")),ROWS($AH$14:AH14))),"")</f>
        <v/>
      </c>
    </row>
    <row r="15">
      <c r="A15" s="20">
        <f>IF(F15="","",LEFT($D$3,3)&amp;"-"&amp;TEXT(COUNTIF(F$14:F15,"?*"),"00"))</f>
        <v/>
      </c>
      <c r="B15" s="4" t="n"/>
      <c r="C15" s="5">
        <f>IF(B15="","",IFERROR(INDEX(EqTypeCol,MATCH(B15,EqTag,0)),"Tag not in register"))</f>
        <v/>
      </c>
      <c r="D15" s="4" t="n"/>
      <c r="E15" s="4" t="n"/>
      <c r="F15" s="4" t="n"/>
      <c r="G15" s="4" t="n"/>
      <c r="H15" s="4" t="n"/>
      <c r="I15" s="4" t="n"/>
      <c r="J15" s="5">
        <f>_xlfn.TEXTJOIN(CHAR(10),TRUE,IF(G15="","","• "&amp;G15),IF(H15="","","• "&amp;H15),IF(I15="","","• "&amp;I15))</f>
        <v/>
      </c>
      <c r="K15" s="4" t="n"/>
      <c r="L15" s="4" t="n"/>
      <c r="M15" s="4" t="n"/>
      <c r="N15" s="16" t="n"/>
      <c r="O15" s="4" t="n"/>
      <c r="P15" s="16" t="n"/>
      <c r="Q15" s="4" t="n"/>
      <c r="R15" s="16" t="n"/>
      <c r="S15" s="20">
        <f>IF(OR(N15="",P15="",R15=""),"",(--TRIM(LEFT(N15,2)))*(--TRIM(LEFT(P15,2)))*(--TRIM(LEFT(R15,2))))</f>
        <v/>
      </c>
      <c r="T15" s="20">
        <f>IF(OR(N15="",P15="",R15=""),"",INDEX(APGrid,COUNTIF(APS,"&gt;"&amp;(--TRIM(LEFT(N15,2))))*5+COUNTIF(APO,"&gt;"&amp;(--TRIM(LEFT(P15,2))))+1,COUNTIF(APD,"&gt;"&amp;(--TRIM(LEFT(R15,2))))+1))</f>
        <v/>
      </c>
      <c r="U15" s="20">
        <f>IF(S15="","",IF(OR((--TRIM(LEFT(N15,2)))&gt;=SThr,S15&gt;=RPNThr,T15="H"),"Yes","No"))</f>
        <v/>
      </c>
      <c r="V15" s="4" t="n"/>
      <c r="W15" s="4" t="n"/>
      <c r="X15" s="4" t="n"/>
      <c r="Y15" s="29" t="n"/>
      <c r="Z15" s="16" t="n"/>
      <c r="AA15" s="16" t="n"/>
      <c r="AB15" s="16" t="n"/>
      <c r="AC15" s="20">
        <f>IF(OR(Z15="",AA15="",AB15=""),"",(--TRIM(LEFT(Z15,2)))*(--TRIM(LEFT(AA15,2)))*(--TRIM(LEFT(AB15,2))))</f>
        <v/>
      </c>
      <c r="AD15" s="20">
        <f>IF(OR(Z15="",AA15="",AB15=""),"",INDEX(APGrid,COUNTIF(APS,"&gt;"&amp;(--TRIM(LEFT(Z15,2))))*5+COUNTIF(APO,"&gt;"&amp;(--TRIM(LEFT(AA15,2))))+1,COUNTIF(APD,"&gt;"&amp;(--TRIM(LEFT(AB15,2))))+1))</f>
        <v/>
      </c>
      <c r="AE15" s="4" t="n"/>
      <c r="AF15" s="4" t="n"/>
      <c r="AH15">
        <f>IFERROR(INDEX(EqTag,_xlfn.AGGREGATE(15,6,(ROW(EqTag)-4)/((EqSys=$D$3)*(EqTag&lt;&gt;"")),ROWS($AH$14:AH15))),"")</f>
        <v/>
      </c>
    </row>
    <row r="16">
      <c r="A16" s="20">
        <f>IF(F16="","",LEFT($D$3,3)&amp;"-"&amp;TEXT(COUNTIF(F$14:F16,"?*"),"00"))</f>
        <v/>
      </c>
      <c r="B16" s="4" t="n"/>
      <c r="C16" s="5">
        <f>IF(B16="","",IFERROR(INDEX(EqTypeCol,MATCH(B16,EqTag,0)),"Tag not in register"))</f>
        <v/>
      </c>
      <c r="D16" s="4" t="n"/>
      <c r="E16" s="4" t="n"/>
      <c r="F16" s="4" t="n"/>
      <c r="G16" s="4" t="n"/>
      <c r="H16" s="4" t="n"/>
      <c r="I16" s="4" t="n"/>
      <c r="J16" s="5">
        <f>_xlfn.TEXTJOIN(CHAR(10),TRUE,IF(G16="","","• "&amp;G16),IF(H16="","","• "&amp;H16),IF(I16="","","• "&amp;I16))</f>
        <v/>
      </c>
      <c r="K16" s="4" t="n"/>
      <c r="L16" s="4" t="n"/>
      <c r="M16" s="4" t="n"/>
      <c r="N16" s="16" t="n"/>
      <c r="O16" s="4" t="n"/>
      <c r="P16" s="16" t="n"/>
      <c r="Q16" s="4" t="n"/>
      <c r="R16" s="16" t="n"/>
      <c r="S16" s="20">
        <f>IF(OR(N16="",P16="",R16=""),"",(--TRIM(LEFT(N16,2)))*(--TRIM(LEFT(P16,2)))*(--TRIM(LEFT(R16,2))))</f>
        <v/>
      </c>
      <c r="T16" s="20">
        <f>IF(OR(N16="",P16="",R16=""),"",INDEX(APGrid,COUNTIF(APS,"&gt;"&amp;(--TRIM(LEFT(N16,2))))*5+COUNTIF(APO,"&gt;"&amp;(--TRIM(LEFT(P16,2))))+1,COUNTIF(APD,"&gt;"&amp;(--TRIM(LEFT(R16,2))))+1))</f>
        <v/>
      </c>
      <c r="U16" s="20">
        <f>IF(S16="","",IF(OR((--TRIM(LEFT(N16,2)))&gt;=SThr,S16&gt;=RPNThr,T16="H"),"Yes","No"))</f>
        <v/>
      </c>
      <c r="V16" s="4" t="n"/>
      <c r="W16" s="4" t="n"/>
      <c r="X16" s="4" t="n"/>
      <c r="Y16" s="29" t="n"/>
      <c r="Z16" s="16" t="n"/>
      <c r="AA16" s="16" t="n"/>
      <c r="AB16" s="16" t="n"/>
      <c r="AC16" s="20">
        <f>IF(OR(Z16="",AA16="",AB16=""),"",(--TRIM(LEFT(Z16,2)))*(--TRIM(LEFT(AA16,2)))*(--TRIM(LEFT(AB16,2))))</f>
        <v/>
      </c>
      <c r="AD16" s="20">
        <f>IF(OR(Z16="",AA16="",AB16=""),"",INDEX(APGrid,COUNTIF(APS,"&gt;"&amp;(--TRIM(LEFT(Z16,2))))*5+COUNTIF(APO,"&gt;"&amp;(--TRIM(LEFT(AA16,2))))+1,COUNTIF(APD,"&gt;"&amp;(--TRIM(LEFT(AB16,2))))+1))</f>
        <v/>
      </c>
      <c r="AE16" s="4" t="n"/>
      <c r="AF16" s="4" t="n"/>
      <c r="AH16">
        <f>IFERROR(INDEX(EqTag,_xlfn.AGGREGATE(15,6,(ROW(EqTag)-4)/((EqSys=$D$3)*(EqTag&lt;&gt;"")),ROWS($AH$14:AH16))),"")</f>
        <v/>
      </c>
    </row>
    <row r="17">
      <c r="A17" s="20">
        <f>IF(F17="","",LEFT($D$3,3)&amp;"-"&amp;TEXT(COUNTIF(F$14:F17,"?*"),"00"))</f>
        <v/>
      </c>
      <c r="B17" s="4" t="n"/>
      <c r="C17" s="5">
        <f>IF(B17="","",IFERROR(INDEX(EqTypeCol,MATCH(B17,EqTag,0)),"Tag not in register"))</f>
        <v/>
      </c>
      <c r="D17" s="4" t="n"/>
      <c r="E17" s="4" t="n"/>
      <c r="F17" s="4" t="n"/>
      <c r="G17" s="4" t="n"/>
      <c r="H17" s="4" t="n"/>
      <c r="I17" s="4" t="n"/>
      <c r="J17" s="5">
        <f>_xlfn.TEXTJOIN(CHAR(10),TRUE,IF(G17="","","• "&amp;G17),IF(H17="","","• "&amp;H17),IF(I17="","","• "&amp;I17))</f>
        <v/>
      </c>
      <c r="K17" s="4" t="n"/>
      <c r="L17" s="4" t="n"/>
      <c r="M17" s="4" t="n"/>
      <c r="N17" s="16" t="n"/>
      <c r="O17" s="4" t="n"/>
      <c r="P17" s="16" t="n"/>
      <c r="Q17" s="4" t="n"/>
      <c r="R17" s="16" t="n"/>
      <c r="S17" s="20">
        <f>IF(OR(N17="",P17="",R17=""),"",(--TRIM(LEFT(N17,2)))*(--TRIM(LEFT(P17,2)))*(--TRIM(LEFT(R17,2))))</f>
        <v/>
      </c>
      <c r="T17" s="20">
        <f>IF(OR(N17="",P17="",R17=""),"",INDEX(APGrid,COUNTIF(APS,"&gt;"&amp;(--TRIM(LEFT(N17,2))))*5+COUNTIF(APO,"&gt;"&amp;(--TRIM(LEFT(P17,2))))+1,COUNTIF(APD,"&gt;"&amp;(--TRIM(LEFT(R17,2))))+1))</f>
        <v/>
      </c>
      <c r="U17" s="20">
        <f>IF(S17="","",IF(OR((--TRIM(LEFT(N17,2)))&gt;=SThr,S17&gt;=RPNThr,T17="H"),"Yes","No"))</f>
        <v/>
      </c>
      <c r="V17" s="4" t="n"/>
      <c r="W17" s="4" t="n"/>
      <c r="X17" s="4" t="n"/>
      <c r="Y17" s="29" t="n"/>
      <c r="Z17" s="16" t="n"/>
      <c r="AA17" s="16" t="n"/>
      <c r="AB17" s="16" t="n"/>
      <c r="AC17" s="20">
        <f>IF(OR(Z17="",AA17="",AB17=""),"",(--TRIM(LEFT(Z17,2)))*(--TRIM(LEFT(AA17,2)))*(--TRIM(LEFT(AB17,2))))</f>
        <v/>
      </c>
      <c r="AD17" s="20">
        <f>IF(OR(Z17="",AA17="",AB17=""),"",INDEX(APGrid,COUNTIF(APS,"&gt;"&amp;(--TRIM(LEFT(Z17,2))))*5+COUNTIF(APO,"&gt;"&amp;(--TRIM(LEFT(AA17,2))))+1,COUNTIF(APD,"&gt;"&amp;(--TRIM(LEFT(AB17,2))))+1))</f>
        <v/>
      </c>
      <c r="AE17" s="4" t="n"/>
      <c r="AF17" s="4" t="n"/>
      <c r="AH17">
        <f>IFERROR(INDEX(EqTag,_xlfn.AGGREGATE(15,6,(ROW(EqTag)-4)/((EqSys=$D$3)*(EqTag&lt;&gt;"")),ROWS($AH$14:AH17))),"")</f>
        <v/>
      </c>
    </row>
    <row r="18">
      <c r="A18" s="20">
        <f>IF(F18="","",LEFT($D$3,3)&amp;"-"&amp;TEXT(COUNTIF(F$14:F18,"?*"),"00"))</f>
        <v/>
      </c>
      <c r="B18" s="4" t="n"/>
      <c r="C18" s="5">
        <f>IF(B18="","",IFERROR(INDEX(EqTypeCol,MATCH(B18,EqTag,0)),"Tag not in register"))</f>
        <v/>
      </c>
      <c r="D18" s="4" t="n"/>
      <c r="E18" s="4" t="n"/>
      <c r="F18" s="4" t="n"/>
      <c r="G18" s="4" t="n"/>
      <c r="H18" s="4" t="n"/>
      <c r="I18" s="4" t="n"/>
      <c r="J18" s="5">
        <f>_xlfn.TEXTJOIN(CHAR(10),TRUE,IF(G18="","","• "&amp;G18),IF(H18="","","• "&amp;H18),IF(I18="","","• "&amp;I18))</f>
        <v/>
      </c>
      <c r="K18" s="4" t="n"/>
      <c r="L18" s="4" t="n"/>
      <c r="M18" s="4" t="n"/>
      <c r="N18" s="16" t="n"/>
      <c r="O18" s="4" t="n"/>
      <c r="P18" s="16" t="n"/>
      <c r="Q18" s="4" t="n"/>
      <c r="R18" s="16" t="n"/>
      <c r="S18" s="20">
        <f>IF(OR(N18="",P18="",R18=""),"",(--TRIM(LEFT(N18,2)))*(--TRIM(LEFT(P18,2)))*(--TRIM(LEFT(R18,2))))</f>
        <v/>
      </c>
      <c r="T18" s="20">
        <f>IF(OR(N18="",P18="",R18=""),"",INDEX(APGrid,COUNTIF(APS,"&gt;"&amp;(--TRIM(LEFT(N18,2))))*5+COUNTIF(APO,"&gt;"&amp;(--TRIM(LEFT(P18,2))))+1,COUNTIF(APD,"&gt;"&amp;(--TRIM(LEFT(R18,2))))+1))</f>
        <v/>
      </c>
      <c r="U18" s="20">
        <f>IF(S18="","",IF(OR((--TRIM(LEFT(N18,2)))&gt;=SThr,S18&gt;=RPNThr,T18="H"),"Yes","No"))</f>
        <v/>
      </c>
      <c r="V18" s="4" t="n"/>
      <c r="W18" s="4" t="n"/>
      <c r="X18" s="4" t="n"/>
      <c r="Y18" s="29" t="n"/>
      <c r="Z18" s="16" t="n"/>
      <c r="AA18" s="16" t="n"/>
      <c r="AB18" s="16" t="n"/>
      <c r="AC18" s="20">
        <f>IF(OR(Z18="",AA18="",AB18=""),"",(--TRIM(LEFT(Z18,2)))*(--TRIM(LEFT(AA18,2)))*(--TRIM(LEFT(AB18,2))))</f>
        <v/>
      </c>
      <c r="AD18" s="20">
        <f>IF(OR(Z18="",AA18="",AB18=""),"",INDEX(APGrid,COUNTIF(APS,"&gt;"&amp;(--TRIM(LEFT(Z18,2))))*5+COUNTIF(APO,"&gt;"&amp;(--TRIM(LEFT(AA18,2))))+1,COUNTIF(APD,"&gt;"&amp;(--TRIM(LEFT(AB18,2))))+1))</f>
        <v/>
      </c>
      <c r="AE18" s="4" t="n"/>
      <c r="AF18" s="4" t="n"/>
      <c r="AH18">
        <f>IFERROR(INDEX(EqTag,_xlfn.AGGREGATE(15,6,(ROW(EqTag)-4)/((EqSys=$D$3)*(EqTag&lt;&gt;"")),ROWS($AH$14:AH18))),"")</f>
        <v/>
      </c>
    </row>
    <row r="19">
      <c r="A19" s="20">
        <f>IF(F19="","",LEFT($D$3,3)&amp;"-"&amp;TEXT(COUNTIF(F$14:F19,"?*"),"00"))</f>
        <v/>
      </c>
      <c r="B19" s="4" t="n"/>
      <c r="C19" s="5">
        <f>IF(B19="","",IFERROR(INDEX(EqTypeCol,MATCH(B19,EqTag,0)),"Tag not in register"))</f>
        <v/>
      </c>
      <c r="D19" s="4" t="n"/>
      <c r="E19" s="4" t="n"/>
      <c r="F19" s="4" t="n"/>
      <c r="G19" s="4" t="n"/>
      <c r="H19" s="4" t="n"/>
      <c r="I19" s="4" t="n"/>
      <c r="J19" s="5">
        <f>_xlfn.TEXTJOIN(CHAR(10),TRUE,IF(G19="","","• "&amp;G19),IF(H19="","","• "&amp;H19),IF(I19="","","• "&amp;I19))</f>
        <v/>
      </c>
      <c r="K19" s="4" t="n"/>
      <c r="L19" s="4" t="n"/>
      <c r="M19" s="4" t="n"/>
      <c r="N19" s="16" t="n"/>
      <c r="O19" s="4" t="n"/>
      <c r="P19" s="16" t="n"/>
      <c r="Q19" s="4" t="n"/>
      <c r="R19" s="16" t="n"/>
      <c r="S19" s="20">
        <f>IF(OR(N19="",P19="",R19=""),"",(--TRIM(LEFT(N19,2)))*(--TRIM(LEFT(P19,2)))*(--TRIM(LEFT(R19,2))))</f>
        <v/>
      </c>
      <c r="T19" s="20">
        <f>IF(OR(N19="",P19="",R19=""),"",INDEX(APGrid,COUNTIF(APS,"&gt;"&amp;(--TRIM(LEFT(N19,2))))*5+COUNTIF(APO,"&gt;"&amp;(--TRIM(LEFT(P19,2))))+1,COUNTIF(APD,"&gt;"&amp;(--TRIM(LEFT(R19,2))))+1))</f>
        <v/>
      </c>
      <c r="U19" s="20">
        <f>IF(S19="","",IF(OR((--TRIM(LEFT(N19,2)))&gt;=SThr,S19&gt;=RPNThr,T19="H"),"Yes","No"))</f>
        <v/>
      </c>
      <c r="V19" s="4" t="n"/>
      <c r="W19" s="4" t="n"/>
      <c r="X19" s="4" t="n"/>
      <c r="Y19" s="29" t="n"/>
      <c r="Z19" s="16" t="n"/>
      <c r="AA19" s="16" t="n"/>
      <c r="AB19" s="16" t="n"/>
      <c r="AC19" s="20">
        <f>IF(OR(Z19="",AA19="",AB19=""),"",(--TRIM(LEFT(Z19,2)))*(--TRIM(LEFT(AA19,2)))*(--TRIM(LEFT(AB19,2))))</f>
        <v/>
      </c>
      <c r="AD19" s="20">
        <f>IF(OR(Z19="",AA19="",AB19=""),"",INDEX(APGrid,COUNTIF(APS,"&gt;"&amp;(--TRIM(LEFT(Z19,2))))*5+COUNTIF(APO,"&gt;"&amp;(--TRIM(LEFT(AA19,2))))+1,COUNTIF(APD,"&gt;"&amp;(--TRIM(LEFT(AB19,2))))+1))</f>
        <v/>
      </c>
      <c r="AE19" s="4" t="n"/>
      <c r="AF19" s="4" t="n"/>
      <c r="AH19">
        <f>IFERROR(INDEX(EqTag,_xlfn.AGGREGATE(15,6,(ROW(EqTag)-4)/((EqSys=$D$3)*(EqTag&lt;&gt;"")),ROWS($AH$14:AH19))),"")</f>
        <v/>
      </c>
    </row>
    <row r="20">
      <c r="A20" s="20">
        <f>IF(F20="","",LEFT($D$3,3)&amp;"-"&amp;TEXT(COUNTIF(F$14:F20,"?*"),"00"))</f>
        <v/>
      </c>
      <c r="B20" s="4" t="n"/>
      <c r="C20" s="5">
        <f>IF(B20="","",IFERROR(INDEX(EqTypeCol,MATCH(B20,EqTag,0)),"Tag not in register"))</f>
        <v/>
      </c>
      <c r="D20" s="4" t="n"/>
      <c r="E20" s="4" t="n"/>
      <c r="F20" s="4" t="n"/>
      <c r="G20" s="4" t="n"/>
      <c r="H20" s="4" t="n"/>
      <c r="I20" s="4" t="n"/>
      <c r="J20" s="5">
        <f>_xlfn.TEXTJOIN(CHAR(10),TRUE,IF(G20="","","• "&amp;G20),IF(H20="","","• "&amp;H20),IF(I20="","","• "&amp;I20))</f>
        <v/>
      </c>
      <c r="K20" s="4" t="n"/>
      <c r="L20" s="4" t="n"/>
      <c r="M20" s="4" t="n"/>
      <c r="N20" s="16" t="n"/>
      <c r="O20" s="4" t="n"/>
      <c r="P20" s="16" t="n"/>
      <c r="Q20" s="4" t="n"/>
      <c r="R20" s="16" t="n"/>
      <c r="S20" s="20">
        <f>IF(OR(N20="",P20="",R20=""),"",(--TRIM(LEFT(N20,2)))*(--TRIM(LEFT(P20,2)))*(--TRIM(LEFT(R20,2))))</f>
        <v/>
      </c>
      <c r="T20" s="20">
        <f>IF(OR(N20="",P20="",R20=""),"",INDEX(APGrid,COUNTIF(APS,"&gt;"&amp;(--TRIM(LEFT(N20,2))))*5+COUNTIF(APO,"&gt;"&amp;(--TRIM(LEFT(P20,2))))+1,COUNTIF(APD,"&gt;"&amp;(--TRIM(LEFT(R20,2))))+1))</f>
        <v/>
      </c>
      <c r="U20" s="20">
        <f>IF(S20="","",IF(OR((--TRIM(LEFT(N20,2)))&gt;=SThr,S20&gt;=RPNThr,T20="H"),"Yes","No"))</f>
        <v/>
      </c>
      <c r="V20" s="4" t="n"/>
      <c r="W20" s="4" t="n"/>
      <c r="X20" s="4" t="n"/>
      <c r="Y20" s="29" t="n"/>
      <c r="Z20" s="16" t="n"/>
      <c r="AA20" s="16" t="n"/>
      <c r="AB20" s="16" t="n"/>
      <c r="AC20" s="20">
        <f>IF(OR(Z20="",AA20="",AB20=""),"",(--TRIM(LEFT(Z20,2)))*(--TRIM(LEFT(AA20,2)))*(--TRIM(LEFT(AB20,2))))</f>
        <v/>
      </c>
      <c r="AD20" s="20">
        <f>IF(OR(Z20="",AA20="",AB20=""),"",INDEX(APGrid,COUNTIF(APS,"&gt;"&amp;(--TRIM(LEFT(Z20,2))))*5+COUNTIF(APO,"&gt;"&amp;(--TRIM(LEFT(AA20,2))))+1,COUNTIF(APD,"&gt;"&amp;(--TRIM(LEFT(AB20,2))))+1))</f>
        <v/>
      </c>
      <c r="AE20" s="4" t="n"/>
      <c r="AF20" s="4" t="n"/>
      <c r="AH20">
        <f>IFERROR(INDEX(EqTag,_xlfn.AGGREGATE(15,6,(ROW(EqTag)-4)/((EqSys=$D$3)*(EqTag&lt;&gt;"")),ROWS($AH$14:AH20))),"")</f>
        <v/>
      </c>
    </row>
    <row r="21">
      <c r="A21" s="20">
        <f>IF(F21="","",LEFT($D$3,3)&amp;"-"&amp;TEXT(COUNTIF(F$14:F21,"?*"),"00"))</f>
        <v/>
      </c>
      <c r="B21" s="4" t="n"/>
      <c r="C21" s="5">
        <f>IF(B21="","",IFERROR(INDEX(EqTypeCol,MATCH(B21,EqTag,0)),"Tag not in register"))</f>
        <v/>
      </c>
      <c r="D21" s="4" t="n"/>
      <c r="E21" s="4" t="n"/>
      <c r="F21" s="4" t="n"/>
      <c r="G21" s="4" t="n"/>
      <c r="H21" s="4" t="n"/>
      <c r="I21" s="4" t="n"/>
      <c r="J21" s="5">
        <f>_xlfn.TEXTJOIN(CHAR(10),TRUE,IF(G21="","","• "&amp;G21),IF(H21="","","• "&amp;H21),IF(I21="","","• "&amp;I21))</f>
        <v/>
      </c>
      <c r="K21" s="4" t="n"/>
      <c r="L21" s="4" t="n"/>
      <c r="M21" s="4" t="n"/>
      <c r="N21" s="16" t="n"/>
      <c r="O21" s="4" t="n"/>
      <c r="P21" s="16" t="n"/>
      <c r="Q21" s="4" t="n"/>
      <c r="R21" s="16" t="n"/>
      <c r="S21" s="20">
        <f>IF(OR(N21="",P21="",R21=""),"",(--TRIM(LEFT(N21,2)))*(--TRIM(LEFT(P21,2)))*(--TRIM(LEFT(R21,2))))</f>
        <v/>
      </c>
      <c r="T21" s="20">
        <f>IF(OR(N21="",P21="",R21=""),"",INDEX(APGrid,COUNTIF(APS,"&gt;"&amp;(--TRIM(LEFT(N21,2))))*5+COUNTIF(APO,"&gt;"&amp;(--TRIM(LEFT(P21,2))))+1,COUNTIF(APD,"&gt;"&amp;(--TRIM(LEFT(R21,2))))+1))</f>
        <v/>
      </c>
      <c r="U21" s="20">
        <f>IF(S21="","",IF(OR((--TRIM(LEFT(N21,2)))&gt;=SThr,S21&gt;=RPNThr,T21="H"),"Yes","No"))</f>
        <v/>
      </c>
      <c r="V21" s="4" t="n"/>
      <c r="W21" s="4" t="n"/>
      <c r="X21" s="4" t="n"/>
      <c r="Y21" s="29" t="n"/>
      <c r="Z21" s="16" t="n"/>
      <c r="AA21" s="16" t="n"/>
      <c r="AB21" s="16" t="n"/>
      <c r="AC21" s="20">
        <f>IF(OR(Z21="",AA21="",AB21=""),"",(--TRIM(LEFT(Z21,2)))*(--TRIM(LEFT(AA21,2)))*(--TRIM(LEFT(AB21,2))))</f>
        <v/>
      </c>
      <c r="AD21" s="20">
        <f>IF(OR(Z21="",AA21="",AB21=""),"",INDEX(APGrid,COUNTIF(APS,"&gt;"&amp;(--TRIM(LEFT(Z21,2))))*5+COUNTIF(APO,"&gt;"&amp;(--TRIM(LEFT(AA21,2))))+1,COUNTIF(APD,"&gt;"&amp;(--TRIM(LEFT(AB21,2))))+1))</f>
        <v/>
      </c>
      <c r="AE21" s="4" t="n"/>
      <c r="AF21" s="4" t="n"/>
      <c r="AH21">
        <f>IFERROR(INDEX(EqTag,_xlfn.AGGREGATE(15,6,(ROW(EqTag)-4)/((EqSys=$D$3)*(EqTag&lt;&gt;"")),ROWS($AH$14:AH21))),"")</f>
        <v/>
      </c>
    </row>
    <row r="22">
      <c r="A22" s="20">
        <f>IF(F22="","",LEFT($D$3,3)&amp;"-"&amp;TEXT(COUNTIF(F$14:F22,"?*"),"00"))</f>
        <v/>
      </c>
      <c r="B22" s="4" t="n"/>
      <c r="C22" s="5">
        <f>IF(B22="","",IFERROR(INDEX(EqTypeCol,MATCH(B22,EqTag,0)),"Tag not in register"))</f>
        <v/>
      </c>
      <c r="D22" s="4" t="n"/>
      <c r="E22" s="4" t="n"/>
      <c r="F22" s="4" t="n"/>
      <c r="G22" s="4" t="n"/>
      <c r="H22" s="4" t="n"/>
      <c r="I22" s="4" t="n"/>
      <c r="J22" s="5">
        <f>_xlfn.TEXTJOIN(CHAR(10),TRUE,IF(G22="","","• "&amp;G22),IF(H22="","","• "&amp;H22),IF(I22="","","• "&amp;I22))</f>
        <v/>
      </c>
      <c r="K22" s="4" t="n"/>
      <c r="L22" s="4" t="n"/>
      <c r="M22" s="4" t="n"/>
      <c r="N22" s="16" t="n"/>
      <c r="O22" s="4" t="n"/>
      <c r="P22" s="16" t="n"/>
      <c r="Q22" s="4" t="n"/>
      <c r="R22" s="16" t="n"/>
      <c r="S22" s="20">
        <f>IF(OR(N22="",P22="",R22=""),"",(--TRIM(LEFT(N22,2)))*(--TRIM(LEFT(P22,2)))*(--TRIM(LEFT(R22,2))))</f>
        <v/>
      </c>
      <c r="T22" s="20">
        <f>IF(OR(N22="",P22="",R22=""),"",INDEX(APGrid,COUNTIF(APS,"&gt;"&amp;(--TRIM(LEFT(N22,2))))*5+COUNTIF(APO,"&gt;"&amp;(--TRIM(LEFT(P22,2))))+1,COUNTIF(APD,"&gt;"&amp;(--TRIM(LEFT(R22,2))))+1))</f>
        <v/>
      </c>
      <c r="U22" s="20">
        <f>IF(S22="","",IF(OR((--TRIM(LEFT(N22,2)))&gt;=SThr,S22&gt;=RPNThr,T22="H"),"Yes","No"))</f>
        <v/>
      </c>
      <c r="V22" s="4" t="n"/>
      <c r="W22" s="4" t="n"/>
      <c r="X22" s="4" t="n"/>
      <c r="Y22" s="29" t="n"/>
      <c r="Z22" s="16" t="n"/>
      <c r="AA22" s="16" t="n"/>
      <c r="AB22" s="16" t="n"/>
      <c r="AC22" s="20">
        <f>IF(OR(Z22="",AA22="",AB22=""),"",(--TRIM(LEFT(Z22,2)))*(--TRIM(LEFT(AA22,2)))*(--TRIM(LEFT(AB22,2))))</f>
        <v/>
      </c>
      <c r="AD22" s="20">
        <f>IF(OR(Z22="",AA22="",AB22=""),"",INDEX(APGrid,COUNTIF(APS,"&gt;"&amp;(--TRIM(LEFT(Z22,2))))*5+COUNTIF(APO,"&gt;"&amp;(--TRIM(LEFT(AA22,2))))+1,COUNTIF(APD,"&gt;"&amp;(--TRIM(LEFT(AB22,2))))+1))</f>
        <v/>
      </c>
      <c r="AE22" s="4" t="n"/>
      <c r="AF22" s="4" t="n"/>
      <c r="AH22">
        <f>IFERROR(INDEX(EqTag,_xlfn.AGGREGATE(15,6,(ROW(EqTag)-4)/((EqSys=$D$3)*(EqTag&lt;&gt;"")),ROWS($AH$14:AH22))),"")</f>
        <v/>
      </c>
    </row>
    <row r="23">
      <c r="A23" s="20">
        <f>IF(F23="","",LEFT($D$3,3)&amp;"-"&amp;TEXT(COUNTIF(F$14:F23,"?*"),"00"))</f>
        <v/>
      </c>
      <c r="B23" s="4" t="n"/>
      <c r="C23" s="5">
        <f>IF(B23="","",IFERROR(INDEX(EqTypeCol,MATCH(B23,EqTag,0)),"Tag not in register"))</f>
        <v/>
      </c>
      <c r="D23" s="4" t="n"/>
      <c r="E23" s="4" t="n"/>
      <c r="F23" s="4" t="n"/>
      <c r="G23" s="4" t="n"/>
      <c r="H23" s="4" t="n"/>
      <c r="I23" s="4" t="n"/>
      <c r="J23" s="5">
        <f>_xlfn.TEXTJOIN(CHAR(10),TRUE,IF(G23="","","• "&amp;G23),IF(H23="","","• "&amp;H23),IF(I23="","","• "&amp;I23))</f>
        <v/>
      </c>
      <c r="K23" s="4" t="n"/>
      <c r="L23" s="4" t="n"/>
      <c r="M23" s="4" t="n"/>
      <c r="N23" s="16" t="n"/>
      <c r="O23" s="4" t="n"/>
      <c r="P23" s="16" t="n"/>
      <c r="Q23" s="4" t="n"/>
      <c r="R23" s="16" t="n"/>
      <c r="S23" s="20">
        <f>IF(OR(N23="",P23="",R23=""),"",(--TRIM(LEFT(N23,2)))*(--TRIM(LEFT(P23,2)))*(--TRIM(LEFT(R23,2))))</f>
        <v/>
      </c>
      <c r="T23" s="20">
        <f>IF(OR(N23="",P23="",R23=""),"",INDEX(APGrid,COUNTIF(APS,"&gt;"&amp;(--TRIM(LEFT(N23,2))))*5+COUNTIF(APO,"&gt;"&amp;(--TRIM(LEFT(P23,2))))+1,COUNTIF(APD,"&gt;"&amp;(--TRIM(LEFT(R23,2))))+1))</f>
        <v/>
      </c>
      <c r="U23" s="20">
        <f>IF(S23="","",IF(OR((--TRIM(LEFT(N23,2)))&gt;=SThr,S23&gt;=RPNThr,T23="H"),"Yes","No"))</f>
        <v/>
      </c>
      <c r="V23" s="4" t="n"/>
      <c r="W23" s="4" t="n"/>
      <c r="X23" s="4" t="n"/>
      <c r="Y23" s="29" t="n"/>
      <c r="Z23" s="16" t="n"/>
      <c r="AA23" s="16" t="n"/>
      <c r="AB23" s="16" t="n"/>
      <c r="AC23" s="20">
        <f>IF(OR(Z23="",AA23="",AB23=""),"",(--TRIM(LEFT(Z23,2)))*(--TRIM(LEFT(AA23,2)))*(--TRIM(LEFT(AB23,2))))</f>
        <v/>
      </c>
      <c r="AD23" s="20">
        <f>IF(OR(Z23="",AA23="",AB23=""),"",INDEX(APGrid,COUNTIF(APS,"&gt;"&amp;(--TRIM(LEFT(Z23,2))))*5+COUNTIF(APO,"&gt;"&amp;(--TRIM(LEFT(AA23,2))))+1,COUNTIF(APD,"&gt;"&amp;(--TRIM(LEFT(AB23,2))))+1))</f>
        <v/>
      </c>
      <c r="AE23" s="4" t="n"/>
      <c r="AF23" s="4" t="n"/>
      <c r="AH23">
        <f>IFERROR(INDEX(EqTag,_xlfn.AGGREGATE(15,6,(ROW(EqTag)-4)/((EqSys=$D$3)*(EqTag&lt;&gt;"")),ROWS($AH$14:AH23))),"")</f>
        <v/>
      </c>
    </row>
    <row r="24">
      <c r="A24" s="20">
        <f>IF(F24="","",LEFT($D$3,3)&amp;"-"&amp;TEXT(COUNTIF(F$14:F24,"?*"),"00"))</f>
        <v/>
      </c>
      <c r="B24" s="4" t="n"/>
      <c r="C24" s="5">
        <f>IF(B24="","",IFERROR(INDEX(EqTypeCol,MATCH(B24,EqTag,0)),"Tag not in register"))</f>
        <v/>
      </c>
      <c r="D24" s="4" t="n"/>
      <c r="E24" s="4" t="n"/>
      <c r="F24" s="4" t="n"/>
      <c r="G24" s="4" t="n"/>
      <c r="H24" s="4" t="n"/>
      <c r="I24" s="4" t="n"/>
      <c r="J24" s="5">
        <f>_xlfn.TEXTJOIN(CHAR(10),TRUE,IF(G24="","","• "&amp;G24),IF(H24="","","• "&amp;H24),IF(I24="","","• "&amp;I24))</f>
        <v/>
      </c>
      <c r="K24" s="4" t="n"/>
      <c r="L24" s="4" t="n"/>
      <c r="M24" s="4" t="n"/>
      <c r="N24" s="16" t="n"/>
      <c r="O24" s="4" t="n"/>
      <c r="P24" s="16" t="n"/>
      <c r="Q24" s="4" t="n"/>
      <c r="R24" s="16" t="n"/>
      <c r="S24" s="20">
        <f>IF(OR(N24="",P24="",R24=""),"",(--TRIM(LEFT(N24,2)))*(--TRIM(LEFT(P24,2)))*(--TRIM(LEFT(R24,2))))</f>
        <v/>
      </c>
      <c r="T24" s="20">
        <f>IF(OR(N24="",P24="",R24=""),"",INDEX(APGrid,COUNTIF(APS,"&gt;"&amp;(--TRIM(LEFT(N24,2))))*5+COUNTIF(APO,"&gt;"&amp;(--TRIM(LEFT(P24,2))))+1,COUNTIF(APD,"&gt;"&amp;(--TRIM(LEFT(R24,2))))+1))</f>
        <v/>
      </c>
      <c r="U24" s="20">
        <f>IF(S24="","",IF(OR((--TRIM(LEFT(N24,2)))&gt;=SThr,S24&gt;=RPNThr,T24="H"),"Yes","No"))</f>
        <v/>
      </c>
      <c r="V24" s="4" t="n"/>
      <c r="W24" s="4" t="n"/>
      <c r="X24" s="4" t="n"/>
      <c r="Y24" s="29" t="n"/>
      <c r="Z24" s="16" t="n"/>
      <c r="AA24" s="16" t="n"/>
      <c r="AB24" s="16" t="n"/>
      <c r="AC24" s="20">
        <f>IF(OR(Z24="",AA24="",AB24=""),"",(--TRIM(LEFT(Z24,2)))*(--TRIM(LEFT(AA24,2)))*(--TRIM(LEFT(AB24,2))))</f>
        <v/>
      </c>
      <c r="AD24" s="20">
        <f>IF(OR(Z24="",AA24="",AB24=""),"",INDEX(APGrid,COUNTIF(APS,"&gt;"&amp;(--TRIM(LEFT(Z24,2))))*5+COUNTIF(APO,"&gt;"&amp;(--TRIM(LEFT(AA24,2))))+1,COUNTIF(APD,"&gt;"&amp;(--TRIM(LEFT(AB24,2))))+1))</f>
        <v/>
      </c>
      <c r="AE24" s="4" t="n"/>
      <c r="AF24" s="4" t="n"/>
      <c r="AH24">
        <f>IFERROR(INDEX(EqTag,_xlfn.AGGREGATE(15,6,(ROW(EqTag)-4)/((EqSys=$D$3)*(EqTag&lt;&gt;"")),ROWS($AH$14:AH24))),"")</f>
        <v/>
      </c>
    </row>
    <row r="25">
      <c r="A25" s="20">
        <f>IF(F25="","",LEFT($D$3,3)&amp;"-"&amp;TEXT(COUNTIF(F$14:F25,"?*"),"00"))</f>
        <v/>
      </c>
      <c r="B25" s="4" t="n"/>
      <c r="C25" s="5">
        <f>IF(B25="","",IFERROR(INDEX(EqTypeCol,MATCH(B25,EqTag,0)),"Tag not in register"))</f>
        <v/>
      </c>
      <c r="D25" s="4" t="n"/>
      <c r="E25" s="4" t="n"/>
      <c r="F25" s="4" t="n"/>
      <c r="G25" s="4" t="n"/>
      <c r="H25" s="4" t="n"/>
      <c r="I25" s="4" t="n"/>
      <c r="J25" s="5">
        <f>_xlfn.TEXTJOIN(CHAR(10),TRUE,IF(G25="","","• "&amp;G25),IF(H25="","","• "&amp;H25),IF(I25="","","• "&amp;I25))</f>
        <v/>
      </c>
      <c r="K25" s="4" t="n"/>
      <c r="L25" s="4" t="n"/>
      <c r="M25" s="4" t="n"/>
      <c r="N25" s="16" t="n"/>
      <c r="O25" s="4" t="n"/>
      <c r="P25" s="16" t="n"/>
      <c r="Q25" s="4" t="n"/>
      <c r="R25" s="16" t="n"/>
      <c r="S25" s="20">
        <f>IF(OR(N25="",P25="",R25=""),"",(--TRIM(LEFT(N25,2)))*(--TRIM(LEFT(P25,2)))*(--TRIM(LEFT(R25,2))))</f>
        <v/>
      </c>
      <c r="T25" s="20">
        <f>IF(OR(N25="",P25="",R25=""),"",INDEX(APGrid,COUNTIF(APS,"&gt;"&amp;(--TRIM(LEFT(N25,2))))*5+COUNTIF(APO,"&gt;"&amp;(--TRIM(LEFT(P25,2))))+1,COUNTIF(APD,"&gt;"&amp;(--TRIM(LEFT(R25,2))))+1))</f>
        <v/>
      </c>
      <c r="U25" s="20">
        <f>IF(S25="","",IF(OR((--TRIM(LEFT(N25,2)))&gt;=SThr,S25&gt;=RPNThr,T25="H"),"Yes","No"))</f>
        <v/>
      </c>
      <c r="V25" s="4" t="n"/>
      <c r="W25" s="4" t="n"/>
      <c r="X25" s="4" t="n"/>
      <c r="Y25" s="29" t="n"/>
      <c r="Z25" s="16" t="n"/>
      <c r="AA25" s="16" t="n"/>
      <c r="AB25" s="16" t="n"/>
      <c r="AC25" s="20">
        <f>IF(OR(Z25="",AA25="",AB25=""),"",(--TRIM(LEFT(Z25,2)))*(--TRIM(LEFT(AA25,2)))*(--TRIM(LEFT(AB25,2))))</f>
        <v/>
      </c>
      <c r="AD25" s="20">
        <f>IF(OR(Z25="",AA25="",AB25=""),"",INDEX(APGrid,COUNTIF(APS,"&gt;"&amp;(--TRIM(LEFT(Z25,2))))*5+COUNTIF(APO,"&gt;"&amp;(--TRIM(LEFT(AA25,2))))+1,COUNTIF(APD,"&gt;"&amp;(--TRIM(LEFT(AB25,2))))+1))</f>
        <v/>
      </c>
      <c r="AE25" s="4" t="n"/>
      <c r="AF25" s="4" t="n"/>
      <c r="AH25">
        <f>IFERROR(INDEX(EqTag,_xlfn.AGGREGATE(15,6,(ROW(EqTag)-4)/((EqSys=$D$3)*(EqTag&lt;&gt;"")),ROWS($AH$14:AH25))),"")</f>
        <v/>
      </c>
    </row>
    <row r="26">
      <c r="A26" s="20">
        <f>IF(F26="","",LEFT($D$3,3)&amp;"-"&amp;TEXT(COUNTIF(F$14:F26,"?*"),"00"))</f>
        <v/>
      </c>
      <c r="B26" s="4" t="n"/>
      <c r="C26" s="5">
        <f>IF(B26="","",IFERROR(INDEX(EqTypeCol,MATCH(B26,EqTag,0)),"Tag not in register"))</f>
        <v/>
      </c>
      <c r="D26" s="4" t="n"/>
      <c r="E26" s="4" t="n"/>
      <c r="F26" s="4" t="n"/>
      <c r="G26" s="4" t="n"/>
      <c r="H26" s="4" t="n"/>
      <c r="I26" s="4" t="n"/>
      <c r="J26" s="5">
        <f>_xlfn.TEXTJOIN(CHAR(10),TRUE,IF(G26="","","• "&amp;G26),IF(H26="","","• "&amp;H26),IF(I26="","","• "&amp;I26))</f>
        <v/>
      </c>
      <c r="K26" s="4" t="n"/>
      <c r="L26" s="4" t="n"/>
      <c r="M26" s="4" t="n"/>
      <c r="N26" s="16" t="n"/>
      <c r="O26" s="4" t="n"/>
      <c r="P26" s="16" t="n"/>
      <c r="Q26" s="4" t="n"/>
      <c r="R26" s="16" t="n"/>
      <c r="S26" s="20">
        <f>IF(OR(N26="",P26="",R26=""),"",(--TRIM(LEFT(N26,2)))*(--TRIM(LEFT(P26,2)))*(--TRIM(LEFT(R26,2))))</f>
        <v/>
      </c>
      <c r="T26" s="20">
        <f>IF(OR(N26="",P26="",R26=""),"",INDEX(APGrid,COUNTIF(APS,"&gt;"&amp;(--TRIM(LEFT(N26,2))))*5+COUNTIF(APO,"&gt;"&amp;(--TRIM(LEFT(P26,2))))+1,COUNTIF(APD,"&gt;"&amp;(--TRIM(LEFT(R26,2))))+1))</f>
        <v/>
      </c>
      <c r="U26" s="20">
        <f>IF(S26="","",IF(OR((--TRIM(LEFT(N26,2)))&gt;=SThr,S26&gt;=RPNThr,T26="H"),"Yes","No"))</f>
        <v/>
      </c>
      <c r="V26" s="4" t="n"/>
      <c r="W26" s="4" t="n"/>
      <c r="X26" s="4" t="n"/>
      <c r="Y26" s="29" t="n"/>
      <c r="Z26" s="16" t="n"/>
      <c r="AA26" s="16" t="n"/>
      <c r="AB26" s="16" t="n"/>
      <c r="AC26" s="20">
        <f>IF(OR(Z26="",AA26="",AB26=""),"",(--TRIM(LEFT(Z26,2)))*(--TRIM(LEFT(AA26,2)))*(--TRIM(LEFT(AB26,2))))</f>
        <v/>
      </c>
      <c r="AD26" s="20">
        <f>IF(OR(Z26="",AA26="",AB26=""),"",INDEX(APGrid,COUNTIF(APS,"&gt;"&amp;(--TRIM(LEFT(Z26,2))))*5+COUNTIF(APO,"&gt;"&amp;(--TRIM(LEFT(AA26,2))))+1,COUNTIF(APD,"&gt;"&amp;(--TRIM(LEFT(AB26,2))))+1))</f>
        <v/>
      </c>
      <c r="AE26" s="4" t="n"/>
      <c r="AF26" s="4" t="n"/>
      <c r="AH26">
        <f>IFERROR(INDEX(EqTag,_xlfn.AGGREGATE(15,6,(ROW(EqTag)-4)/((EqSys=$D$3)*(EqTag&lt;&gt;"")),ROWS($AH$14:AH26))),"")</f>
        <v/>
      </c>
    </row>
    <row r="27">
      <c r="A27" s="20">
        <f>IF(F27="","",LEFT($D$3,3)&amp;"-"&amp;TEXT(COUNTIF(F$14:F27,"?*"),"00"))</f>
        <v/>
      </c>
      <c r="B27" s="4" t="n"/>
      <c r="C27" s="5">
        <f>IF(B27="","",IFERROR(INDEX(EqTypeCol,MATCH(B27,EqTag,0)),"Tag not in register"))</f>
        <v/>
      </c>
      <c r="D27" s="4" t="n"/>
      <c r="E27" s="4" t="n"/>
      <c r="F27" s="4" t="n"/>
      <c r="G27" s="4" t="n"/>
      <c r="H27" s="4" t="n"/>
      <c r="I27" s="4" t="n"/>
      <c r="J27" s="5">
        <f>_xlfn.TEXTJOIN(CHAR(10),TRUE,IF(G27="","","• "&amp;G27),IF(H27="","","• "&amp;H27),IF(I27="","","• "&amp;I27))</f>
        <v/>
      </c>
      <c r="K27" s="4" t="n"/>
      <c r="L27" s="4" t="n"/>
      <c r="M27" s="4" t="n"/>
      <c r="N27" s="16" t="n"/>
      <c r="O27" s="4" t="n"/>
      <c r="P27" s="16" t="n"/>
      <c r="Q27" s="4" t="n"/>
      <c r="R27" s="16" t="n"/>
      <c r="S27" s="20">
        <f>IF(OR(N27="",P27="",R27=""),"",(--TRIM(LEFT(N27,2)))*(--TRIM(LEFT(P27,2)))*(--TRIM(LEFT(R27,2))))</f>
        <v/>
      </c>
      <c r="T27" s="20">
        <f>IF(OR(N27="",P27="",R27=""),"",INDEX(APGrid,COUNTIF(APS,"&gt;"&amp;(--TRIM(LEFT(N27,2))))*5+COUNTIF(APO,"&gt;"&amp;(--TRIM(LEFT(P27,2))))+1,COUNTIF(APD,"&gt;"&amp;(--TRIM(LEFT(R27,2))))+1))</f>
        <v/>
      </c>
      <c r="U27" s="20">
        <f>IF(S27="","",IF(OR((--TRIM(LEFT(N27,2)))&gt;=SThr,S27&gt;=RPNThr,T27="H"),"Yes","No"))</f>
        <v/>
      </c>
      <c r="V27" s="4" t="n"/>
      <c r="W27" s="4" t="n"/>
      <c r="X27" s="4" t="n"/>
      <c r="Y27" s="29" t="n"/>
      <c r="Z27" s="16" t="n"/>
      <c r="AA27" s="16" t="n"/>
      <c r="AB27" s="16" t="n"/>
      <c r="AC27" s="20">
        <f>IF(OR(Z27="",AA27="",AB27=""),"",(--TRIM(LEFT(Z27,2)))*(--TRIM(LEFT(AA27,2)))*(--TRIM(LEFT(AB27,2))))</f>
        <v/>
      </c>
      <c r="AD27" s="20">
        <f>IF(OR(Z27="",AA27="",AB27=""),"",INDEX(APGrid,COUNTIF(APS,"&gt;"&amp;(--TRIM(LEFT(Z27,2))))*5+COUNTIF(APO,"&gt;"&amp;(--TRIM(LEFT(AA27,2))))+1,COUNTIF(APD,"&gt;"&amp;(--TRIM(LEFT(AB27,2))))+1))</f>
        <v/>
      </c>
      <c r="AE27" s="4" t="n"/>
      <c r="AF27" s="4" t="n"/>
      <c r="AH27">
        <f>IFERROR(INDEX(EqTag,_xlfn.AGGREGATE(15,6,(ROW(EqTag)-4)/((EqSys=$D$3)*(EqTag&lt;&gt;"")),ROWS($AH$14:AH27))),"")</f>
        <v/>
      </c>
    </row>
    <row r="28">
      <c r="A28" s="20">
        <f>IF(F28="","",LEFT($D$3,3)&amp;"-"&amp;TEXT(COUNTIF(F$14:F28,"?*"),"00"))</f>
        <v/>
      </c>
      <c r="B28" s="4" t="n"/>
      <c r="C28" s="5">
        <f>IF(B28="","",IFERROR(INDEX(EqTypeCol,MATCH(B28,EqTag,0)),"Tag not in register"))</f>
        <v/>
      </c>
      <c r="D28" s="4" t="n"/>
      <c r="E28" s="4" t="n"/>
      <c r="F28" s="4" t="n"/>
      <c r="G28" s="4" t="n"/>
      <c r="H28" s="4" t="n"/>
      <c r="I28" s="4" t="n"/>
      <c r="J28" s="5">
        <f>_xlfn.TEXTJOIN(CHAR(10),TRUE,IF(G28="","","• "&amp;G28),IF(H28="","","• "&amp;H28),IF(I28="","","• "&amp;I28))</f>
        <v/>
      </c>
      <c r="K28" s="4" t="n"/>
      <c r="L28" s="4" t="n"/>
      <c r="M28" s="4" t="n"/>
      <c r="N28" s="16" t="n"/>
      <c r="O28" s="4" t="n"/>
      <c r="P28" s="16" t="n"/>
      <c r="Q28" s="4" t="n"/>
      <c r="R28" s="16" t="n"/>
      <c r="S28" s="20">
        <f>IF(OR(N28="",P28="",R28=""),"",(--TRIM(LEFT(N28,2)))*(--TRIM(LEFT(P28,2)))*(--TRIM(LEFT(R28,2))))</f>
        <v/>
      </c>
      <c r="T28" s="20">
        <f>IF(OR(N28="",P28="",R28=""),"",INDEX(APGrid,COUNTIF(APS,"&gt;"&amp;(--TRIM(LEFT(N28,2))))*5+COUNTIF(APO,"&gt;"&amp;(--TRIM(LEFT(P28,2))))+1,COUNTIF(APD,"&gt;"&amp;(--TRIM(LEFT(R28,2))))+1))</f>
        <v/>
      </c>
      <c r="U28" s="20">
        <f>IF(S28="","",IF(OR((--TRIM(LEFT(N28,2)))&gt;=SThr,S28&gt;=RPNThr,T28="H"),"Yes","No"))</f>
        <v/>
      </c>
      <c r="V28" s="4" t="n"/>
      <c r="W28" s="4" t="n"/>
      <c r="X28" s="4" t="n"/>
      <c r="Y28" s="29" t="n"/>
      <c r="Z28" s="16" t="n"/>
      <c r="AA28" s="16" t="n"/>
      <c r="AB28" s="16" t="n"/>
      <c r="AC28" s="20">
        <f>IF(OR(Z28="",AA28="",AB28=""),"",(--TRIM(LEFT(Z28,2)))*(--TRIM(LEFT(AA28,2)))*(--TRIM(LEFT(AB28,2))))</f>
        <v/>
      </c>
      <c r="AD28" s="20">
        <f>IF(OR(Z28="",AA28="",AB28=""),"",INDEX(APGrid,COUNTIF(APS,"&gt;"&amp;(--TRIM(LEFT(Z28,2))))*5+COUNTIF(APO,"&gt;"&amp;(--TRIM(LEFT(AA28,2))))+1,COUNTIF(APD,"&gt;"&amp;(--TRIM(LEFT(AB28,2))))+1))</f>
        <v/>
      </c>
      <c r="AE28" s="4" t="n"/>
      <c r="AF28" s="4" t="n"/>
      <c r="AH28">
        <f>IFERROR(INDEX(EqTag,_xlfn.AGGREGATE(15,6,(ROW(EqTag)-4)/((EqSys=$D$3)*(EqTag&lt;&gt;"")),ROWS($AH$14:AH28))),"")</f>
        <v/>
      </c>
    </row>
    <row r="29">
      <c r="A29" s="20">
        <f>IF(F29="","",LEFT($D$3,3)&amp;"-"&amp;TEXT(COUNTIF(F$14:F29,"?*"),"00"))</f>
        <v/>
      </c>
      <c r="B29" s="4" t="n"/>
      <c r="C29" s="5">
        <f>IF(B29="","",IFERROR(INDEX(EqTypeCol,MATCH(B29,EqTag,0)),"Tag not in register"))</f>
        <v/>
      </c>
      <c r="D29" s="4" t="n"/>
      <c r="E29" s="4" t="n"/>
      <c r="F29" s="4" t="n"/>
      <c r="G29" s="4" t="n"/>
      <c r="H29" s="4" t="n"/>
      <c r="I29" s="4" t="n"/>
      <c r="J29" s="5">
        <f>_xlfn.TEXTJOIN(CHAR(10),TRUE,IF(G29="","","• "&amp;G29),IF(H29="","","• "&amp;H29),IF(I29="","","• "&amp;I29))</f>
        <v/>
      </c>
      <c r="K29" s="4" t="n"/>
      <c r="L29" s="4" t="n"/>
      <c r="M29" s="4" t="n"/>
      <c r="N29" s="16" t="n"/>
      <c r="O29" s="4" t="n"/>
      <c r="P29" s="16" t="n"/>
      <c r="Q29" s="4" t="n"/>
      <c r="R29" s="16" t="n"/>
      <c r="S29" s="20">
        <f>IF(OR(N29="",P29="",R29=""),"",(--TRIM(LEFT(N29,2)))*(--TRIM(LEFT(P29,2)))*(--TRIM(LEFT(R29,2))))</f>
        <v/>
      </c>
      <c r="T29" s="20">
        <f>IF(OR(N29="",P29="",R29=""),"",INDEX(APGrid,COUNTIF(APS,"&gt;"&amp;(--TRIM(LEFT(N29,2))))*5+COUNTIF(APO,"&gt;"&amp;(--TRIM(LEFT(P29,2))))+1,COUNTIF(APD,"&gt;"&amp;(--TRIM(LEFT(R29,2))))+1))</f>
        <v/>
      </c>
      <c r="U29" s="20">
        <f>IF(S29="","",IF(OR((--TRIM(LEFT(N29,2)))&gt;=SThr,S29&gt;=RPNThr,T29="H"),"Yes","No"))</f>
        <v/>
      </c>
      <c r="V29" s="4" t="n"/>
      <c r="W29" s="4" t="n"/>
      <c r="X29" s="4" t="n"/>
      <c r="Y29" s="29" t="n"/>
      <c r="Z29" s="16" t="n"/>
      <c r="AA29" s="16" t="n"/>
      <c r="AB29" s="16" t="n"/>
      <c r="AC29" s="20">
        <f>IF(OR(Z29="",AA29="",AB29=""),"",(--TRIM(LEFT(Z29,2)))*(--TRIM(LEFT(AA29,2)))*(--TRIM(LEFT(AB29,2))))</f>
        <v/>
      </c>
      <c r="AD29" s="20">
        <f>IF(OR(Z29="",AA29="",AB29=""),"",INDEX(APGrid,COUNTIF(APS,"&gt;"&amp;(--TRIM(LEFT(Z29,2))))*5+COUNTIF(APO,"&gt;"&amp;(--TRIM(LEFT(AA29,2))))+1,COUNTIF(APD,"&gt;"&amp;(--TRIM(LEFT(AB29,2))))+1))</f>
        <v/>
      </c>
      <c r="AE29" s="4" t="n"/>
      <c r="AF29" s="4" t="n"/>
      <c r="AH29">
        <f>IFERROR(INDEX(EqTag,_xlfn.AGGREGATE(15,6,(ROW(EqTag)-4)/((EqSys=$D$3)*(EqTag&lt;&gt;"")),ROWS($AH$14:AH29))),"")</f>
        <v/>
      </c>
    </row>
    <row r="30">
      <c r="A30" s="20">
        <f>IF(F30="","",LEFT($D$3,3)&amp;"-"&amp;TEXT(COUNTIF(F$14:F30,"?*"),"00"))</f>
        <v/>
      </c>
      <c r="B30" s="4" t="n"/>
      <c r="C30" s="5">
        <f>IF(B30="","",IFERROR(INDEX(EqTypeCol,MATCH(B30,EqTag,0)),"Tag not in register"))</f>
        <v/>
      </c>
      <c r="D30" s="4" t="n"/>
      <c r="E30" s="4" t="n"/>
      <c r="F30" s="4" t="n"/>
      <c r="G30" s="4" t="n"/>
      <c r="H30" s="4" t="n"/>
      <c r="I30" s="4" t="n"/>
      <c r="J30" s="5">
        <f>_xlfn.TEXTJOIN(CHAR(10),TRUE,IF(G30="","","• "&amp;G30),IF(H30="","","• "&amp;H30),IF(I30="","","• "&amp;I30))</f>
        <v/>
      </c>
      <c r="K30" s="4" t="n"/>
      <c r="L30" s="4" t="n"/>
      <c r="M30" s="4" t="n"/>
      <c r="N30" s="16" t="n"/>
      <c r="O30" s="4" t="n"/>
      <c r="P30" s="16" t="n"/>
      <c r="Q30" s="4" t="n"/>
      <c r="R30" s="16" t="n"/>
      <c r="S30" s="20">
        <f>IF(OR(N30="",P30="",R30=""),"",(--TRIM(LEFT(N30,2)))*(--TRIM(LEFT(P30,2)))*(--TRIM(LEFT(R30,2))))</f>
        <v/>
      </c>
      <c r="T30" s="20">
        <f>IF(OR(N30="",P30="",R30=""),"",INDEX(APGrid,COUNTIF(APS,"&gt;"&amp;(--TRIM(LEFT(N30,2))))*5+COUNTIF(APO,"&gt;"&amp;(--TRIM(LEFT(P30,2))))+1,COUNTIF(APD,"&gt;"&amp;(--TRIM(LEFT(R30,2))))+1))</f>
        <v/>
      </c>
      <c r="U30" s="20">
        <f>IF(S30="","",IF(OR((--TRIM(LEFT(N30,2)))&gt;=SThr,S30&gt;=RPNThr,T30="H"),"Yes","No"))</f>
        <v/>
      </c>
      <c r="V30" s="4" t="n"/>
      <c r="W30" s="4" t="n"/>
      <c r="X30" s="4" t="n"/>
      <c r="Y30" s="29" t="n"/>
      <c r="Z30" s="16" t="n"/>
      <c r="AA30" s="16" t="n"/>
      <c r="AB30" s="16" t="n"/>
      <c r="AC30" s="20">
        <f>IF(OR(Z30="",AA30="",AB30=""),"",(--TRIM(LEFT(Z30,2)))*(--TRIM(LEFT(AA30,2)))*(--TRIM(LEFT(AB30,2))))</f>
        <v/>
      </c>
      <c r="AD30" s="20">
        <f>IF(OR(Z30="",AA30="",AB30=""),"",INDEX(APGrid,COUNTIF(APS,"&gt;"&amp;(--TRIM(LEFT(Z30,2))))*5+COUNTIF(APO,"&gt;"&amp;(--TRIM(LEFT(AA30,2))))+1,COUNTIF(APD,"&gt;"&amp;(--TRIM(LEFT(AB30,2))))+1))</f>
        <v/>
      </c>
      <c r="AE30" s="4" t="n"/>
      <c r="AF30" s="4" t="n"/>
      <c r="AH30">
        <f>IFERROR(INDEX(EqTag,_xlfn.AGGREGATE(15,6,(ROW(EqTag)-4)/((EqSys=$D$3)*(EqTag&lt;&gt;"")),ROWS($AH$14:AH30))),"")</f>
        <v/>
      </c>
    </row>
    <row r="31">
      <c r="A31" s="20">
        <f>IF(F31="","",LEFT($D$3,3)&amp;"-"&amp;TEXT(COUNTIF(F$14:F31,"?*"),"00"))</f>
        <v/>
      </c>
      <c r="B31" s="4" t="n"/>
      <c r="C31" s="5">
        <f>IF(B31="","",IFERROR(INDEX(EqTypeCol,MATCH(B31,EqTag,0)),"Tag not in register"))</f>
        <v/>
      </c>
      <c r="D31" s="4" t="n"/>
      <c r="E31" s="4" t="n"/>
      <c r="F31" s="4" t="n"/>
      <c r="G31" s="4" t="n"/>
      <c r="H31" s="4" t="n"/>
      <c r="I31" s="4" t="n"/>
      <c r="J31" s="5">
        <f>_xlfn.TEXTJOIN(CHAR(10),TRUE,IF(G31="","","• "&amp;G31),IF(H31="","","• "&amp;H31),IF(I31="","","• "&amp;I31))</f>
        <v/>
      </c>
      <c r="K31" s="4" t="n"/>
      <c r="L31" s="4" t="n"/>
      <c r="M31" s="4" t="n"/>
      <c r="N31" s="16" t="n"/>
      <c r="O31" s="4" t="n"/>
      <c r="P31" s="16" t="n"/>
      <c r="Q31" s="4" t="n"/>
      <c r="R31" s="16" t="n"/>
      <c r="S31" s="20">
        <f>IF(OR(N31="",P31="",R31=""),"",(--TRIM(LEFT(N31,2)))*(--TRIM(LEFT(P31,2)))*(--TRIM(LEFT(R31,2))))</f>
        <v/>
      </c>
      <c r="T31" s="20">
        <f>IF(OR(N31="",P31="",R31=""),"",INDEX(APGrid,COUNTIF(APS,"&gt;"&amp;(--TRIM(LEFT(N31,2))))*5+COUNTIF(APO,"&gt;"&amp;(--TRIM(LEFT(P31,2))))+1,COUNTIF(APD,"&gt;"&amp;(--TRIM(LEFT(R31,2))))+1))</f>
        <v/>
      </c>
      <c r="U31" s="20">
        <f>IF(S31="","",IF(OR((--TRIM(LEFT(N31,2)))&gt;=SThr,S31&gt;=RPNThr,T31="H"),"Yes","No"))</f>
        <v/>
      </c>
      <c r="V31" s="4" t="n"/>
      <c r="W31" s="4" t="n"/>
      <c r="X31" s="4" t="n"/>
      <c r="Y31" s="29" t="n"/>
      <c r="Z31" s="16" t="n"/>
      <c r="AA31" s="16" t="n"/>
      <c r="AB31" s="16" t="n"/>
      <c r="AC31" s="20">
        <f>IF(OR(Z31="",AA31="",AB31=""),"",(--TRIM(LEFT(Z31,2)))*(--TRIM(LEFT(AA31,2)))*(--TRIM(LEFT(AB31,2))))</f>
        <v/>
      </c>
      <c r="AD31" s="20">
        <f>IF(OR(Z31="",AA31="",AB31=""),"",INDEX(APGrid,COUNTIF(APS,"&gt;"&amp;(--TRIM(LEFT(Z31,2))))*5+COUNTIF(APO,"&gt;"&amp;(--TRIM(LEFT(AA31,2))))+1,COUNTIF(APD,"&gt;"&amp;(--TRIM(LEFT(AB31,2))))+1))</f>
        <v/>
      </c>
      <c r="AE31" s="4" t="n"/>
      <c r="AF31" s="4" t="n"/>
      <c r="AH31">
        <f>IFERROR(INDEX(EqTag,_xlfn.AGGREGATE(15,6,(ROW(EqTag)-4)/((EqSys=$D$3)*(EqTag&lt;&gt;"")),ROWS($AH$14:AH31))),"")</f>
        <v/>
      </c>
    </row>
    <row r="32">
      <c r="A32" s="20">
        <f>IF(F32="","",LEFT($D$3,3)&amp;"-"&amp;TEXT(COUNTIF(F$14:F32,"?*"),"00"))</f>
        <v/>
      </c>
      <c r="B32" s="4" t="n"/>
      <c r="C32" s="5">
        <f>IF(B32="","",IFERROR(INDEX(EqTypeCol,MATCH(B32,EqTag,0)),"Tag not in register"))</f>
        <v/>
      </c>
      <c r="D32" s="4" t="n"/>
      <c r="E32" s="4" t="n"/>
      <c r="F32" s="4" t="n"/>
      <c r="G32" s="4" t="n"/>
      <c r="H32" s="4" t="n"/>
      <c r="I32" s="4" t="n"/>
      <c r="J32" s="5">
        <f>_xlfn.TEXTJOIN(CHAR(10),TRUE,IF(G32="","","• "&amp;G32),IF(H32="","","• "&amp;H32),IF(I32="","","• "&amp;I32))</f>
        <v/>
      </c>
      <c r="K32" s="4" t="n"/>
      <c r="L32" s="4" t="n"/>
      <c r="M32" s="4" t="n"/>
      <c r="N32" s="16" t="n"/>
      <c r="O32" s="4" t="n"/>
      <c r="P32" s="16" t="n"/>
      <c r="Q32" s="4" t="n"/>
      <c r="R32" s="16" t="n"/>
      <c r="S32" s="20">
        <f>IF(OR(N32="",P32="",R32=""),"",(--TRIM(LEFT(N32,2)))*(--TRIM(LEFT(P32,2)))*(--TRIM(LEFT(R32,2))))</f>
        <v/>
      </c>
      <c r="T32" s="20">
        <f>IF(OR(N32="",P32="",R32=""),"",INDEX(APGrid,COUNTIF(APS,"&gt;"&amp;(--TRIM(LEFT(N32,2))))*5+COUNTIF(APO,"&gt;"&amp;(--TRIM(LEFT(P32,2))))+1,COUNTIF(APD,"&gt;"&amp;(--TRIM(LEFT(R32,2))))+1))</f>
        <v/>
      </c>
      <c r="U32" s="20">
        <f>IF(S32="","",IF(OR((--TRIM(LEFT(N32,2)))&gt;=SThr,S32&gt;=RPNThr,T32="H"),"Yes","No"))</f>
        <v/>
      </c>
      <c r="V32" s="4" t="n"/>
      <c r="W32" s="4" t="n"/>
      <c r="X32" s="4" t="n"/>
      <c r="Y32" s="29" t="n"/>
      <c r="Z32" s="16" t="n"/>
      <c r="AA32" s="16" t="n"/>
      <c r="AB32" s="16" t="n"/>
      <c r="AC32" s="20">
        <f>IF(OR(Z32="",AA32="",AB32=""),"",(--TRIM(LEFT(Z32,2)))*(--TRIM(LEFT(AA32,2)))*(--TRIM(LEFT(AB32,2))))</f>
        <v/>
      </c>
      <c r="AD32" s="20">
        <f>IF(OR(Z32="",AA32="",AB32=""),"",INDEX(APGrid,COUNTIF(APS,"&gt;"&amp;(--TRIM(LEFT(Z32,2))))*5+COUNTIF(APO,"&gt;"&amp;(--TRIM(LEFT(AA32,2))))+1,COUNTIF(APD,"&gt;"&amp;(--TRIM(LEFT(AB32,2))))+1))</f>
        <v/>
      </c>
      <c r="AE32" s="4" t="n"/>
      <c r="AF32" s="4" t="n"/>
      <c r="AH32">
        <f>IFERROR(INDEX(EqTag,_xlfn.AGGREGATE(15,6,(ROW(EqTag)-4)/((EqSys=$D$3)*(EqTag&lt;&gt;"")),ROWS($AH$14:AH32))),"")</f>
        <v/>
      </c>
    </row>
    <row r="33">
      <c r="A33" s="20">
        <f>IF(F33="","",LEFT($D$3,3)&amp;"-"&amp;TEXT(COUNTIF(F$14:F33,"?*"),"00"))</f>
        <v/>
      </c>
      <c r="B33" s="4" t="n"/>
      <c r="C33" s="5">
        <f>IF(B33="","",IFERROR(INDEX(EqTypeCol,MATCH(B33,EqTag,0)),"Tag not in register"))</f>
        <v/>
      </c>
      <c r="D33" s="4" t="n"/>
      <c r="E33" s="4" t="n"/>
      <c r="F33" s="4" t="n"/>
      <c r="G33" s="4" t="n"/>
      <c r="H33" s="4" t="n"/>
      <c r="I33" s="4" t="n"/>
      <c r="J33" s="5">
        <f>_xlfn.TEXTJOIN(CHAR(10),TRUE,IF(G33="","","• "&amp;G33),IF(H33="","","• "&amp;H33),IF(I33="","","• "&amp;I33))</f>
        <v/>
      </c>
      <c r="K33" s="4" t="n"/>
      <c r="L33" s="4" t="n"/>
      <c r="M33" s="4" t="n"/>
      <c r="N33" s="16" t="n"/>
      <c r="O33" s="4" t="n"/>
      <c r="P33" s="16" t="n"/>
      <c r="Q33" s="4" t="n"/>
      <c r="R33" s="16" t="n"/>
      <c r="S33" s="20">
        <f>IF(OR(N33="",P33="",R33=""),"",(--TRIM(LEFT(N33,2)))*(--TRIM(LEFT(P33,2)))*(--TRIM(LEFT(R33,2))))</f>
        <v/>
      </c>
      <c r="T33" s="20">
        <f>IF(OR(N33="",P33="",R33=""),"",INDEX(APGrid,COUNTIF(APS,"&gt;"&amp;(--TRIM(LEFT(N33,2))))*5+COUNTIF(APO,"&gt;"&amp;(--TRIM(LEFT(P33,2))))+1,COUNTIF(APD,"&gt;"&amp;(--TRIM(LEFT(R33,2))))+1))</f>
        <v/>
      </c>
      <c r="U33" s="20">
        <f>IF(S33="","",IF(OR((--TRIM(LEFT(N33,2)))&gt;=SThr,S33&gt;=RPNThr,T33="H"),"Yes","No"))</f>
        <v/>
      </c>
      <c r="V33" s="4" t="n"/>
      <c r="W33" s="4" t="n"/>
      <c r="X33" s="4" t="n"/>
      <c r="Y33" s="29" t="n"/>
      <c r="Z33" s="16" t="n"/>
      <c r="AA33" s="16" t="n"/>
      <c r="AB33" s="16" t="n"/>
      <c r="AC33" s="20">
        <f>IF(OR(Z33="",AA33="",AB33=""),"",(--TRIM(LEFT(Z33,2)))*(--TRIM(LEFT(AA33,2)))*(--TRIM(LEFT(AB33,2))))</f>
        <v/>
      </c>
      <c r="AD33" s="20">
        <f>IF(OR(Z33="",AA33="",AB33=""),"",INDEX(APGrid,COUNTIF(APS,"&gt;"&amp;(--TRIM(LEFT(Z33,2))))*5+COUNTIF(APO,"&gt;"&amp;(--TRIM(LEFT(AA33,2))))+1,COUNTIF(APD,"&gt;"&amp;(--TRIM(LEFT(AB33,2))))+1))</f>
        <v/>
      </c>
      <c r="AE33" s="4" t="n"/>
      <c r="AF33" s="4" t="n"/>
      <c r="AH33">
        <f>IFERROR(INDEX(EqTag,_xlfn.AGGREGATE(15,6,(ROW(EqTag)-4)/((EqSys=$D$3)*(EqTag&lt;&gt;"")),ROWS($AH$14:AH33))),"")</f>
        <v/>
      </c>
    </row>
    <row r="34">
      <c r="A34" s="20">
        <f>IF(F34="","",LEFT($D$3,3)&amp;"-"&amp;TEXT(COUNTIF(F$14:F34,"?*"),"00"))</f>
        <v/>
      </c>
      <c r="B34" s="4" t="n"/>
      <c r="C34" s="5">
        <f>IF(B34="","",IFERROR(INDEX(EqTypeCol,MATCH(B34,EqTag,0)),"Tag not in register"))</f>
        <v/>
      </c>
      <c r="D34" s="4" t="n"/>
      <c r="E34" s="4" t="n"/>
      <c r="F34" s="4" t="n"/>
      <c r="G34" s="4" t="n"/>
      <c r="H34" s="4" t="n"/>
      <c r="I34" s="4" t="n"/>
      <c r="J34" s="5">
        <f>_xlfn.TEXTJOIN(CHAR(10),TRUE,IF(G34="","","• "&amp;G34),IF(H34="","","• "&amp;H34),IF(I34="","","• "&amp;I34))</f>
        <v/>
      </c>
      <c r="K34" s="4" t="n"/>
      <c r="L34" s="4" t="n"/>
      <c r="M34" s="4" t="n"/>
      <c r="N34" s="16" t="n"/>
      <c r="O34" s="4" t="n"/>
      <c r="P34" s="16" t="n"/>
      <c r="Q34" s="4" t="n"/>
      <c r="R34" s="16" t="n"/>
      <c r="S34" s="20">
        <f>IF(OR(N34="",P34="",R34=""),"",(--TRIM(LEFT(N34,2)))*(--TRIM(LEFT(P34,2)))*(--TRIM(LEFT(R34,2))))</f>
        <v/>
      </c>
      <c r="T34" s="20">
        <f>IF(OR(N34="",P34="",R34=""),"",INDEX(APGrid,COUNTIF(APS,"&gt;"&amp;(--TRIM(LEFT(N34,2))))*5+COUNTIF(APO,"&gt;"&amp;(--TRIM(LEFT(P34,2))))+1,COUNTIF(APD,"&gt;"&amp;(--TRIM(LEFT(R34,2))))+1))</f>
        <v/>
      </c>
      <c r="U34" s="20">
        <f>IF(S34="","",IF(OR((--TRIM(LEFT(N34,2)))&gt;=SThr,S34&gt;=RPNThr,T34="H"),"Yes","No"))</f>
        <v/>
      </c>
      <c r="V34" s="4" t="n"/>
      <c r="W34" s="4" t="n"/>
      <c r="X34" s="4" t="n"/>
      <c r="Y34" s="29" t="n"/>
      <c r="Z34" s="16" t="n"/>
      <c r="AA34" s="16" t="n"/>
      <c r="AB34" s="16" t="n"/>
      <c r="AC34" s="20">
        <f>IF(OR(Z34="",AA34="",AB34=""),"",(--TRIM(LEFT(Z34,2)))*(--TRIM(LEFT(AA34,2)))*(--TRIM(LEFT(AB34,2))))</f>
        <v/>
      </c>
      <c r="AD34" s="20">
        <f>IF(OR(Z34="",AA34="",AB34=""),"",INDEX(APGrid,COUNTIF(APS,"&gt;"&amp;(--TRIM(LEFT(Z34,2))))*5+COUNTIF(APO,"&gt;"&amp;(--TRIM(LEFT(AA34,2))))+1,COUNTIF(APD,"&gt;"&amp;(--TRIM(LEFT(AB34,2))))+1))</f>
        <v/>
      </c>
      <c r="AE34" s="4" t="n"/>
      <c r="AF34" s="4" t="n"/>
      <c r="AH34">
        <f>IFERROR(INDEX(EqTag,_xlfn.AGGREGATE(15,6,(ROW(EqTag)-4)/((EqSys=$D$3)*(EqTag&lt;&gt;"")),ROWS($AH$14:AH34))),"")</f>
        <v/>
      </c>
    </row>
    <row r="35">
      <c r="A35" s="20">
        <f>IF(F35="","",LEFT($D$3,3)&amp;"-"&amp;TEXT(COUNTIF(F$14:F35,"?*"),"00"))</f>
        <v/>
      </c>
      <c r="B35" s="4" t="n"/>
      <c r="C35" s="5">
        <f>IF(B35="","",IFERROR(INDEX(EqTypeCol,MATCH(B35,EqTag,0)),"Tag not in register"))</f>
        <v/>
      </c>
      <c r="D35" s="4" t="n"/>
      <c r="E35" s="4" t="n"/>
      <c r="F35" s="4" t="n"/>
      <c r="G35" s="4" t="n"/>
      <c r="H35" s="4" t="n"/>
      <c r="I35" s="4" t="n"/>
      <c r="J35" s="5">
        <f>_xlfn.TEXTJOIN(CHAR(10),TRUE,IF(G35="","","• "&amp;G35),IF(H35="","","• "&amp;H35),IF(I35="","","• "&amp;I35))</f>
        <v/>
      </c>
      <c r="K35" s="4" t="n"/>
      <c r="L35" s="4" t="n"/>
      <c r="M35" s="4" t="n"/>
      <c r="N35" s="16" t="n"/>
      <c r="O35" s="4" t="n"/>
      <c r="P35" s="16" t="n"/>
      <c r="Q35" s="4" t="n"/>
      <c r="R35" s="16" t="n"/>
      <c r="S35" s="20">
        <f>IF(OR(N35="",P35="",R35=""),"",(--TRIM(LEFT(N35,2)))*(--TRIM(LEFT(P35,2)))*(--TRIM(LEFT(R35,2))))</f>
        <v/>
      </c>
      <c r="T35" s="20">
        <f>IF(OR(N35="",P35="",R35=""),"",INDEX(APGrid,COUNTIF(APS,"&gt;"&amp;(--TRIM(LEFT(N35,2))))*5+COUNTIF(APO,"&gt;"&amp;(--TRIM(LEFT(P35,2))))+1,COUNTIF(APD,"&gt;"&amp;(--TRIM(LEFT(R35,2))))+1))</f>
        <v/>
      </c>
      <c r="U35" s="20">
        <f>IF(S35="","",IF(OR((--TRIM(LEFT(N35,2)))&gt;=SThr,S35&gt;=RPNThr,T35="H"),"Yes","No"))</f>
        <v/>
      </c>
      <c r="V35" s="4" t="n"/>
      <c r="W35" s="4" t="n"/>
      <c r="X35" s="4" t="n"/>
      <c r="Y35" s="29" t="n"/>
      <c r="Z35" s="16" t="n"/>
      <c r="AA35" s="16" t="n"/>
      <c r="AB35" s="16" t="n"/>
      <c r="AC35" s="20">
        <f>IF(OR(Z35="",AA35="",AB35=""),"",(--TRIM(LEFT(Z35,2)))*(--TRIM(LEFT(AA35,2)))*(--TRIM(LEFT(AB35,2))))</f>
        <v/>
      </c>
      <c r="AD35" s="20">
        <f>IF(OR(Z35="",AA35="",AB35=""),"",INDEX(APGrid,COUNTIF(APS,"&gt;"&amp;(--TRIM(LEFT(Z35,2))))*5+COUNTIF(APO,"&gt;"&amp;(--TRIM(LEFT(AA35,2))))+1,COUNTIF(APD,"&gt;"&amp;(--TRIM(LEFT(AB35,2))))+1))</f>
        <v/>
      </c>
      <c r="AE35" s="4" t="n"/>
      <c r="AF35" s="4" t="n"/>
      <c r="AH35">
        <f>IFERROR(INDEX(EqTag,_xlfn.AGGREGATE(15,6,(ROW(EqTag)-4)/((EqSys=$D$3)*(EqTag&lt;&gt;"")),ROWS($AH$14:AH35))),"")</f>
        <v/>
      </c>
    </row>
    <row r="36">
      <c r="A36" s="20">
        <f>IF(F36="","",LEFT($D$3,3)&amp;"-"&amp;TEXT(COUNTIF(F$14:F36,"?*"),"00"))</f>
        <v/>
      </c>
      <c r="B36" s="4" t="n"/>
      <c r="C36" s="5">
        <f>IF(B36="","",IFERROR(INDEX(EqTypeCol,MATCH(B36,EqTag,0)),"Tag not in register"))</f>
        <v/>
      </c>
      <c r="D36" s="4" t="n"/>
      <c r="E36" s="4" t="n"/>
      <c r="F36" s="4" t="n"/>
      <c r="G36" s="4" t="n"/>
      <c r="H36" s="4" t="n"/>
      <c r="I36" s="4" t="n"/>
      <c r="J36" s="5">
        <f>_xlfn.TEXTJOIN(CHAR(10),TRUE,IF(G36="","","• "&amp;G36),IF(H36="","","• "&amp;H36),IF(I36="","","• "&amp;I36))</f>
        <v/>
      </c>
      <c r="K36" s="4" t="n"/>
      <c r="L36" s="4" t="n"/>
      <c r="M36" s="4" t="n"/>
      <c r="N36" s="16" t="n"/>
      <c r="O36" s="4" t="n"/>
      <c r="P36" s="16" t="n"/>
      <c r="Q36" s="4" t="n"/>
      <c r="R36" s="16" t="n"/>
      <c r="S36" s="20">
        <f>IF(OR(N36="",P36="",R36=""),"",(--TRIM(LEFT(N36,2)))*(--TRIM(LEFT(P36,2)))*(--TRIM(LEFT(R36,2))))</f>
        <v/>
      </c>
      <c r="T36" s="20">
        <f>IF(OR(N36="",P36="",R36=""),"",INDEX(APGrid,COUNTIF(APS,"&gt;"&amp;(--TRIM(LEFT(N36,2))))*5+COUNTIF(APO,"&gt;"&amp;(--TRIM(LEFT(P36,2))))+1,COUNTIF(APD,"&gt;"&amp;(--TRIM(LEFT(R36,2))))+1))</f>
        <v/>
      </c>
      <c r="U36" s="20">
        <f>IF(S36="","",IF(OR((--TRIM(LEFT(N36,2)))&gt;=SThr,S36&gt;=RPNThr,T36="H"),"Yes","No"))</f>
        <v/>
      </c>
      <c r="V36" s="4" t="n"/>
      <c r="W36" s="4" t="n"/>
      <c r="X36" s="4" t="n"/>
      <c r="Y36" s="29" t="n"/>
      <c r="Z36" s="16" t="n"/>
      <c r="AA36" s="16" t="n"/>
      <c r="AB36" s="16" t="n"/>
      <c r="AC36" s="20">
        <f>IF(OR(Z36="",AA36="",AB36=""),"",(--TRIM(LEFT(Z36,2)))*(--TRIM(LEFT(AA36,2)))*(--TRIM(LEFT(AB36,2))))</f>
        <v/>
      </c>
      <c r="AD36" s="20">
        <f>IF(OR(Z36="",AA36="",AB36=""),"",INDEX(APGrid,COUNTIF(APS,"&gt;"&amp;(--TRIM(LEFT(Z36,2))))*5+COUNTIF(APO,"&gt;"&amp;(--TRIM(LEFT(AA36,2))))+1,COUNTIF(APD,"&gt;"&amp;(--TRIM(LEFT(AB36,2))))+1))</f>
        <v/>
      </c>
      <c r="AE36" s="4" t="n"/>
      <c r="AF36" s="4" t="n"/>
      <c r="AH36">
        <f>IFERROR(INDEX(EqTag,_xlfn.AGGREGATE(15,6,(ROW(EqTag)-4)/((EqSys=$D$3)*(EqTag&lt;&gt;"")),ROWS($AH$14:AH36))),"")</f>
        <v/>
      </c>
    </row>
    <row r="37">
      <c r="A37" s="20">
        <f>IF(F37="","",LEFT($D$3,3)&amp;"-"&amp;TEXT(COUNTIF(F$14:F37,"?*"),"00"))</f>
        <v/>
      </c>
      <c r="B37" s="4" t="n"/>
      <c r="C37" s="5">
        <f>IF(B37="","",IFERROR(INDEX(EqTypeCol,MATCH(B37,EqTag,0)),"Tag not in register"))</f>
        <v/>
      </c>
      <c r="D37" s="4" t="n"/>
      <c r="E37" s="4" t="n"/>
      <c r="F37" s="4" t="n"/>
      <c r="G37" s="4" t="n"/>
      <c r="H37" s="4" t="n"/>
      <c r="I37" s="4" t="n"/>
      <c r="J37" s="5">
        <f>_xlfn.TEXTJOIN(CHAR(10),TRUE,IF(G37="","","• "&amp;G37),IF(H37="","","• "&amp;H37),IF(I37="","","• "&amp;I37))</f>
        <v/>
      </c>
      <c r="K37" s="4" t="n"/>
      <c r="L37" s="4" t="n"/>
      <c r="M37" s="4" t="n"/>
      <c r="N37" s="16" t="n"/>
      <c r="O37" s="4" t="n"/>
      <c r="P37" s="16" t="n"/>
      <c r="Q37" s="4" t="n"/>
      <c r="R37" s="16" t="n"/>
      <c r="S37" s="20">
        <f>IF(OR(N37="",P37="",R37=""),"",(--TRIM(LEFT(N37,2)))*(--TRIM(LEFT(P37,2)))*(--TRIM(LEFT(R37,2))))</f>
        <v/>
      </c>
      <c r="T37" s="20">
        <f>IF(OR(N37="",P37="",R37=""),"",INDEX(APGrid,COUNTIF(APS,"&gt;"&amp;(--TRIM(LEFT(N37,2))))*5+COUNTIF(APO,"&gt;"&amp;(--TRIM(LEFT(P37,2))))+1,COUNTIF(APD,"&gt;"&amp;(--TRIM(LEFT(R37,2))))+1))</f>
        <v/>
      </c>
      <c r="U37" s="20">
        <f>IF(S37="","",IF(OR((--TRIM(LEFT(N37,2)))&gt;=SThr,S37&gt;=RPNThr,T37="H"),"Yes","No"))</f>
        <v/>
      </c>
      <c r="V37" s="4" t="n"/>
      <c r="W37" s="4" t="n"/>
      <c r="X37" s="4" t="n"/>
      <c r="Y37" s="29" t="n"/>
      <c r="Z37" s="16" t="n"/>
      <c r="AA37" s="16" t="n"/>
      <c r="AB37" s="16" t="n"/>
      <c r="AC37" s="20">
        <f>IF(OR(Z37="",AA37="",AB37=""),"",(--TRIM(LEFT(Z37,2)))*(--TRIM(LEFT(AA37,2)))*(--TRIM(LEFT(AB37,2))))</f>
        <v/>
      </c>
      <c r="AD37" s="20">
        <f>IF(OR(Z37="",AA37="",AB37=""),"",INDEX(APGrid,COUNTIF(APS,"&gt;"&amp;(--TRIM(LEFT(Z37,2))))*5+COUNTIF(APO,"&gt;"&amp;(--TRIM(LEFT(AA37,2))))+1,COUNTIF(APD,"&gt;"&amp;(--TRIM(LEFT(AB37,2))))+1))</f>
        <v/>
      </c>
      <c r="AE37" s="4" t="n"/>
      <c r="AF37" s="4" t="n"/>
      <c r="AH37">
        <f>IFERROR(INDEX(EqTag,_xlfn.AGGREGATE(15,6,(ROW(EqTag)-4)/((EqSys=$D$3)*(EqTag&lt;&gt;"")),ROWS($AH$14:AH37))),"")</f>
        <v/>
      </c>
    </row>
    <row r="38">
      <c r="A38" s="20">
        <f>IF(F38="","",LEFT($D$3,3)&amp;"-"&amp;TEXT(COUNTIF(F$14:F38,"?*"),"00"))</f>
        <v/>
      </c>
      <c r="B38" s="4" t="n"/>
      <c r="C38" s="5">
        <f>IF(B38="","",IFERROR(INDEX(EqTypeCol,MATCH(B38,EqTag,0)),"Tag not in register"))</f>
        <v/>
      </c>
      <c r="D38" s="4" t="n"/>
      <c r="E38" s="4" t="n"/>
      <c r="F38" s="4" t="n"/>
      <c r="G38" s="4" t="n"/>
      <c r="H38" s="4" t="n"/>
      <c r="I38" s="4" t="n"/>
      <c r="J38" s="5">
        <f>_xlfn.TEXTJOIN(CHAR(10),TRUE,IF(G38="","","• "&amp;G38),IF(H38="","","• "&amp;H38),IF(I38="","","• "&amp;I38))</f>
        <v/>
      </c>
      <c r="K38" s="4" t="n"/>
      <c r="L38" s="4" t="n"/>
      <c r="M38" s="4" t="n"/>
      <c r="N38" s="16" t="n"/>
      <c r="O38" s="4" t="n"/>
      <c r="P38" s="16" t="n"/>
      <c r="Q38" s="4" t="n"/>
      <c r="R38" s="16" t="n"/>
      <c r="S38" s="20">
        <f>IF(OR(N38="",P38="",R38=""),"",(--TRIM(LEFT(N38,2)))*(--TRIM(LEFT(P38,2)))*(--TRIM(LEFT(R38,2))))</f>
        <v/>
      </c>
      <c r="T38" s="20">
        <f>IF(OR(N38="",P38="",R38=""),"",INDEX(APGrid,COUNTIF(APS,"&gt;"&amp;(--TRIM(LEFT(N38,2))))*5+COUNTIF(APO,"&gt;"&amp;(--TRIM(LEFT(P38,2))))+1,COUNTIF(APD,"&gt;"&amp;(--TRIM(LEFT(R38,2))))+1))</f>
        <v/>
      </c>
      <c r="U38" s="20">
        <f>IF(S38="","",IF(OR((--TRIM(LEFT(N38,2)))&gt;=SThr,S38&gt;=RPNThr,T38="H"),"Yes","No"))</f>
        <v/>
      </c>
      <c r="V38" s="4" t="n"/>
      <c r="W38" s="4" t="n"/>
      <c r="X38" s="4" t="n"/>
      <c r="Y38" s="29" t="n"/>
      <c r="Z38" s="16" t="n"/>
      <c r="AA38" s="16" t="n"/>
      <c r="AB38" s="16" t="n"/>
      <c r="AC38" s="20">
        <f>IF(OR(Z38="",AA38="",AB38=""),"",(--TRIM(LEFT(Z38,2)))*(--TRIM(LEFT(AA38,2)))*(--TRIM(LEFT(AB38,2))))</f>
        <v/>
      </c>
      <c r="AD38" s="20">
        <f>IF(OR(Z38="",AA38="",AB38=""),"",INDEX(APGrid,COUNTIF(APS,"&gt;"&amp;(--TRIM(LEFT(Z38,2))))*5+COUNTIF(APO,"&gt;"&amp;(--TRIM(LEFT(AA38,2))))+1,COUNTIF(APD,"&gt;"&amp;(--TRIM(LEFT(AB38,2))))+1))</f>
        <v/>
      </c>
      <c r="AE38" s="4" t="n"/>
      <c r="AF38" s="4" t="n"/>
      <c r="AH38">
        <f>IFERROR(INDEX(EqTag,_xlfn.AGGREGATE(15,6,(ROW(EqTag)-4)/((EqSys=$D$3)*(EqTag&lt;&gt;"")),ROWS($AH$14:AH38))),"")</f>
        <v/>
      </c>
    </row>
    <row r="39">
      <c r="A39" s="20">
        <f>IF(F39="","",LEFT($D$3,3)&amp;"-"&amp;TEXT(COUNTIF(F$14:F39,"?*"),"00"))</f>
        <v/>
      </c>
      <c r="B39" s="4" t="n"/>
      <c r="C39" s="5">
        <f>IF(B39="","",IFERROR(INDEX(EqTypeCol,MATCH(B39,EqTag,0)),"Tag not in register"))</f>
        <v/>
      </c>
      <c r="D39" s="4" t="n"/>
      <c r="E39" s="4" t="n"/>
      <c r="F39" s="4" t="n"/>
      <c r="G39" s="4" t="n"/>
      <c r="H39" s="4" t="n"/>
      <c r="I39" s="4" t="n"/>
      <c r="J39" s="5">
        <f>_xlfn.TEXTJOIN(CHAR(10),TRUE,IF(G39="","","• "&amp;G39),IF(H39="","","• "&amp;H39),IF(I39="","","• "&amp;I39))</f>
        <v/>
      </c>
      <c r="K39" s="4" t="n"/>
      <c r="L39" s="4" t="n"/>
      <c r="M39" s="4" t="n"/>
      <c r="N39" s="16" t="n"/>
      <c r="O39" s="4" t="n"/>
      <c r="P39" s="16" t="n"/>
      <c r="Q39" s="4" t="n"/>
      <c r="R39" s="16" t="n"/>
      <c r="S39" s="20">
        <f>IF(OR(N39="",P39="",R39=""),"",(--TRIM(LEFT(N39,2)))*(--TRIM(LEFT(P39,2)))*(--TRIM(LEFT(R39,2))))</f>
        <v/>
      </c>
      <c r="T39" s="20">
        <f>IF(OR(N39="",P39="",R39=""),"",INDEX(APGrid,COUNTIF(APS,"&gt;"&amp;(--TRIM(LEFT(N39,2))))*5+COUNTIF(APO,"&gt;"&amp;(--TRIM(LEFT(P39,2))))+1,COUNTIF(APD,"&gt;"&amp;(--TRIM(LEFT(R39,2))))+1))</f>
        <v/>
      </c>
      <c r="U39" s="20">
        <f>IF(S39="","",IF(OR((--TRIM(LEFT(N39,2)))&gt;=SThr,S39&gt;=RPNThr,T39="H"),"Yes","No"))</f>
        <v/>
      </c>
      <c r="V39" s="4" t="n"/>
      <c r="W39" s="4" t="n"/>
      <c r="X39" s="4" t="n"/>
      <c r="Y39" s="29" t="n"/>
      <c r="Z39" s="16" t="n"/>
      <c r="AA39" s="16" t="n"/>
      <c r="AB39" s="16" t="n"/>
      <c r="AC39" s="20">
        <f>IF(OR(Z39="",AA39="",AB39=""),"",(--TRIM(LEFT(Z39,2)))*(--TRIM(LEFT(AA39,2)))*(--TRIM(LEFT(AB39,2))))</f>
        <v/>
      </c>
      <c r="AD39" s="20">
        <f>IF(OR(Z39="",AA39="",AB39=""),"",INDEX(APGrid,COUNTIF(APS,"&gt;"&amp;(--TRIM(LEFT(Z39,2))))*5+COUNTIF(APO,"&gt;"&amp;(--TRIM(LEFT(AA39,2))))+1,COUNTIF(APD,"&gt;"&amp;(--TRIM(LEFT(AB39,2))))+1))</f>
        <v/>
      </c>
      <c r="AE39" s="4" t="n"/>
      <c r="AF39" s="4" t="n"/>
      <c r="AH39">
        <f>IFERROR(INDEX(EqTag,_xlfn.AGGREGATE(15,6,(ROW(EqTag)-4)/((EqSys=$D$3)*(EqTag&lt;&gt;"")),ROWS($AH$14:AH39))),"")</f>
        <v/>
      </c>
    </row>
    <row r="40">
      <c r="A40" s="20">
        <f>IF(F40="","",LEFT($D$3,3)&amp;"-"&amp;TEXT(COUNTIF(F$14:F40,"?*"),"00"))</f>
        <v/>
      </c>
      <c r="B40" s="4" t="n"/>
      <c r="C40" s="5">
        <f>IF(B40="","",IFERROR(INDEX(EqTypeCol,MATCH(B40,EqTag,0)),"Tag not in register"))</f>
        <v/>
      </c>
      <c r="D40" s="4" t="n"/>
      <c r="E40" s="4" t="n"/>
      <c r="F40" s="4" t="n"/>
      <c r="G40" s="4" t="n"/>
      <c r="H40" s="4" t="n"/>
      <c r="I40" s="4" t="n"/>
      <c r="J40" s="5">
        <f>_xlfn.TEXTJOIN(CHAR(10),TRUE,IF(G40="","","• "&amp;G40),IF(H40="","","• "&amp;H40),IF(I40="","","• "&amp;I40))</f>
        <v/>
      </c>
      <c r="K40" s="4" t="n"/>
      <c r="L40" s="4" t="n"/>
      <c r="M40" s="4" t="n"/>
      <c r="N40" s="16" t="n"/>
      <c r="O40" s="4" t="n"/>
      <c r="P40" s="16" t="n"/>
      <c r="Q40" s="4" t="n"/>
      <c r="R40" s="16" t="n"/>
      <c r="S40" s="20">
        <f>IF(OR(N40="",P40="",R40=""),"",(--TRIM(LEFT(N40,2)))*(--TRIM(LEFT(P40,2)))*(--TRIM(LEFT(R40,2))))</f>
        <v/>
      </c>
      <c r="T40" s="20">
        <f>IF(OR(N40="",P40="",R40=""),"",INDEX(APGrid,COUNTIF(APS,"&gt;"&amp;(--TRIM(LEFT(N40,2))))*5+COUNTIF(APO,"&gt;"&amp;(--TRIM(LEFT(P40,2))))+1,COUNTIF(APD,"&gt;"&amp;(--TRIM(LEFT(R40,2))))+1))</f>
        <v/>
      </c>
      <c r="U40" s="20">
        <f>IF(S40="","",IF(OR((--TRIM(LEFT(N40,2)))&gt;=SThr,S40&gt;=RPNThr,T40="H"),"Yes","No"))</f>
        <v/>
      </c>
      <c r="V40" s="4" t="n"/>
      <c r="W40" s="4" t="n"/>
      <c r="X40" s="4" t="n"/>
      <c r="Y40" s="29" t="n"/>
      <c r="Z40" s="16" t="n"/>
      <c r="AA40" s="16" t="n"/>
      <c r="AB40" s="16" t="n"/>
      <c r="AC40" s="20">
        <f>IF(OR(Z40="",AA40="",AB40=""),"",(--TRIM(LEFT(Z40,2)))*(--TRIM(LEFT(AA40,2)))*(--TRIM(LEFT(AB40,2))))</f>
        <v/>
      </c>
      <c r="AD40" s="20">
        <f>IF(OR(Z40="",AA40="",AB40=""),"",INDEX(APGrid,COUNTIF(APS,"&gt;"&amp;(--TRIM(LEFT(Z40,2))))*5+COUNTIF(APO,"&gt;"&amp;(--TRIM(LEFT(AA40,2))))+1,COUNTIF(APD,"&gt;"&amp;(--TRIM(LEFT(AB40,2))))+1))</f>
        <v/>
      </c>
      <c r="AE40" s="4" t="n"/>
      <c r="AF40" s="4" t="n"/>
      <c r="AH40">
        <f>IFERROR(INDEX(EqTag,_xlfn.AGGREGATE(15,6,(ROW(EqTag)-4)/((EqSys=$D$3)*(EqTag&lt;&gt;"")),ROWS($AH$14:AH40))),"")</f>
        <v/>
      </c>
    </row>
    <row r="41">
      <c r="A41" s="20">
        <f>IF(F41="","",LEFT($D$3,3)&amp;"-"&amp;TEXT(COUNTIF(F$14:F41,"?*"),"00"))</f>
        <v/>
      </c>
      <c r="B41" s="4" t="n"/>
      <c r="C41" s="5">
        <f>IF(B41="","",IFERROR(INDEX(EqTypeCol,MATCH(B41,EqTag,0)),"Tag not in register"))</f>
        <v/>
      </c>
      <c r="D41" s="4" t="n"/>
      <c r="E41" s="4" t="n"/>
      <c r="F41" s="4" t="n"/>
      <c r="G41" s="4" t="n"/>
      <c r="H41" s="4" t="n"/>
      <c r="I41" s="4" t="n"/>
      <c r="J41" s="5">
        <f>_xlfn.TEXTJOIN(CHAR(10),TRUE,IF(G41="","","• "&amp;G41),IF(H41="","","• "&amp;H41),IF(I41="","","• "&amp;I41))</f>
        <v/>
      </c>
      <c r="K41" s="4" t="n"/>
      <c r="L41" s="4" t="n"/>
      <c r="M41" s="4" t="n"/>
      <c r="N41" s="16" t="n"/>
      <c r="O41" s="4" t="n"/>
      <c r="P41" s="16" t="n"/>
      <c r="Q41" s="4" t="n"/>
      <c r="R41" s="16" t="n"/>
      <c r="S41" s="20">
        <f>IF(OR(N41="",P41="",R41=""),"",(--TRIM(LEFT(N41,2)))*(--TRIM(LEFT(P41,2)))*(--TRIM(LEFT(R41,2))))</f>
        <v/>
      </c>
      <c r="T41" s="20">
        <f>IF(OR(N41="",P41="",R41=""),"",INDEX(APGrid,COUNTIF(APS,"&gt;"&amp;(--TRIM(LEFT(N41,2))))*5+COUNTIF(APO,"&gt;"&amp;(--TRIM(LEFT(P41,2))))+1,COUNTIF(APD,"&gt;"&amp;(--TRIM(LEFT(R41,2))))+1))</f>
        <v/>
      </c>
      <c r="U41" s="20">
        <f>IF(S41="","",IF(OR((--TRIM(LEFT(N41,2)))&gt;=SThr,S41&gt;=RPNThr,T41="H"),"Yes","No"))</f>
        <v/>
      </c>
      <c r="V41" s="4" t="n"/>
      <c r="W41" s="4" t="n"/>
      <c r="X41" s="4" t="n"/>
      <c r="Y41" s="29" t="n"/>
      <c r="Z41" s="16" t="n"/>
      <c r="AA41" s="16" t="n"/>
      <c r="AB41" s="16" t="n"/>
      <c r="AC41" s="20">
        <f>IF(OR(Z41="",AA41="",AB41=""),"",(--TRIM(LEFT(Z41,2)))*(--TRIM(LEFT(AA41,2)))*(--TRIM(LEFT(AB41,2))))</f>
        <v/>
      </c>
      <c r="AD41" s="20">
        <f>IF(OR(Z41="",AA41="",AB41=""),"",INDEX(APGrid,COUNTIF(APS,"&gt;"&amp;(--TRIM(LEFT(Z41,2))))*5+COUNTIF(APO,"&gt;"&amp;(--TRIM(LEFT(AA41,2))))+1,COUNTIF(APD,"&gt;"&amp;(--TRIM(LEFT(AB41,2))))+1))</f>
        <v/>
      </c>
      <c r="AE41" s="4" t="n"/>
      <c r="AF41" s="4" t="n"/>
      <c r="AH41">
        <f>IFERROR(INDEX(EqTag,_xlfn.AGGREGATE(15,6,(ROW(EqTag)-4)/((EqSys=$D$3)*(EqTag&lt;&gt;"")),ROWS($AH$14:AH41))),"")</f>
        <v/>
      </c>
    </row>
    <row r="42">
      <c r="A42" s="20">
        <f>IF(F42="","",LEFT($D$3,3)&amp;"-"&amp;TEXT(COUNTIF(F$14:F42,"?*"),"00"))</f>
        <v/>
      </c>
      <c r="B42" s="4" t="n"/>
      <c r="C42" s="5">
        <f>IF(B42="","",IFERROR(INDEX(EqTypeCol,MATCH(B42,EqTag,0)),"Tag not in register"))</f>
        <v/>
      </c>
      <c r="D42" s="4" t="n"/>
      <c r="E42" s="4" t="n"/>
      <c r="F42" s="4" t="n"/>
      <c r="G42" s="4" t="n"/>
      <c r="H42" s="4" t="n"/>
      <c r="I42" s="4" t="n"/>
      <c r="J42" s="5">
        <f>_xlfn.TEXTJOIN(CHAR(10),TRUE,IF(G42="","","• "&amp;G42),IF(H42="","","• "&amp;H42),IF(I42="","","• "&amp;I42))</f>
        <v/>
      </c>
      <c r="K42" s="4" t="n"/>
      <c r="L42" s="4" t="n"/>
      <c r="M42" s="4" t="n"/>
      <c r="N42" s="16" t="n"/>
      <c r="O42" s="4" t="n"/>
      <c r="P42" s="16" t="n"/>
      <c r="Q42" s="4" t="n"/>
      <c r="R42" s="16" t="n"/>
      <c r="S42" s="20">
        <f>IF(OR(N42="",P42="",R42=""),"",(--TRIM(LEFT(N42,2)))*(--TRIM(LEFT(P42,2)))*(--TRIM(LEFT(R42,2))))</f>
        <v/>
      </c>
      <c r="T42" s="20">
        <f>IF(OR(N42="",P42="",R42=""),"",INDEX(APGrid,COUNTIF(APS,"&gt;"&amp;(--TRIM(LEFT(N42,2))))*5+COUNTIF(APO,"&gt;"&amp;(--TRIM(LEFT(P42,2))))+1,COUNTIF(APD,"&gt;"&amp;(--TRIM(LEFT(R42,2))))+1))</f>
        <v/>
      </c>
      <c r="U42" s="20">
        <f>IF(S42="","",IF(OR((--TRIM(LEFT(N42,2)))&gt;=SThr,S42&gt;=RPNThr,T42="H"),"Yes","No"))</f>
        <v/>
      </c>
      <c r="V42" s="4" t="n"/>
      <c r="W42" s="4" t="n"/>
      <c r="X42" s="4" t="n"/>
      <c r="Y42" s="29" t="n"/>
      <c r="Z42" s="16" t="n"/>
      <c r="AA42" s="16" t="n"/>
      <c r="AB42" s="16" t="n"/>
      <c r="AC42" s="20">
        <f>IF(OR(Z42="",AA42="",AB42=""),"",(--TRIM(LEFT(Z42,2)))*(--TRIM(LEFT(AA42,2)))*(--TRIM(LEFT(AB42,2))))</f>
        <v/>
      </c>
      <c r="AD42" s="20">
        <f>IF(OR(Z42="",AA42="",AB42=""),"",INDEX(APGrid,COUNTIF(APS,"&gt;"&amp;(--TRIM(LEFT(Z42,2))))*5+COUNTIF(APO,"&gt;"&amp;(--TRIM(LEFT(AA42,2))))+1,COUNTIF(APD,"&gt;"&amp;(--TRIM(LEFT(AB42,2))))+1))</f>
        <v/>
      </c>
      <c r="AE42" s="4" t="n"/>
      <c r="AF42" s="4" t="n"/>
      <c r="AH42">
        <f>IFERROR(INDEX(EqTag,_xlfn.AGGREGATE(15,6,(ROW(EqTag)-4)/((EqSys=$D$3)*(EqTag&lt;&gt;"")),ROWS($AH$14:AH42))),"")</f>
        <v/>
      </c>
    </row>
    <row r="43">
      <c r="A43" s="20">
        <f>IF(F43="","",LEFT($D$3,3)&amp;"-"&amp;TEXT(COUNTIF(F$14:F43,"?*"),"00"))</f>
        <v/>
      </c>
      <c r="B43" s="4" t="n"/>
      <c r="C43" s="5">
        <f>IF(B43="","",IFERROR(INDEX(EqTypeCol,MATCH(B43,EqTag,0)),"Tag not in register"))</f>
        <v/>
      </c>
      <c r="D43" s="4" t="n"/>
      <c r="E43" s="4" t="n"/>
      <c r="F43" s="4" t="n"/>
      <c r="G43" s="4" t="n"/>
      <c r="H43" s="4" t="n"/>
      <c r="I43" s="4" t="n"/>
      <c r="J43" s="5">
        <f>_xlfn.TEXTJOIN(CHAR(10),TRUE,IF(G43="","","• "&amp;G43),IF(H43="","","• "&amp;H43),IF(I43="","","• "&amp;I43))</f>
        <v/>
      </c>
      <c r="K43" s="4" t="n"/>
      <c r="L43" s="4" t="n"/>
      <c r="M43" s="4" t="n"/>
      <c r="N43" s="16" t="n"/>
      <c r="O43" s="4" t="n"/>
      <c r="P43" s="16" t="n"/>
      <c r="Q43" s="4" t="n"/>
      <c r="R43" s="16" t="n"/>
      <c r="S43" s="20">
        <f>IF(OR(N43="",P43="",R43=""),"",(--TRIM(LEFT(N43,2)))*(--TRIM(LEFT(P43,2)))*(--TRIM(LEFT(R43,2))))</f>
        <v/>
      </c>
      <c r="T43" s="20">
        <f>IF(OR(N43="",P43="",R43=""),"",INDEX(APGrid,COUNTIF(APS,"&gt;"&amp;(--TRIM(LEFT(N43,2))))*5+COUNTIF(APO,"&gt;"&amp;(--TRIM(LEFT(P43,2))))+1,COUNTIF(APD,"&gt;"&amp;(--TRIM(LEFT(R43,2))))+1))</f>
        <v/>
      </c>
      <c r="U43" s="20">
        <f>IF(S43="","",IF(OR((--TRIM(LEFT(N43,2)))&gt;=SThr,S43&gt;=RPNThr,T43="H"),"Yes","No"))</f>
        <v/>
      </c>
      <c r="V43" s="4" t="n"/>
      <c r="W43" s="4" t="n"/>
      <c r="X43" s="4" t="n"/>
      <c r="Y43" s="29" t="n"/>
      <c r="Z43" s="16" t="n"/>
      <c r="AA43" s="16" t="n"/>
      <c r="AB43" s="16" t="n"/>
      <c r="AC43" s="20">
        <f>IF(OR(Z43="",AA43="",AB43=""),"",(--TRIM(LEFT(Z43,2)))*(--TRIM(LEFT(AA43,2)))*(--TRIM(LEFT(AB43,2))))</f>
        <v/>
      </c>
      <c r="AD43" s="20">
        <f>IF(OR(Z43="",AA43="",AB43=""),"",INDEX(APGrid,COUNTIF(APS,"&gt;"&amp;(--TRIM(LEFT(Z43,2))))*5+COUNTIF(APO,"&gt;"&amp;(--TRIM(LEFT(AA43,2))))+1,COUNTIF(APD,"&gt;"&amp;(--TRIM(LEFT(AB43,2))))+1))</f>
        <v/>
      </c>
      <c r="AE43" s="4" t="n"/>
      <c r="AF43" s="4" t="n"/>
      <c r="AH43">
        <f>IFERROR(INDEX(EqTag,_xlfn.AGGREGATE(15,6,(ROW(EqTag)-4)/((EqSys=$D$3)*(EqTag&lt;&gt;"")),ROWS($AH$14:AH43))),"")</f>
        <v/>
      </c>
    </row>
    <row r="44">
      <c r="A44" s="20">
        <f>IF(F44="","",LEFT($D$3,3)&amp;"-"&amp;TEXT(COUNTIF(F$14:F44,"?*"),"00"))</f>
        <v/>
      </c>
      <c r="B44" s="4" t="n"/>
      <c r="C44" s="5">
        <f>IF(B44="","",IFERROR(INDEX(EqTypeCol,MATCH(B44,EqTag,0)),"Tag not in register"))</f>
        <v/>
      </c>
      <c r="D44" s="4" t="n"/>
      <c r="E44" s="4" t="n"/>
      <c r="F44" s="4" t="n"/>
      <c r="G44" s="4" t="n"/>
      <c r="H44" s="4" t="n"/>
      <c r="I44" s="4" t="n"/>
      <c r="J44" s="5">
        <f>_xlfn.TEXTJOIN(CHAR(10),TRUE,IF(G44="","","• "&amp;G44),IF(H44="","","• "&amp;H44),IF(I44="","","• "&amp;I44))</f>
        <v/>
      </c>
      <c r="K44" s="4" t="n"/>
      <c r="L44" s="4" t="n"/>
      <c r="M44" s="4" t="n"/>
      <c r="N44" s="16" t="n"/>
      <c r="O44" s="4" t="n"/>
      <c r="P44" s="16" t="n"/>
      <c r="Q44" s="4" t="n"/>
      <c r="R44" s="16" t="n"/>
      <c r="S44" s="20">
        <f>IF(OR(N44="",P44="",R44=""),"",(--TRIM(LEFT(N44,2)))*(--TRIM(LEFT(P44,2)))*(--TRIM(LEFT(R44,2))))</f>
        <v/>
      </c>
      <c r="T44" s="20">
        <f>IF(OR(N44="",P44="",R44=""),"",INDEX(APGrid,COUNTIF(APS,"&gt;"&amp;(--TRIM(LEFT(N44,2))))*5+COUNTIF(APO,"&gt;"&amp;(--TRIM(LEFT(P44,2))))+1,COUNTIF(APD,"&gt;"&amp;(--TRIM(LEFT(R44,2))))+1))</f>
        <v/>
      </c>
      <c r="U44" s="20">
        <f>IF(S44="","",IF(OR((--TRIM(LEFT(N44,2)))&gt;=SThr,S44&gt;=RPNThr,T44="H"),"Yes","No"))</f>
        <v/>
      </c>
      <c r="V44" s="4" t="n"/>
      <c r="W44" s="4" t="n"/>
      <c r="X44" s="4" t="n"/>
      <c r="Y44" s="29" t="n"/>
      <c r="Z44" s="16" t="n"/>
      <c r="AA44" s="16" t="n"/>
      <c r="AB44" s="16" t="n"/>
      <c r="AC44" s="20">
        <f>IF(OR(Z44="",AA44="",AB44=""),"",(--TRIM(LEFT(Z44,2)))*(--TRIM(LEFT(AA44,2)))*(--TRIM(LEFT(AB44,2))))</f>
        <v/>
      </c>
      <c r="AD44" s="20">
        <f>IF(OR(Z44="",AA44="",AB44=""),"",INDEX(APGrid,COUNTIF(APS,"&gt;"&amp;(--TRIM(LEFT(Z44,2))))*5+COUNTIF(APO,"&gt;"&amp;(--TRIM(LEFT(AA44,2))))+1,COUNTIF(APD,"&gt;"&amp;(--TRIM(LEFT(AB44,2))))+1))</f>
        <v/>
      </c>
      <c r="AE44" s="4" t="n"/>
      <c r="AF44" s="4" t="n"/>
      <c r="AH44">
        <f>IFERROR(INDEX(EqTag,_xlfn.AGGREGATE(15,6,(ROW(EqTag)-4)/((EqSys=$D$3)*(EqTag&lt;&gt;"")),ROWS($AH$14:AH44))),"")</f>
        <v/>
      </c>
    </row>
    <row r="45">
      <c r="A45" s="20">
        <f>IF(F45="","",LEFT($D$3,3)&amp;"-"&amp;TEXT(COUNTIF(F$14:F45,"?*"),"00"))</f>
        <v/>
      </c>
      <c r="B45" s="4" t="n"/>
      <c r="C45" s="5">
        <f>IF(B45="","",IFERROR(INDEX(EqTypeCol,MATCH(B45,EqTag,0)),"Tag not in register"))</f>
        <v/>
      </c>
      <c r="D45" s="4" t="n"/>
      <c r="E45" s="4" t="n"/>
      <c r="F45" s="4" t="n"/>
      <c r="G45" s="4" t="n"/>
      <c r="H45" s="4" t="n"/>
      <c r="I45" s="4" t="n"/>
      <c r="J45" s="5">
        <f>_xlfn.TEXTJOIN(CHAR(10),TRUE,IF(G45="","","• "&amp;G45),IF(H45="","","• "&amp;H45),IF(I45="","","• "&amp;I45))</f>
        <v/>
      </c>
      <c r="K45" s="4" t="n"/>
      <c r="L45" s="4" t="n"/>
      <c r="M45" s="4" t="n"/>
      <c r="N45" s="16" t="n"/>
      <c r="O45" s="4" t="n"/>
      <c r="P45" s="16" t="n"/>
      <c r="Q45" s="4" t="n"/>
      <c r="R45" s="16" t="n"/>
      <c r="S45" s="20">
        <f>IF(OR(N45="",P45="",R45=""),"",(--TRIM(LEFT(N45,2)))*(--TRIM(LEFT(P45,2)))*(--TRIM(LEFT(R45,2))))</f>
        <v/>
      </c>
      <c r="T45" s="20">
        <f>IF(OR(N45="",P45="",R45=""),"",INDEX(APGrid,COUNTIF(APS,"&gt;"&amp;(--TRIM(LEFT(N45,2))))*5+COUNTIF(APO,"&gt;"&amp;(--TRIM(LEFT(P45,2))))+1,COUNTIF(APD,"&gt;"&amp;(--TRIM(LEFT(R45,2))))+1))</f>
        <v/>
      </c>
      <c r="U45" s="20">
        <f>IF(S45="","",IF(OR((--TRIM(LEFT(N45,2)))&gt;=SThr,S45&gt;=RPNThr,T45="H"),"Yes","No"))</f>
        <v/>
      </c>
      <c r="V45" s="4" t="n"/>
      <c r="W45" s="4" t="n"/>
      <c r="X45" s="4" t="n"/>
      <c r="Y45" s="29" t="n"/>
      <c r="Z45" s="16" t="n"/>
      <c r="AA45" s="16" t="n"/>
      <c r="AB45" s="16" t="n"/>
      <c r="AC45" s="20">
        <f>IF(OR(Z45="",AA45="",AB45=""),"",(--TRIM(LEFT(Z45,2)))*(--TRIM(LEFT(AA45,2)))*(--TRIM(LEFT(AB45,2))))</f>
        <v/>
      </c>
      <c r="AD45" s="20">
        <f>IF(OR(Z45="",AA45="",AB45=""),"",INDEX(APGrid,COUNTIF(APS,"&gt;"&amp;(--TRIM(LEFT(Z45,2))))*5+COUNTIF(APO,"&gt;"&amp;(--TRIM(LEFT(AA45,2))))+1,COUNTIF(APD,"&gt;"&amp;(--TRIM(LEFT(AB45,2))))+1))</f>
        <v/>
      </c>
      <c r="AE45" s="4" t="n"/>
      <c r="AF45" s="4" t="n"/>
      <c r="AH45">
        <f>IFERROR(INDEX(EqTag,_xlfn.AGGREGATE(15,6,(ROW(EqTag)-4)/((EqSys=$D$3)*(EqTag&lt;&gt;"")),ROWS($AH$14:AH45))),"")</f>
        <v/>
      </c>
    </row>
    <row r="46">
      <c r="A46" s="20">
        <f>IF(F46="","",LEFT($D$3,3)&amp;"-"&amp;TEXT(COUNTIF(F$14:F46,"?*"),"00"))</f>
        <v/>
      </c>
      <c r="B46" s="4" t="n"/>
      <c r="C46" s="5">
        <f>IF(B46="","",IFERROR(INDEX(EqTypeCol,MATCH(B46,EqTag,0)),"Tag not in register"))</f>
        <v/>
      </c>
      <c r="D46" s="4" t="n"/>
      <c r="E46" s="4" t="n"/>
      <c r="F46" s="4" t="n"/>
      <c r="G46" s="4" t="n"/>
      <c r="H46" s="4" t="n"/>
      <c r="I46" s="4" t="n"/>
      <c r="J46" s="5">
        <f>_xlfn.TEXTJOIN(CHAR(10),TRUE,IF(G46="","","• "&amp;G46),IF(H46="","","• "&amp;H46),IF(I46="","","• "&amp;I46))</f>
        <v/>
      </c>
      <c r="K46" s="4" t="n"/>
      <c r="L46" s="4" t="n"/>
      <c r="M46" s="4" t="n"/>
      <c r="N46" s="16" t="n"/>
      <c r="O46" s="4" t="n"/>
      <c r="P46" s="16" t="n"/>
      <c r="Q46" s="4" t="n"/>
      <c r="R46" s="16" t="n"/>
      <c r="S46" s="20">
        <f>IF(OR(N46="",P46="",R46=""),"",(--TRIM(LEFT(N46,2)))*(--TRIM(LEFT(P46,2)))*(--TRIM(LEFT(R46,2))))</f>
        <v/>
      </c>
      <c r="T46" s="20">
        <f>IF(OR(N46="",P46="",R46=""),"",INDEX(APGrid,COUNTIF(APS,"&gt;"&amp;(--TRIM(LEFT(N46,2))))*5+COUNTIF(APO,"&gt;"&amp;(--TRIM(LEFT(P46,2))))+1,COUNTIF(APD,"&gt;"&amp;(--TRIM(LEFT(R46,2))))+1))</f>
        <v/>
      </c>
      <c r="U46" s="20">
        <f>IF(S46="","",IF(OR((--TRIM(LEFT(N46,2)))&gt;=SThr,S46&gt;=RPNThr,T46="H"),"Yes","No"))</f>
        <v/>
      </c>
      <c r="V46" s="4" t="n"/>
      <c r="W46" s="4" t="n"/>
      <c r="X46" s="4" t="n"/>
      <c r="Y46" s="29" t="n"/>
      <c r="Z46" s="16" t="n"/>
      <c r="AA46" s="16" t="n"/>
      <c r="AB46" s="16" t="n"/>
      <c r="AC46" s="20">
        <f>IF(OR(Z46="",AA46="",AB46=""),"",(--TRIM(LEFT(Z46,2)))*(--TRIM(LEFT(AA46,2)))*(--TRIM(LEFT(AB46,2))))</f>
        <v/>
      </c>
      <c r="AD46" s="20">
        <f>IF(OR(Z46="",AA46="",AB46=""),"",INDEX(APGrid,COUNTIF(APS,"&gt;"&amp;(--TRIM(LEFT(Z46,2))))*5+COUNTIF(APO,"&gt;"&amp;(--TRIM(LEFT(AA46,2))))+1,COUNTIF(APD,"&gt;"&amp;(--TRIM(LEFT(AB46,2))))+1))</f>
        <v/>
      </c>
      <c r="AE46" s="4" t="n"/>
      <c r="AF46" s="4" t="n"/>
      <c r="AH46">
        <f>IFERROR(INDEX(EqTag,_xlfn.AGGREGATE(15,6,(ROW(EqTag)-4)/((EqSys=$D$3)*(EqTag&lt;&gt;"")),ROWS($AH$14:AH46))),"")</f>
        <v/>
      </c>
    </row>
    <row r="47">
      <c r="A47" s="20">
        <f>IF(F47="","",LEFT($D$3,3)&amp;"-"&amp;TEXT(COUNTIF(F$14:F47,"?*"),"00"))</f>
        <v/>
      </c>
      <c r="B47" s="4" t="n"/>
      <c r="C47" s="5">
        <f>IF(B47="","",IFERROR(INDEX(EqTypeCol,MATCH(B47,EqTag,0)),"Tag not in register"))</f>
        <v/>
      </c>
      <c r="D47" s="4" t="n"/>
      <c r="E47" s="4" t="n"/>
      <c r="F47" s="4" t="n"/>
      <c r="G47" s="4" t="n"/>
      <c r="H47" s="4" t="n"/>
      <c r="I47" s="4" t="n"/>
      <c r="J47" s="5">
        <f>_xlfn.TEXTJOIN(CHAR(10),TRUE,IF(G47="","","• "&amp;G47),IF(H47="","","• "&amp;H47),IF(I47="","","• "&amp;I47))</f>
        <v/>
      </c>
      <c r="K47" s="4" t="n"/>
      <c r="L47" s="4" t="n"/>
      <c r="M47" s="4" t="n"/>
      <c r="N47" s="16" t="n"/>
      <c r="O47" s="4" t="n"/>
      <c r="P47" s="16" t="n"/>
      <c r="Q47" s="4" t="n"/>
      <c r="R47" s="16" t="n"/>
      <c r="S47" s="20">
        <f>IF(OR(N47="",P47="",R47=""),"",(--TRIM(LEFT(N47,2)))*(--TRIM(LEFT(P47,2)))*(--TRIM(LEFT(R47,2))))</f>
        <v/>
      </c>
      <c r="T47" s="20">
        <f>IF(OR(N47="",P47="",R47=""),"",INDEX(APGrid,COUNTIF(APS,"&gt;"&amp;(--TRIM(LEFT(N47,2))))*5+COUNTIF(APO,"&gt;"&amp;(--TRIM(LEFT(P47,2))))+1,COUNTIF(APD,"&gt;"&amp;(--TRIM(LEFT(R47,2))))+1))</f>
        <v/>
      </c>
      <c r="U47" s="20">
        <f>IF(S47="","",IF(OR((--TRIM(LEFT(N47,2)))&gt;=SThr,S47&gt;=RPNThr,T47="H"),"Yes","No"))</f>
        <v/>
      </c>
      <c r="V47" s="4" t="n"/>
      <c r="W47" s="4" t="n"/>
      <c r="X47" s="4" t="n"/>
      <c r="Y47" s="29" t="n"/>
      <c r="Z47" s="16" t="n"/>
      <c r="AA47" s="16" t="n"/>
      <c r="AB47" s="16" t="n"/>
      <c r="AC47" s="20">
        <f>IF(OR(Z47="",AA47="",AB47=""),"",(--TRIM(LEFT(Z47,2)))*(--TRIM(LEFT(AA47,2)))*(--TRIM(LEFT(AB47,2))))</f>
        <v/>
      </c>
      <c r="AD47" s="20">
        <f>IF(OR(Z47="",AA47="",AB47=""),"",INDEX(APGrid,COUNTIF(APS,"&gt;"&amp;(--TRIM(LEFT(Z47,2))))*5+COUNTIF(APO,"&gt;"&amp;(--TRIM(LEFT(AA47,2))))+1,COUNTIF(APD,"&gt;"&amp;(--TRIM(LEFT(AB47,2))))+1))</f>
        <v/>
      </c>
      <c r="AE47" s="4" t="n"/>
      <c r="AF47" s="4" t="n"/>
      <c r="AH47">
        <f>IFERROR(INDEX(EqTag,_xlfn.AGGREGATE(15,6,(ROW(EqTag)-4)/((EqSys=$D$3)*(EqTag&lt;&gt;"")),ROWS($AH$14:AH47))),"")</f>
        <v/>
      </c>
    </row>
    <row r="48">
      <c r="A48" s="20">
        <f>IF(F48="","",LEFT($D$3,3)&amp;"-"&amp;TEXT(COUNTIF(F$14:F48,"?*"),"00"))</f>
        <v/>
      </c>
      <c r="B48" s="4" t="n"/>
      <c r="C48" s="5">
        <f>IF(B48="","",IFERROR(INDEX(EqTypeCol,MATCH(B48,EqTag,0)),"Tag not in register"))</f>
        <v/>
      </c>
      <c r="D48" s="4" t="n"/>
      <c r="E48" s="4" t="n"/>
      <c r="F48" s="4" t="n"/>
      <c r="G48" s="4" t="n"/>
      <c r="H48" s="4" t="n"/>
      <c r="I48" s="4" t="n"/>
      <c r="J48" s="5">
        <f>_xlfn.TEXTJOIN(CHAR(10),TRUE,IF(G48="","","• "&amp;G48),IF(H48="","","• "&amp;H48),IF(I48="","","• "&amp;I48))</f>
        <v/>
      </c>
      <c r="K48" s="4" t="n"/>
      <c r="L48" s="4" t="n"/>
      <c r="M48" s="4" t="n"/>
      <c r="N48" s="16" t="n"/>
      <c r="O48" s="4" t="n"/>
      <c r="P48" s="16" t="n"/>
      <c r="Q48" s="4" t="n"/>
      <c r="R48" s="16" t="n"/>
      <c r="S48" s="20">
        <f>IF(OR(N48="",P48="",R48=""),"",(--TRIM(LEFT(N48,2)))*(--TRIM(LEFT(P48,2)))*(--TRIM(LEFT(R48,2))))</f>
        <v/>
      </c>
      <c r="T48" s="20">
        <f>IF(OR(N48="",P48="",R48=""),"",INDEX(APGrid,COUNTIF(APS,"&gt;"&amp;(--TRIM(LEFT(N48,2))))*5+COUNTIF(APO,"&gt;"&amp;(--TRIM(LEFT(P48,2))))+1,COUNTIF(APD,"&gt;"&amp;(--TRIM(LEFT(R48,2))))+1))</f>
        <v/>
      </c>
      <c r="U48" s="20">
        <f>IF(S48="","",IF(OR((--TRIM(LEFT(N48,2)))&gt;=SThr,S48&gt;=RPNThr,T48="H"),"Yes","No"))</f>
        <v/>
      </c>
      <c r="V48" s="4" t="n"/>
      <c r="W48" s="4" t="n"/>
      <c r="X48" s="4" t="n"/>
      <c r="Y48" s="29" t="n"/>
      <c r="Z48" s="16" t="n"/>
      <c r="AA48" s="16" t="n"/>
      <c r="AB48" s="16" t="n"/>
      <c r="AC48" s="20">
        <f>IF(OR(Z48="",AA48="",AB48=""),"",(--TRIM(LEFT(Z48,2)))*(--TRIM(LEFT(AA48,2)))*(--TRIM(LEFT(AB48,2))))</f>
        <v/>
      </c>
      <c r="AD48" s="20">
        <f>IF(OR(Z48="",AA48="",AB48=""),"",INDEX(APGrid,COUNTIF(APS,"&gt;"&amp;(--TRIM(LEFT(Z48,2))))*5+COUNTIF(APO,"&gt;"&amp;(--TRIM(LEFT(AA48,2))))+1,COUNTIF(APD,"&gt;"&amp;(--TRIM(LEFT(AB48,2))))+1))</f>
        <v/>
      </c>
      <c r="AE48" s="4" t="n"/>
      <c r="AF48" s="4" t="n"/>
      <c r="AH48">
        <f>IFERROR(INDEX(EqTag,_xlfn.AGGREGATE(15,6,(ROW(EqTag)-4)/((EqSys=$D$3)*(EqTag&lt;&gt;"")),ROWS($AH$14:AH48))),"")</f>
        <v/>
      </c>
    </row>
    <row r="49">
      <c r="A49" s="20">
        <f>IF(F49="","",LEFT($D$3,3)&amp;"-"&amp;TEXT(COUNTIF(F$14:F49,"?*"),"00"))</f>
        <v/>
      </c>
      <c r="B49" s="4" t="n"/>
      <c r="C49" s="5">
        <f>IF(B49="","",IFERROR(INDEX(EqTypeCol,MATCH(B49,EqTag,0)),"Tag not in register"))</f>
        <v/>
      </c>
      <c r="D49" s="4" t="n"/>
      <c r="E49" s="4" t="n"/>
      <c r="F49" s="4" t="n"/>
      <c r="G49" s="4" t="n"/>
      <c r="H49" s="4" t="n"/>
      <c r="I49" s="4" t="n"/>
      <c r="J49" s="5">
        <f>_xlfn.TEXTJOIN(CHAR(10),TRUE,IF(G49="","","• "&amp;G49),IF(H49="","","• "&amp;H49),IF(I49="","","• "&amp;I49))</f>
        <v/>
      </c>
      <c r="K49" s="4" t="n"/>
      <c r="L49" s="4" t="n"/>
      <c r="M49" s="4" t="n"/>
      <c r="N49" s="16" t="n"/>
      <c r="O49" s="4" t="n"/>
      <c r="P49" s="16" t="n"/>
      <c r="Q49" s="4" t="n"/>
      <c r="R49" s="16" t="n"/>
      <c r="S49" s="20">
        <f>IF(OR(N49="",P49="",R49=""),"",(--TRIM(LEFT(N49,2)))*(--TRIM(LEFT(P49,2)))*(--TRIM(LEFT(R49,2))))</f>
        <v/>
      </c>
      <c r="T49" s="20">
        <f>IF(OR(N49="",P49="",R49=""),"",INDEX(APGrid,COUNTIF(APS,"&gt;"&amp;(--TRIM(LEFT(N49,2))))*5+COUNTIF(APO,"&gt;"&amp;(--TRIM(LEFT(P49,2))))+1,COUNTIF(APD,"&gt;"&amp;(--TRIM(LEFT(R49,2))))+1))</f>
        <v/>
      </c>
      <c r="U49" s="20">
        <f>IF(S49="","",IF(OR((--TRIM(LEFT(N49,2)))&gt;=SThr,S49&gt;=RPNThr,T49="H"),"Yes","No"))</f>
        <v/>
      </c>
      <c r="V49" s="4" t="n"/>
      <c r="W49" s="4" t="n"/>
      <c r="X49" s="4" t="n"/>
      <c r="Y49" s="29" t="n"/>
      <c r="Z49" s="16" t="n"/>
      <c r="AA49" s="16" t="n"/>
      <c r="AB49" s="16" t="n"/>
      <c r="AC49" s="20">
        <f>IF(OR(Z49="",AA49="",AB49=""),"",(--TRIM(LEFT(Z49,2)))*(--TRIM(LEFT(AA49,2)))*(--TRIM(LEFT(AB49,2))))</f>
        <v/>
      </c>
      <c r="AD49" s="20">
        <f>IF(OR(Z49="",AA49="",AB49=""),"",INDEX(APGrid,COUNTIF(APS,"&gt;"&amp;(--TRIM(LEFT(Z49,2))))*5+COUNTIF(APO,"&gt;"&amp;(--TRIM(LEFT(AA49,2))))+1,COUNTIF(APD,"&gt;"&amp;(--TRIM(LEFT(AB49,2))))+1))</f>
        <v/>
      </c>
      <c r="AE49" s="4" t="n"/>
      <c r="AF49" s="4" t="n"/>
      <c r="AH49">
        <f>IFERROR(INDEX(EqTag,_xlfn.AGGREGATE(15,6,(ROW(EqTag)-4)/((EqSys=$D$3)*(EqTag&lt;&gt;"")),ROWS($AH$14:AH49))),"")</f>
        <v/>
      </c>
    </row>
    <row r="50">
      <c r="A50" s="20">
        <f>IF(F50="","",LEFT($D$3,3)&amp;"-"&amp;TEXT(COUNTIF(F$14:F50,"?*"),"00"))</f>
        <v/>
      </c>
      <c r="B50" s="4" t="n"/>
      <c r="C50" s="5">
        <f>IF(B50="","",IFERROR(INDEX(EqTypeCol,MATCH(B50,EqTag,0)),"Tag not in register"))</f>
        <v/>
      </c>
      <c r="D50" s="4" t="n"/>
      <c r="E50" s="4" t="n"/>
      <c r="F50" s="4" t="n"/>
      <c r="G50" s="4" t="n"/>
      <c r="H50" s="4" t="n"/>
      <c r="I50" s="4" t="n"/>
      <c r="J50" s="5">
        <f>_xlfn.TEXTJOIN(CHAR(10),TRUE,IF(G50="","","• "&amp;G50),IF(H50="","","• "&amp;H50),IF(I50="","","• "&amp;I50))</f>
        <v/>
      </c>
      <c r="K50" s="4" t="n"/>
      <c r="L50" s="4" t="n"/>
      <c r="M50" s="4" t="n"/>
      <c r="N50" s="16" t="n"/>
      <c r="O50" s="4" t="n"/>
      <c r="P50" s="16" t="n"/>
      <c r="Q50" s="4" t="n"/>
      <c r="R50" s="16" t="n"/>
      <c r="S50" s="20">
        <f>IF(OR(N50="",P50="",R50=""),"",(--TRIM(LEFT(N50,2)))*(--TRIM(LEFT(P50,2)))*(--TRIM(LEFT(R50,2))))</f>
        <v/>
      </c>
      <c r="T50" s="20">
        <f>IF(OR(N50="",P50="",R50=""),"",INDEX(APGrid,COUNTIF(APS,"&gt;"&amp;(--TRIM(LEFT(N50,2))))*5+COUNTIF(APO,"&gt;"&amp;(--TRIM(LEFT(P50,2))))+1,COUNTIF(APD,"&gt;"&amp;(--TRIM(LEFT(R50,2))))+1))</f>
        <v/>
      </c>
      <c r="U50" s="20">
        <f>IF(S50="","",IF(OR((--TRIM(LEFT(N50,2)))&gt;=SThr,S50&gt;=RPNThr,T50="H"),"Yes","No"))</f>
        <v/>
      </c>
      <c r="V50" s="4" t="n"/>
      <c r="W50" s="4" t="n"/>
      <c r="X50" s="4" t="n"/>
      <c r="Y50" s="29" t="n"/>
      <c r="Z50" s="16" t="n"/>
      <c r="AA50" s="16" t="n"/>
      <c r="AB50" s="16" t="n"/>
      <c r="AC50" s="20">
        <f>IF(OR(Z50="",AA50="",AB50=""),"",(--TRIM(LEFT(Z50,2)))*(--TRIM(LEFT(AA50,2)))*(--TRIM(LEFT(AB50,2))))</f>
        <v/>
      </c>
      <c r="AD50" s="20">
        <f>IF(OR(Z50="",AA50="",AB50=""),"",INDEX(APGrid,COUNTIF(APS,"&gt;"&amp;(--TRIM(LEFT(Z50,2))))*5+COUNTIF(APO,"&gt;"&amp;(--TRIM(LEFT(AA50,2))))+1,COUNTIF(APD,"&gt;"&amp;(--TRIM(LEFT(AB50,2))))+1))</f>
        <v/>
      </c>
      <c r="AE50" s="4" t="n"/>
      <c r="AF50" s="4" t="n"/>
      <c r="AH50">
        <f>IFERROR(INDEX(EqTag,_xlfn.AGGREGATE(15,6,(ROW(EqTag)-4)/((EqSys=$D$3)*(EqTag&lt;&gt;"")),ROWS($AH$14:AH50))),"")</f>
        <v/>
      </c>
    </row>
    <row r="51">
      <c r="A51" s="20">
        <f>IF(F51="","",LEFT($D$3,3)&amp;"-"&amp;TEXT(COUNTIF(F$14:F51,"?*"),"00"))</f>
        <v/>
      </c>
      <c r="B51" s="4" t="n"/>
      <c r="C51" s="5">
        <f>IF(B51="","",IFERROR(INDEX(EqTypeCol,MATCH(B51,EqTag,0)),"Tag not in register"))</f>
        <v/>
      </c>
      <c r="D51" s="4" t="n"/>
      <c r="E51" s="4" t="n"/>
      <c r="F51" s="4" t="n"/>
      <c r="G51" s="4" t="n"/>
      <c r="H51" s="4" t="n"/>
      <c r="I51" s="4" t="n"/>
      <c r="J51" s="5">
        <f>_xlfn.TEXTJOIN(CHAR(10),TRUE,IF(G51="","","• "&amp;G51),IF(H51="","","• "&amp;H51),IF(I51="","","• "&amp;I51))</f>
        <v/>
      </c>
      <c r="K51" s="4" t="n"/>
      <c r="L51" s="4" t="n"/>
      <c r="M51" s="4" t="n"/>
      <c r="N51" s="16" t="n"/>
      <c r="O51" s="4" t="n"/>
      <c r="P51" s="16" t="n"/>
      <c r="Q51" s="4" t="n"/>
      <c r="R51" s="16" t="n"/>
      <c r="S51" s="20">
        <f>IF(OR(N51="",P51="",R51=""),"",(--TRIM(LEFT(N51,2)))*(--TRIM(LEFT(P51,2)))*(--TRIM(LEFT(R51,2))))</f>
        <v/>
      </c>
      <c r="T51" s="20">
        <f>IF(OR(N51="",P51="",R51=""),"",INDEX(APGrid,COUNTIF(APS,"&gt;"&amp;(--TRIM(LEFT(N51,2))))*5+COUNTIF(APO,"&gt;"&amp;(--TRIM(LEFT(P51,2))))+1,COUNTIF(APD,"&gt;"&amp;(--TRIM(LEFT(R51,2))))+1))</f>
        <v/>
      </c>
      <c r="U51" s="20">
        <f>IF(S51="","",IF(OR((--TRIM(LEFT(N51,2)))&gt;=SThr,S51&gt;=RPNThr,T51="H"),"Yes","No"))</f>
        <v/>
      </c>
      <c r="V51" s="4" t="n"/>
      <c r="W51" s="4" t="n"/>
      <c r="X51" s="4" t="n"/>
      <c r="Y51" s="29" t="n"/>
      <c r="Z51" s="16" t="n"/>
      <c r="AA51" s="16" t="n"/>
      <c r="AB51" s="16" t="n"/>
      <c r="AC51" s="20">
        <f>IF(OR(Z51="",AA51="",AB51=""),"",(--TRIM(LEFT(Z51,2)))*(--TRIM(LEFT(AA51,2)))*(--TRIM(LEFT(AB51,2))))</f>
        <v/>
      </c>
      <c r="AD51" s="20">
        <f>IF(OR(Z51="",AA51="",AB51=""),"",INDEX(APGrid,COUNTIF(APS,"&gt;"&amp;(--TRIM(LEFT(Z51,2))))*5+COUNTIF(APO,"&gt;"&amp;(--TRIM(LEFT(AA51,2))))+1,COUNTIF(APD,"&gt;"&amp;(--TRIM(LEFT(AB51,2))))+1))</f>
        <v/>
      </c>
      <c r="AE51" s="4" t="n"/>
      <c r="AF51" s="4" t="n"/>
      <c r="AH51">
        <f>IFERROR(INDEX(EqTag,_xlfn.AGGREGATE(15,6,(ROW(EqTag)-4)/((EqSys=$D$3)*(EqTag&lt;&gt;"")),ROWS($AH$14:AH51))),"")</f>
        <v/>
      </c>
    </row>
    <row r="52">
      <c r="A52" s="20">
        <f>IF(F52="","",LEFT($D$3,3)&amp;"-"&amp;TEXT(COUNTIF(F$14:F52,"?*"),"00"))</f>
        <v/>
      </c>
      <c r="B52" s="4" t="n"/>
      <c r="C52" s="5">
        <f>IF(B52="","",IFERROR(INDEX(EqTypeCol,MATCH(B52,EqTag,0)),"Tag not in register"))</f>
        <v/>
      </c>
      <c r="D52" s="4" t="n"/>
      <c r="E52" s="4" t="n"/>
      <c r="F52" s="4" t="n"/>
      <c r="G52" s="4" t="n"/>
      <c r="H52" s="4" t="n"/>
      <c r="I52" s="4" t="n"/>
      <c r="J52" s="5">
        <f>_xlfn.TEXTJOIN(CHAR(10),TRUE,IF(G52="","","• "&amp;G52),IF(H52="","","• "&amp;H52),IF(I52="","","• "&amp;I52))</f>
        <v/>
      </c>
      <c r="K52" s="4" t="n"/>
      <c r="L52" s="4" t="n"/>
      <c r="M52" s="4" t="n"/>
      <c r="N52" s="16" t="n"/>
      <c r="O52" s="4" t="n"/>
      <c r="P52" s="16" t="n"/>
      <c r="Q52" s="4" t="n"/>
      <c r="R52" s="16" t="n"/>
      <c r="S52" s="20">
        <f>IF(OR(N52="",P52="",R52=""),"",(--TRIM(LEFT(N52,2)))*(--TRIM(LEFT(P52,2)))*(--TRIM(LEFT(R52,2))))</f>
        <v/>
      </c>
      <c r="T52" s="20">
        <f>IF(OR(N52="",P52="",R52=""),"",INDEX(APGrid,COUNTIF(APS,"&gt;"&amp;(--TRIM(LEFT(N52,2))))*5+COUNTIF(APO,"&gt;"&amp;(--TRIM(LEFT(P52,2))))+1,COUNTIF(APD,"&gt;"&amp;(--TRIM(LEFT(R52,2))))+1))</f>
        <v/>
      </c>
      <c r="U52" s="20">
        <f>IF(S52="","",IF(OR((--TRIM(LEFT(N52,2)))&gt;=SThr,S52&gt;=RPNThr,T52="H"),"Yes","No"))</f>
        <v/>
      </c>
      <c r="V52" s="4" t="n"/>
      <c r="W52" s="4" t="n"/>
      <c r="X52" s="4" t="n"/>
      <c r="Y52" s="29" t="n"/>
      <c r="Z52" s="16" t="n"/>
      <c r="AA52" s="16" t="n"/>
      <c r="AB52" s="16" t="n"/>
      <c r="AC52" s="20">
        <f>IF(OR(Z52="",AA52="",AB52=""),"",(--TRIM(LEFT(Z52,2)))*(--TRIM(LEFT(AA52,2)))*(--TRIM(LEFT(AB52,2))))</f>
        <v/>
      </c>
      <c r="AD52" s="20">
        <f>IF(OR(Z52="",AA52="",AB52=""),"",INDEX(APGrid,COUNTIF(APS,"&gt;"&amp;(--TRIM(LEFT(Z52,2))))*5+COUNTIF(APO,"&gt;"&amp;(--TRIM(LEFT(AA52,2))))+1,COUNTIF(APD,"&gt;"&amp;(--TRIM(LEFT(AB52,2))))+1))</f>
        <v/>
      </c>
      <c r="AE52" s="4" t="n"/>
      <c r="AF52" s="4" t="n"/>
      <c r="AH52">
        <f>IFERROR(INDEX(EqTag,_xlfn.AGGREGATE(15,6,(ROW(EqTag)-4)/((EqSys=$D$3)*(EqTag&lt;&gt;"")),ROWS($AH$14:AH52))),"")</f>
        <v/>
      </c>
    </row>
    <row r="53">
      <c r="A53" s="20">
        <f>IF(F53="","",LEFT($D$3,3)&amp;"-"&amp;TEXT(COUNTIF(F$14:F53,"?*"),"00"))</f>
        <v/>
      </c>
      <c r="B53" s="4" t="n"/>
      <c r="C53" s="5">
        <f>IF(B53="","",IFERROR(INDEX(EqTypeCol,MATCH(B53,EqTag,0)),"Tag not in register"))</f>
        <v/>
      </c>
      <c r="D53" s="4" t="n"/>
      <c r="E53" s="4" t="n"/>
      <c r="F53" s="4" t="n"/>
      <c r="G53" s="4" t="n"/>
      <c r="H53" s="4" t="n"/>
      <c r="I53" s="4" t="n"/>
      <c r="J53" s="5">
        <f>_xlfn.TEXTJOIN(CHAR(10),TRUE,IF(G53="","","• "&amp;G53),IF(H53="","","• "&amp;H53),IF(I53="","","• "&amp;I53))</f>
        <v/>
      </c>
      <c r="K53" s="4" t="n"/>
      <c r="L53" s="4" t="n"/>
      <c r="M53" s="4" t="n"/>
      <c r="N53" s="16" t="n"/>
      <c r="O53" s="4" t="n"/>
      <c r="P53" s="16" t="n"/>
      <c r="Q53" s="4" t="n"/>
      <c r="R53" s="16" t="n"/>
      <c r="S53" s="20">
        <f>IF(OR(N53="",P53="",R53=""),"",(--TRIM(LEFT(N53,2)))*(--TRIM(LEFT(P53,2)))*(--TRIM(LEFT(R53,2))))</f>
        <v/>
      </c>
      <c r="T53" s="20">
        <f>IF(OR(N53="",P53="",R53=""),"",INDEX(APGrid,COUNTIF(APS,"&gt;"&amp;(--TRIM(LEFT(N53,2))))*5+COUNTIF(APO,"&gt;"&amp;(--TRIM(LEFT(P53,2))))+1,COUNTIF(APD,"&gt;"&amp;(--TRIM(LEFT(R53,2))))+1))</f>
        <v/>
      </c>
      <c r="U53" s="20">
        <f>IF(S53="","",IF(OR((--TRIM(LEFT(N53,2)))&gt;=SThr,S53&gt;=RPNThr,T53="H"),"Yes","No"))</f>
        <v/>
      </c>
      <c r="V53" s="4" t="n"/>
      <c r="W53" s="4" t="n"/>
      <c r="X53" s="4" t="n"/>
      <c r="Y53" s="29" t="n"/>
      <c r="Z53" s="16" t="n"/>
      <c r="AA53" s="16" t="n"/>
      <c r="AB53" s="16" t="n"/>
      <c r="AC53" s="20">
        <f>IF(OR(Z53="",AA53="",AB53=""),"",(--TRIM(LEFT(Z53,2)))*(--TRIM(LEFT(AA53,2)))*(--TRIM(LEFT(AB53,2))))</f>
        <v/>
      </c>
      <c r="AD53" s="20">
        <f>IF(OR(Z53="",AA53="",AB53=""),"",INDEX(APGrid,COUNTIF(APS,"&gt;"&amp;(--TRIM(LEFT(Z53,2))))*5+COUNTIF(APO,"&gt;"&amp;(--TRIM(LEFT(AA53,2))))+1,COUNTIF(APD,"&gt;"&amp;(--TRIM(LEFT(AB53,2))))+1))</f>
        <v/>
      </c>
      <c r="AE53" s="4" t="n"/>
      <c r="AF53" s="4" t="n"/>
      <c r="AH53">
        <f>IFERROR(INDEX(EqTag,_xlfn.AGGREGATE(15,6,(ROW(EqTag)-4)/((EqSys=$D$3)*(EqTag&lt;&gt;"")),ROWS($AH$14:AH53))),"")</f>
        <v/>
      </c>
    </row>
    <row r="54">
      <c r="A54" s="20">
        <f>IF(F54="","",LEFT($D$3,3)&amp;"-"&amp;TEXT(COUNTIF(F$14:F54,"?*"),"00"))</f>
        <v/>
      </c>
      <c r="B54" s="4" t="n"/>
      <c r="C54" s="5">
        <f>IF(B54="","",IFERROR(INDEX(EqTypeCol,MATCH(B54,EqTag,0)),"Tag not in register"))</f>
        <v/>
      </c>
      <c r="D54" s="4" t="n"/>
      <c r="E54" s="4" t="n"/>
      <c r="F54" s="4" t="n"/>
      <c r="G54" s="4" t="n"/>
      <c r="H54" s="4" t="n"/>
      <c r="I54" s="4" t="n"/>
      <c r="J54" s="5">
        <f>_xlfn.TEXTJOIN(CHAR(10),TRUE,IF(G54="","","• "&amp;G54),IF(H54="","","• "&amp;H54),IF(I54="","","• "&amp;I54))</f>
        <v/>
      </c>
      <c r="K54" s="4" t="n"/>
      <c r="L54" s="4" t="n"/>
      <c r="M54" s="4" t="n"/>
      <c r="N54" s="16" t="n"/>
      <c r="O54" s="4" t="n"/>
      <c r="P54" s="16" t="n"/>
      <c r="Q54" s="4" t="n"/>
      <c r="R54" s="16" t="n"/>
      <c r="S54" s="20">
        <f>IF(OR(N54="",P54="",R54=""),"",(--TRIM(LEFT(N54,2)))*(--TRIM(LEFT(P54,2)))*(--TRIM(LEFT(R54,2))))</f>
        <v/>
      </c>
      <c r="T54" s="20">
        <f>IF(OR(N54="",P54="",R54=""),"",INDEX(APGrid,COUNTIF(APS,"&gt;"&amp;(--TRIM(LEFT(N54,2))))*5+COUNTIF(APO,"&gt;"&amp;(--TRIM(LEFT(P54,2))))+1,COUNTIF(APD,"&gt;"&amp;(--TRIM(LEFT(R54,2))))+1))</f>
        <v/>
      </c>
      <c r="U54" s="20">
        <f>IF(S54="","",IF(OR((--TRIM(LEFT(N54,2)))&gt;=SThr,S54&gt;=RPNThr,T54="H"),"Yes","No"))</f>
        <v/>
      </c>
      <c r="V54" s="4" t="n"/>
      <c r="W54" s="4" t="n"/>
      <c r="X54" s="4" t="n"/>
      <c r="Y54" s="29" t="n"/>
      <c r="Z54" s="16" t="n"/>
      <c r="AA54" s="16" t="n"/>
      <c r="AB54" s="16" t="n"/>
      <c r="AC54" s="20">
        <f>IF(OR(Z54="",AA54="",AB54=""),"",(--TRIM(LEFT(Z54,2)))*(--TRIM(LEFT(AA54,2)))*(--TRIM(LEFT(AB54,2))))</f>
        <v/>
      </c>
      <c r="AD54" s="20">
        <f>IF(OR(Z54="",AA54="",AB54=""),"",INDEX(APGrid,COUNTIF(APS,"&gt;"&amp;(--TRIM(LEFT(Z54,2))))*5+COUNTIF(APO,"&gt;"&amp;(--TRIM(LEFT(AA54,2))))+1,COUNTIF(APD,"&gt;"&amp;(--TRIM(LEFT(AB54,2))))+1))</f>
        <v/>
      </c>
      <c r="AE54" s="4" t="n"/>
      <c r="AF54" s="4" t="n"/>
      <c r="AH54">
        <f>IFERROR(INDEX(EqTag,_xlfn.AGGREGATE(15,6,(ROW(EqTag)-4)/((EqSys=$D$3)*(EqTag&lt;&gt;"")),ROWS($AH$14:AH54))),"")</f>
        <v/>
      </c>
    </row>
    <row r="55">
      <c r="A55" s="20">
        <f>IF(F55="","",LEFT($D$3,3)&amp;"-"&amp;TEXT(COUNTIF(F$14:F55,"?*"),"00"))</f>
        <v/>
      </c>
      <c r="B55" s="4" t="n"/>
      <c r="C55" s="5">
        <f>IF(B55="","",IFERROR(INDEX(EqTypeCol,MATCH(B55,EqTag,0)),"Tag not in register"))</f>
        <v/>
      </c>
      <c r="D55" s="4" t="n"/>
      <c r="E55" s="4" t="n"/>
      <c r="F55" s="4" t="n"/>
      <c r="G55" s="4" t="n"/>
      <c r="H55" s="4" t="n"/>
      <c r="I55" s="4" t="n"/>
      <c r="J55" s="5">
        <f>_xlfn.TEXTJOIN(CHAR(10),TRUE,IF(G55="","","• "&amp;G55),IF(H55="","","• "&amp;H55),IF(I55="","","• "&amp;I55))</f>
        <v/>
      </c>
      <c r="K55" s="4" t="n"/>
      <c r="L55" s="4" t="n"/>
      <c r="M55" s="4" t="n"/>
      <c r="N55" s="16" t="n"/>
      <c r="O55" s="4" t="n"/>
      <c r="P55" s="16" t="n"/>
      <c r="Q55" s="4" t="n"/>
      <c r="R55" s="16" t="n"/>
      <c r="S55" s="20">
        <f>IF(OR(N55="",P55="",R55=""),"",(--TRIM(LEFT(N55,2)))*(--TRIM(LEFT(P55,2)))*(--TRIM(LEFT(R55,2))))</f>
        <v/>
      </c>
      <c r="T55" s="20">
        <f>IF(OR(N55="",P55="",R55=""),"",INDEX(APGrid,COUNTIF(APS,"&gt;"&amp;(--TRIM(LEFT(N55,2))))*5+COUNTIF(APO,"&gt;"&amp;(--TRIM(LEFT(P55,2))))+1,COUNTIF(APD,"&gt;"&amp;(--TRIM(LEFT(R55,2))))+1))</f>
        <v/>
      </c>
      <c r="U55" s="20">
        <f>IF(S55="","",IF(OR((--TRIM(LEFT(N55,2)))&gt;=SThr,S55&gt;=RPNThr,T55="H"),"Yes","No"))</f>
        <v/>
      </c>
      <c r="V55" s="4" t="n"/>
      <c r="W55" s="4" t="n"/>
      <c r="X55" s="4" t="n"/>
      <c r="Y55" s="29" t="n"/>
      <c r="Z55" s="16" t="n"/>
      <c r="AA55" s="16" t="n"/>
      <c r="AB55" s="16" t="n"/>
      <c r="AC55" s="20">
        <f>IF(OR(Z55="",AA55="",AB55=""),"",(--TRIM(LEFT(Z55,2)))*(--TRIM(LEFT(AA55,2)))*(--TRIM(LEFT(AB55,2))))</f>
        <v/>
      </c>
      <c r="AD55" s="20">
        <f>IF(OR(Z55="",AA55="",AB55=""),"",INDEX(APGrid,COUNTIF(APS,"&gt;"&amp;(--TRIM(LEFT(Z55,2))))*5+COUNTIF(APO,"&gt;"&amp;(--TRIM(LEFT(AA55,2))))+1,COUNTIF(APD,"&gt;"&amp;(--TRIM(LEFT(AB55,2))))+1))</f>
        <v/>
      </c>
      <c r="AE55" s="4" t="n"/>
      <c r="AF55" s="4" t="n"/>
      <c r="AH55">
        <f>IFERROR(INDEX(EqTag,_xlfn.AGGREGATE(15,6,(ROW(EqTag)-4)/((EqSys=$D$3)*(EqTag&lt;&gt;"")),ROWS($AH$14:AH55))),"")</f>
        <v/>
      </c>
    </row>
    <row r="56">
      <c r="A56" s="20">
        <f>IF(F56="","",LEFT($D$3,3)&amp;"-"&amp;TEXT(COUNTIF(F$14:F56,"?*"),"00"))</f>
        <v/>
      </c>
      <c r="B56" s="4" t="n"/>
      <c r="C56" s="5">
        <f>IF(B56="","",IFERROR(INDEX(EqTypeCol,MATCH(B56,EqTag,0)),"Tag not in register"))</f>
        <v/>
      </c>
      <c r="D56" s="4" t="n"/>
      <c r="E56" s="4" t="n"/>
      <c r="F56" s="4" t="n"/>
      <c r="G56" s="4" t="n"/>
      <c r="H56" s="4" t="n"/>
      <c r="I56" s="4" t="n"/>
      <c r="J56" s="5">
        <f>_xlfn.TEXTJOIN(CHAR(10),TRUE,IF(G56="","","• "&amp;G56),IF(H56="","","• "&amp;H56),IF(I56="","","• "&amp;I56))</f>
        <v/>
      </c>
      <c r="K56" s="4" t="n"/>
      <c r="L56" s="4" t="n"/>
      <c r="M56" s="4" t="n"/>
      <c r="N56" s="16" t="n"/>
      <c r="O56" s="4" t="n"/>
      <c r="P56" s="16" t="n"/>
      <c r="Q56" s="4" t="n"/>
      <c r="R56" s="16" t="n"/>
      <c r="S56" s="20">
        <f>IF(OR(N56="",P56="",R56=""),"",(--TRIM(LEFT(N56,2)))*(--TRIM(LEFT(P56,2)))*(--TRIM(LEFT(R56,2))))</f>
        <v/>
      </c>
      <c r="T56" s="20">
        <f>IF(OR(N56="",P56="",R56=""),"",INDEX(APGrid,COUNTIF(APS,"&gt;"&amp;(--TRIM(LEFT(N56,2))))*5+COUNTIF(APO,"&gt;"&amp;(--TRIM(LEFT(P56,2))))+1,COUNTIF(APD,"&gt;"&amp;(--TRIM(LEFT(R56,2))))+1))</f>
        <v/>
      </c>
      <c r="U56" s="20">
        <f>IF(S56="","",IF(OR((--TRIM(LEFT(N56,2)))&gt;=SThr,S56&gt;=RPNThr,T56="H"),"Yes","No"))</f>
        <v/>
      </c>
      <c r="V56" s="4" t="n"/>
      <c r="W56" s="4" t="n"/>
      <c r="X56" s="4" t="n"/>
      <c r="Y56" s="29" t="n"/>
      <c r="Z56" s="16" t="n"/>
      <c r="AA56" s="16" t="n"/>
      <c r="AB56" s="16" t="n"/>
      <c r="AC56" s="20">
        <f>IF(OR(Z56="",AA56="",AB56=""),"",(--TRIM(LEFT(Z56,2)))*(--TRIM(LEFT(AA56,2)))*(--TRIM(LEFT(AB56,2))))</f>
        <v/>
      </c>
      <c r="AD56" s="20">
        <f>IF(OR(Z56="",AA56="",AB56=""),"",INDEX(APGrid,COUNTIF(APS,"&gt;"&amp;(--TRIM(LEFT(Z56,2))))*5+COUNTIF(APO,"&gt;"&amp;(--TRIM(LEFT(AA56,2))))+1,COUNTIF(APD,"&gt;"&amp;(--TRIM(LEFT(AB56,2))))+1))</f>
        <v/>
      </c>
      <c r="AE56" s="4" t="n"/>
      <c r="AF56" s="4" t="n"/>
      <c r="AH56">
        <f>IFERROR(INDEX(EqTag,_xlfn.AGGREGATE(15,6,(ROW(EqTag)-4)/((EqSys=$D$3)*(EqTag&lt;&gt;"")),ROWS($AH$14:AH56))),"")</f>
        <v/>
      </c>
    </row>
    <row r="57">
      <c r="A57" s="20">
        <f>IF(F57="","",LEFT($D$3,3)&amp;"-"&amp;TEXT(COUNTIF(F$14:F57,"?*"),"00"))</f>
        <v/>
      </c>
      <c r="B57" s="4" t="n"/>
      <c r="C57" s="5">
        <f>IF(B57="","",IFERROR(INDEX(EqTypeCol,MATCH(B57,EqTag,0)),"Tag not in register"))</f>
        <v/>
      </c>
      <c r="D57" s="4" t="n"/>
      <c r="E57" s="4" t="n"/>
      <c r="F57" s="4" t="n"/>
      <c r="G57" s="4" t="n"/>
      <c r="H57" s="4" t="n"/>
      <c r="I57" s="4" t="n"/>
      <c r="J57" s="5">
        <f>_xlfn.TEXTJOIN(CHAR(10),TRUE,IF(G57="","","• "&amp;G57),IF(H57="","","• "&amp;H57),IF(I57="","","• "&amp;I57))</f>
        <v/>
      </c>
      <c r="K57" s="4" t="n"/>
      <c r="L57" s="4" t="n"/>
      <c r="M57" s="4" t="n"/>
      <c r="N57" s="16" t="n"/>
      <c r="O57" s="4" t="n"/>
      <c r="P57" s="16" t="n"/>
      <c r="Q57" s="4" t="n"/>
      <c r="R57" s="16" t="n"/>
      <c r="S57" s="20">
        <f>IF(OR(N57="",P57="",R57=""),"",(--TRIM(LEFT(N57,2)))*(--TRIM(LEFT(P57,2)))*(--TRIM(LEFT(R57,2))))</f>
        <v/>
      </c>
      <c r="T57" s="20">
        <f>IF(OR(N57="",P57="",R57=""),"",INDEX(APGrid,COUNTIF(APS,"&gt;"&amp;(--TRIM(LEFT(N57,2))))*5+COUNTIF(APO,"&gt;"&amp;(--TRIM(LEFT(P57,2))))+1,COUNTIF(APD,"&gt;"&amp;(--TRIM(LEFT(R57,2))))+1))</f>
        <v/>
      </c>
      <c r="U57" s="20">
        <f>IF(S57="","",IF(OR((--TRIM(LEFT(N57,2)))&gt;=SThr,S57&gt;=RPNThr,T57="H"),"Yes","No"))</f>
        <v/>
      </c>
      <c r="V57" s="4" t="n"/>
      <c r="W57" s="4" t="n"/>
      <c r="X57" s="4" t="n"/>
      <c r="Y57" s="29" t="n"/>
      <c r="Z57" s="16" t="n"/>
      <c r="AA57" s="16" t="n"/>
      <c r="AB57" s="16" t="n"/>
      <c r="AC57" s="20">
        <f>IF(OR(Z57="",AA57="",AB57=""),"",(--TRIM(LEFT(Z57,2)))*(--TRIM(LEFT(AA57,2)))*(--TRIM(LEFT(AB57,2))))</f>
        <v/>
      </c>
      <c r="AD57" s="20">
        <f>IF(OR(Z57="",AA57="",AB57=""),"",INDEX(APGrid,COUNTIF(APS,"&gt;"&amp;(--TRIM(LEFT(Z57,2))))*5+COUNTIF(APO,"&gt;"&amp;(--TRIM(LEFT(AA57,2))))+1,COUNTIF(APD,"&gt;"&amp;(--TRIM(LEFT(AB57,2))))+1))</f>
        <v/>
      </c>
      <c r="AE57" s="4" t="n"/>
      <c r="AF57" s="4" t="n"/>
      <c r="AH57">
        <f>IFERROR(INDEX(EqTag,_xlfn.AGGREGATE(15,6,(ROW(EqTag)-4)/((EqSys=$D$3)*(EqTag&lt;&gt;"")),ROWS($AH$14:AH57))),"")</f>
        <v/>
      </c>
    </row>
    <row r="58">
      <c r="A58" s="20">
        <f>IF(F58="","",LEFT($D$3,3)&amp;"-"&amp;TEXT(COUNTIF(F$14:F58,"?*"),"00"))</f>
        <v/>
      </c>
      <c r="B58" s="4" t="n"/>
      <c r="C58" s="5">
        <f>IF(B58="","",IFERROR(INDEX(EqTypeCol,MATCH(B58,EqTag,0)),"Tag not in register"))</f>
        <v/>
      </c>
      <c r="D58" s="4" t="n"/>
      <c r="E58" s="4" t="n"/>
      <c r="F58" s="4" t="n"/>
      <c r="G58" s="4" t="n"/>
      <c r="H58" s="4" t="n"/>
      <c r="I58" s="4" t="n"/>
      <c r="J58" s="5">
        <f>_xlfn.TEXTJOIN(CHAR(10),TRUE,IF(G58="","","• "&amp;G58),IF(H58="","","• "&amp;H58),IF(I58="","","• "&amp;I58))</f>
        <v/>
      </c>
      <c r="K58" s="4" t="n"/>
      <c r="L58" s="4" t="n"/>
      <c r="M58" s="4" t="n"/>
      <c r="N58" s="16" t="n"/>
      <c r="O58" s="4" t="n"/>
      <c r="P58" s="16" t="n"/>
      <c r="Q58" s="4" t="n"/>
      <c r="R58" s="16" t="n"/>
      <c r="S58" s="20">
        <f>IF(OR(N58="",P58="",R58=""),"",(--TRIM(LEFT(N58,2)))*(--TRIM(LEFT(P58,2)))*(--TRIM(LEFT(R58,2))))</f>
        <v/>
      </c>
      <c r="T58" s="20">
        <f>IF(OR(N58="",P58="",R58=""),"",INDEX(APGrid,COUNTIF(APS,"&gt;"&amp;(--TRIM(LEFT(N58,2))))*5+COUNTIF(APO,"&gt;"&amp;(--TRIM(LEFT(P58,2))))+1,COUNTIF(APD,"&gt;"&amp;(--TRIM(LEFT(R58,2))))+1))</f>
        <v/>
      </c>
      <c r="U58" s="20">
        <f>IF(S58="","",IF(OR((--TRIM(LEFT(N58,2)))&gt;=SThr,S58&gt;=RPNThr,T58="H"),"Yes","No"))</f>
        <v/>
      </c>
      <c r="V58" s="4" t="n"/>
      <c r="W58" s="4" t="n"/>
      <c r="X58" s="4" t="n"/>
      <c r="Y58" s="29" t="n"/>
      <c r="Z58" s="16" t="n"/>
      <c r="AA58" s="16" t="n"/>
      <c r="AB58" s="16" t="n"/>
      <c r="AC58" s="20">
        <f>IF(OR(Z58="",AA58="",AB58=""),"",(--TRIM(LEFT(Z58,2)))*(--TRIM(LEFT(AA58,2)))*(--TRIM(LEFT(AB58,2))))</f>
        <v/>
      </c>
      <c r="AD58" s="20">
        <f>IF(OR(Z58="",AA58="",AB58=""),"",INDEX(APGrid,COUNTIF(APS,"&gt;"&amp;(--TRIM(LEFT(Z58,2))))*5+COUNTIF(APO,"&gt;"&amp;(--TRIM(LEFT(AA58,2))))+1,COUNTIF(APD,"&gt;"&amp;(--TRIM(LEFT(AB58,2))))+1))</f>
        <v/>
      </c>
      <c r="AE58" s="4" t="n"/>
      <c r="AF58" s="4" t="n"/>
      <c r="AH58">
        <f>IFERROR(INDEX(EqTag,_xlfn.AGGREGATE(15,6,(ROW(EqTag)-4)/((EqSys=$D$3)*(EqTag&lt;&gt;"")),ROWS($AH$14:AH58))),"")</f>
        <v/>
      </c>
    </row>
    <row r="59">
      <c r="A59" s="20">
        <f>IF(F59="","",LEFT($D$3,3)&amp;"-"&amp;TEXT(COUNTIF(F$14:F59,"?*"),"00"))</f>
        <v/>
      </c>
      <c r="B59" s="4" t="n"/>
      <c r="C59" s="5">
        <f>IF(B59="","",IFERROR(INDEX(EqTypeCol,MATCH(B59,EqTag,0)),"Tag not in register"))</f>
        <v/>
      </c>
      <c r="D59" s="4" t="n"/>
      <c r="E59" s="4" t="n"/>
      <c r="F59" s="4" t="n"/>
      <c r="G59" s="4" t="n"/>
      <c r="H59" s="4" t="n"/>
      <c r="I59" s="4" t="n"/>
      <c r="J59" s="5">
        <f>_xlfn.TEXTJOIN(CHAR(10),TRUE,IF(G59="","","• "&amp;G59),IF(H59="","","• "&amp;H59),IF(I59="","","• "&amp;I59))</f>
        <v/>
      </c>
      <c r="K59" s="4" t="n"/>
      <c r="L59" s="4" t="n"/>
      <c r="M59" s="4" t="n"/>
      <c r="N59" s="16" t="n"/>
      <c r="O59" s="4" t="n"/>
      <c r="P59" s="16" t="n"/>
      <c r="Q59" s="4" t="n"/>
      <c r="R59" s="16" t="n"/>
      <c r="S59" s="20">
        <f>IF(OR(N59="",P59="",R59=""),"",(--TRIM(LEFT(N59,2)))*(--TRIM(LEFT(P59,2)))*(--TRIM(LEFT(R59,2))))</f>
        <v/>
      </c>
      <c r="T59" s="20">
        <f>IF(OR(N59="",P59="",R59=""),"",INDEX(APGrid,COUNTIF(APS,"&gt;"&amp;(--TRIM(LEFT(N59,2))))*5+COUNTIF(APO,"&gt;"&amp;(--TRIM(LEFT(P59,2))))+1,COUNTIF(APD,"&gt;"&amp;(--TRIM(LEFT(R59,2))))+1))</f>
        <v/>
      </c>
      <c r="U59" s="20">
        <f>IF(S59="","",IF(OR((--TRIM(LEFT(N59,2)))&gt;=SThr,S59&gt;=RPNThr,T59="H"),"Yes","No"))</f>
        <v/>
      </c>
      <c r="V59" s="4" t="n"/>
      <c r="W59" s="4" t="n"/>
      <c r="X59" s="4" t="n"/>
      <c r="Y59" s="29" t="n"/>
      <c r="Z59" s="16" t="n"/>
      <c r="AA59" s="16" t="n"/>
      <c r="AB59" s="16" t="n"/>
      <c r="AC59" s="20">
        <f>IF(OR(Z59="",AA59="",AB59=""),"",(--TRIM(LEFT(Z59,2)))*(--TRIM(LEFT(AA59,2)))*(--TRIM(LEFT(AB59,2))))</f>
        <v/>
      </c>
      <c r="AD59" s="20">
        <f>IF(OR(Z59="",AA59="",AB59=""),"",INDEX(APGrid,COUNTIF(APS,"&gt;"&amp;(--TRIM(LEFT(Z59,2))))*5+COUNTIF(APO,"&gt;"&amp;(--TRIM(LEFT(AA59,2))))+1,COUNTIF(APD,"&gt;"&amp;(--TRIM(LEFT(AB59,2))))+1))</f>
        <v/>
      </c>
      <c r="AE59" s="4" t="n"/>
      <c r="AF59" s="4" t="n"/>
      <c r="AH59">
        <f>IFERROR(INDEX(EqTag,_xlfn.AGGREGATE(15,6,(ROW(EqTag)-4)/((EqSys=$D$3)*(EqTag&lt;&gt;"")),ROWS($AH$14:AH59))),"")</f>
        <v/>
      </c>
    </row>
    <row r="60">
      <c r="A60" s="20">
        <f>IF(F60="","",LEFT($D$3,3)&amp;"-"&amp;TEXT(COUNTIF(F$14:F60,"?*"),"00"))</f>
        <v/>
      </c>
      <c r="B60" s="4" t="n"/>
      <c r="C60" s="5">
        <f>IF(B60="","",IFERROR(INDEX(EqTypeCol,MATCH(B60,EqTag,0)),"Tag not in register"))</f>
        <v/>
      </c>
      <c r="D60" s="4" t="n"/>
      <c r="E60" s="4" t="n"/>
      <c r="F60" s="4" t="n"/>
      <c r="G60" s="4" t="n"/>
      <c r="H60" s="4" t="n"/>
      <c r="I60" s="4" t="n"/>
      <c r="J60" s="5">
        <f>_xlfn.TEXTJOIN(CHAR(10),TRUE,IF(G60="","","• "&amp;G60),IF(H60="","","• "&amp;H60),IF(I60="","","• "&amp;I60))</f>
        <v/>
      </c>
      <c r="K60" s="4" t="n"/>
      <c r="L60" s="4" t="n"/>
      <c r="M60" s="4" t="n"/>
      <c r="N60" s="16" t="n"/>
      <c r="O60" s="4" t="n"/>
      <c r="P60" s="16" t="n"/>
      <c r="Q60" s="4" t="n"/>
      <c r="R60" s="16" t="n"/>
      <c r="S60" s="20">
        <f>IF(OR(N60="",P60="",R60=""),"",(--TRIM(LEFT(N60,2)))*(--TRIM(LEFT(P60,2)))*(--TRIM(LEFT(R60,2))))</f>
        <v/>
      </c>
      <c r="T60" s="20">
        <f>IF(OR(N60="",P60="",R60=""),"",INDEX(APGrid,COUNTIF(APS,"&gt;"&amp;(--TRIM(LEFT(N60,2))))*5+COUNTIF(APO,"&gt;"&amp;(--TRIM(LEFT(P60,2))))+1,COUNTIF(APD,"&gt;"&amp;(--TRIM(LEFT(R60,2))))+1))</f>
        <v/>
      </c>
      <c r="U60" s="20">
        <f>IF(S60="","",IF(OR((--TRIM(LEFT(N60,2)))&gt;=SThr,S60&gt;=RPNThr,T60="H"),"Yes","No"))</f>
        <v/>
      </c>
      <c r="V60" s="4" t="n"/>
      <c r="W60" s="4" t="n"/>
      <c r="X60" s="4" t="n"/>
      <c r="Y60" s="29" t="n"/>
      <c r="Z60" s="16" t="n"/>
      <c r="AA60" s="16" t="n"/>
      <c r="AB60" s="16" t="n"/>
      <c r="AC60" s="20">
        <f>IF(OR(Z60="",AA60="",AB60=""),"",(--TRIM(LEFT(Z60,2)))*(--TRIM(LEFT(AA60,2)))*(--TRIM(LEFT(AB60,2))))</f>
        <v/>
      </c>
      <c r="AD60" s="20">
        <f>IF(OR(Z60="",AA60="",AB60=""),"",INDEX(APGrid,COUNTIF(APS,"&gt;"&amp;(--TRIM(LEFT(Z60,2))))*5+COUNTIF(APO,"&gt;"&amp;(--TRIM(LEFT(AA60,2))))+1,COUNTIF(APD,"&gt;"&amp;(--TRIM(LEFT(AB60,2))))+1))</f>
        <v/>
      </c>
      <c r="AE60" s="4" t="n"/>
      <c r="AF60" s="4" t="n"/>
      <c r="AH60">
        <f>IFERROR(INDEX(EqTag,_xlfn.AGGREGATE(15,6,(ROW(EqTag)-4)/((EqSys=$D$3)*(EqTag&lt;&gt;"")),ROWS($AH$14:AH60))),"")</f>
        <v/>
      </c>
    </row>
    <row r="61">
      <c r="A61" s="20">
        <f>IF(F61="","",LEFT($D$3,3)&amp;"-"&amp;TEXT(COUNTIF(F$14:F61,"?*"),"00"))</f>
        <v/>
      </c>
      <c r="B61" s="4" t="n"/>
      <c r="C61" s="5">
        <f>IF(B61="","",IFERROR(INDEX(EqTypeCol,MATCH(B61,EqTag,0)),"Tag not in register"))</f>
        <v/>
      </c>
      <c r="D61" s="4" t="n"/>
      <c r="E61" s="4" t="n"/>
      <c r="F61" s="4" t="n"/>
      <c r="G61" s="4" t="n"/>
      <c r="H61" s="4" t="n"/>
      <c r="I61" s="4" t="n"/>
      <c r="J61" s="5">
        <f>_xlfn.TEXTJOIN(CHAR(10),TRUE,IF(G61="","","• "&amp;G61),IF(H61="","","• "&amp;H61),IF(I61="","","• "&amp;I61))</f>
        <v/>
      </c>
      <c r="K61" s="4" t="n"/>
      <c r="L61" s="4" t="n"/>
      <c r="M61" s="4" t="n"/>
      <c r="N61" s="16" t="n"/>
      <c r="O61" s="4" t="n"/>
      <c r="P61" s="16" t="n"/>
      <c r="Q61" s="4" t="n"/>
      <c r="R61" s="16" t="n"/>
      <c r="S61" s="20">
        <f>IF(OR(N61="",P61="",R61=""),"",(--TRIM(LEFT(N61,2)))*(--TRIM(LEFT(P61,2)))*(--TRIM(LEFT(R61,2))))</f>
        <v/>
      </c>
      <c r="T61" s="20">
        <f>IF(OR(N61="",P61="",R61=""),"",INDEX(APGrid,COUNTIF(APS,"&gt;"&amp;(--TRIM(LEFT(N61,2))))*5+COUNTIF(APO,"&gt;"&amp;(--TRIM(LEFT(P61,2))))+1,COUNTIF(APD,"&gt;"&amp;(--TRIM(LEFT(R61,2))))+1))</f>
        <v/>
      </c>
      <c r="U61" s="20">
        <f>IF(S61="","",IF(OR((--TRIM(LEFT(N61,2)))&gt;=SThr,S61&gt;=RPNThr,T61="H"),"Yes","No"))</f>
        <v/>
      </c>
      <c r="V61" s="4" t="n"/>
      <c r="W61" s="4" t="n"/>
      <c r="X61" s="4" t="n"/>
      <c r="Y61" s="29" t="n"/>
      <c r="Z61" s="16" t="n"/>
      <c r="AA61" s="16" t="n"/>
      <c r="AB61" s="16" t="n"/>
      <c r="AC61" s="20">
        <f>IF(OR(Z61="",AA61="",AB61=""),"",(--TRIM(LEFT(Z61,2)))*(--TRIM(LEFT(AA61,2)))*(--TRIM(LEFT(AB61,2))))</f>
        <v/>
      </c>
      <c r="AD61" s="20">
        <f>IF(OR(Z61="",AA61="",AB61=""),"",INDEX(APGrid,COUNTIF(APS,"&gt;"&amp;(--TRIM(LEFT(Z61,2))))*5+COUNTIF(APO,"&gt;"&amp;(--TRIM(LEFT(AA61,2))))+1,COUNTIF(APD,"&gt;"&amp;(--TRIM(LEFT(AB61,2))))+1))</f>
        <v/>
      </c>
      <c r="AE61" s="4" t="n"/>
      <c r="AF61" s="4" t="n"/>
      <c r="AH61">
        <f>IFERROR(INDEX(EqTag,_xlfn.AGGREGATE(15,6,(ROW(EqTag)-4)/((EqSys=$D$3)*(EqTag&lt;&gt;"")),ROWS($AH$14:AH61))),"")</f>
        <v/>
      </c>
    </row>
    <row r="62">
      <c r="A62" s="20">
        <f>IF(F62="","",LEFT($D$3,3)&amp;"-"&amp;TEXT(COUNTIF(F$14:F62,"?*"),"00"))</f>
        <v/>
      </c>
      <c r="B62" s="4" t="n"/>
      <c r="C62" s="5">
        <f>IF(B62="","",IFERROR(INDEX(EqTypeCol,MATCH(B62,EqTag,0)),"Tag not in register"))</f>
        <v/>
      </c>
      <c r="D62" s="4" t="n"/>
      <c r="E62" s="4" t="n"/>
      <c r="F62" s="4" t="n"/>
      <c r="G62" s="4" t="n"/>
      <c r="H62" s="4" t="n"/>
      <c r="I62" s="4" t="n"/>
      <c r="J62" s="5">
        <f>_xlfn.TEXTJOIN(CHAR(10),TRUE,IF(G62="","","• "&amp;G62),IF(H62="","","• "&amp;H62),IF(I62="","","• "&amp;I62))</f>
        <v/>
      </c>
      <c r="K62" s="4" t="n"/>
      <c r="L62" s="4" t="n"/>
      <c r="M62" s="4" t="n"/>
      <c r="N62" s="16" t="n"/>
      <c r="O62" s="4" t="n"/>
      <c r="P62" s="16" t="n"/>
      <c r="Q62" s="4" t="n"/>
      <c r="R62" s="16" t="n"/>
      <c r="S62" s="20">
        <f>IF(OR(N62="",P62="",R62=""),"",(--TRIM(LEFT(N62,2)))*(--TRIM(LEFT(P62,2)))*(--TRIM(LEFT(R62,2))))</f>
        <v/>
      </c>
      <c r="T62" s="20">
        <f>IF(OR(N62="",P62="",R62=""),"",INDEX(APGrid,COUNTIF(APS,"&gt;"&amp;(--TRIM(LEFT(N62,2))))*5+COUNTIF(APO,"&gt;"&amp;(--TRIM(LEFT(P62,2))))+1,COUNTIF(APD,"&gt;"&amp;(--TRIM(LEFT(R62,2))))+1))</f>
        <v/>
      </c>
      <c r="U62" s="20">
        <f>IF(S62="","",IF(OR((--TRIM(LEFT(N62,2)))&gt;=SThr,S62&gt;=RPNThr,T62="H"),"Yes","No"))</f>
        <v/>
      </c>
      <c r="V62" s="4" t="n"/>
      <c r="W62" s="4" t="n"/>
      <c r="X62" s="4" t="n"/>
      <c r="Y62" s="29" t="n"/>
      <c r="Z62" s="16" t="n"/>
      <c r="AA62" s="16" t="n"/>
      <c r="AB62" s="16" t="n"/>
      <c r="AC62" s="20">
        <f>IF(OR(Z62="",AA62="",AB62=""),"",(--TRIM(LEFT(Z62,2)))*(--TRIM(LEFT(AA62,2)))*(--TRIM(LEFT(AB62,2))))</f>
        <v/>
      </c>
      <c r="AD62" s="20">
        <f>IF(OR(Z62="",AA62="",AB62=""),"",INDEX(APGrid,COUNTIF(APS,"&gt;"&amp;(--TRIM(LEFT(Z62,2))))*5+COUNTIF(APO,"&gt;"&amp;(--TRIM(LEFT(AA62,2))))+1,COUNTIF(APD,"&gt;"&amp;(--TRIM(LEFT(AB62,2))))+1))</f>
        <v/>
      </c>
      <c r="AE62" s="4" t="n"/>
      <c r="AF62" s="4" t="n"/>
      <c r="AH62">
        <f>IFERROR(INDEX(EqTag,_xlfn.AGGREGATE(15,6,(ROW(EqTag)-4)/((EqSys=$D$3)*(EqTag&lt;&gt;"")),ROWS($AH$14:AH62))),"")</f>
        <v/>
      </c>
    </row>
    <row r="63">
      <c r="A63" s="20">
        <f>IF(F63="","",LEFT($D$3,3)&amp;"-"&amp;TEXT(COUNTIF(F$14:F63,"?*"),"00"))</f>
        <v/>
      </c>
      <c r="B63" s="4" t="n"/>
      <c r="C63" s="5">
        <f>IF(B63="","",IFERROR(INDEX(EqTypeCol,MATCH(B63,EqTag,0)),"Tag not in register"))</f>
        <v/>
      </c>
      <c r="D63" s="4" t="n"/>
      <c r="E63" s="4" t="n"/>
      <c r="F63" s="4" t="n"/>
      <c r="G63" s="4" t="n"/>
      <c r="H63" s="4" t="n"/>
      <c r="I63" s="4" t="n"/>
      <c r="J63" s="5">
        <f>_xlfn.TEXTJOIN(CHAR(10),TRUE,IF(G63="","","• "&amp;G63),IF(H63="","","• "&amp;H63),IF(I63="","","• "&amp;I63))</f>
        <v/>
      </c>
      <c r="K63" s="4" t="n"/>
      <c r="L63" s="4" t="n"/>
      <c r="M63" s="4" t="n"/>
      <c r="N63" s="16" t="n"/>
      <c r="O63" s="4" t="n"/>
      <c r="P63" s="16" t="n"/>
      <c r="Q63" s="4" t="n"/>
      <c r="R63" s="16" t="n"/>
      <c r="S63" s="20">
        <f>IF(OR(N63="",P63="",R63=""),"",(--TRIM(LEFT(N63,2)))*(--TRIM(LEFT(P63,2)))*(--TRIM(LEFT(R63,2))))</f>
        <v/>
      </c>
      <c r="T63" s="20">
        <f>IF(OR(N63="",P63="",R63=""),"",INDEX(APGrid,COUNTIF(APS,"&gt;"&amp;(--TRIM(LEFT(N63,2))))*5+COUNTIF(APO,"&gt;"&amp;(--TRIM(LEFT(P63,2))))+1,COUNTIF(APD,"&gt;"&amp;(--TRIM(LEFT(R63,2))))+1))</f>
        <v/>
      </c>
      <c r="U63" s="20">
        <f>IF(S63="","",IF(OR((--TRIM(LEFT(N63,2)))&gt;=SThr,S63&gt;=RPNThr,T63="H"),"Yes","No"))</f>
        <v/>
      </c>
      <c r="V63" s="4" t="n"/>
      <c r="W63" s="4" t="n"/>
      <c r="X63" s="4" t="n"/>
      <c r="Y63" s="29" t="n"/>
      <c r="Z63" s="16" t="n"/>
      <c r="AA63" s="16" t="n"/>
      <c r="AB63" s="16" t="n"/>
      <c r="AC63" s="20">
        <f>IF(OR(Z63="",AA63="",AB63=""),"",(--TRIM(LEFT(Z63,2)))*(--TRIM(LEFT(AA63,2)))*(--TRIM(LEFT(AB63,2))))</f>
        <v/>
      </c>
      <c r="AD63" s="20">
        <f>IF(OR(Z63="",AA63="",AB63=""),"",INDEX(APGrid,COUNTIF(APS,"&gt;"&amp;(--TRIM(LEFT(Z63,2))))*5+COUNTIF(APO,"&gt;"&amp;(--TRIM(LEFT(AA63,2))))+1,COUNTIF(APD,"&gt;"&amp;(--TRIM(LEFT(AB63,2))))+1))</f>
        <v/>
      </c>
      <c r="AE63" s="4" t="n"/>
      <c r="AF63" s="4" t="n"/>
      <c r="AH63">
        <f>IFERROR(INDEX(EqTag,_xlfn.AGGREGATE(15,6,(ROW(EqTag)-4)/((EqSys=$D$3)*(EqTag&lt;&gt;"")),ROWS($AH$14:AH63))),"")</f>
        <v/>
      </c>
    </row>
    <row r="64">
      <c r="A64" s="20">
        <f>IF(F64="","",LEFT($D$3,3)&amp;"-"&amp;TEXT(COUNTIF(F$14:F64,"?*"),"00"))</f>
        <v/>
      </c>
      <c r="B64" s="4" t="n"/>
      <c r="C64" s="5">
        <f>IF(B64="","",IFERROR(INDEX(EqTypeCol,MATCH(B64,EqTag,0)),"Tag not in register"))</f>
        <v/>
      </c>
      <c r="D64" s="4" t="n"/>
      <c r="E64" s="4" t="n"/>
      <c r="F64" s="4" t="n"/>
      <c r="G64" s="4" t="n"/>
      <c r="H64" s="4" t="n"/>
      <c r="I64" s="4" t="n"/>
      <c r="J64" s="5">
        <f>_xlfn.TEXTJOIN(CHAR(10),TRUE,IF(G64="","","• "&amp;G64),IF(H64="","","• "&amp;H64),IF(I64="","","• "&amp;I64))</f>
        <v/>
      </c>
      <c r="K64" s="4" t="n"/>
      <c r="L64" s="4" t="n"/>
      <c r="M64" s="4" t="n"/>
      <c r="N64" s="16" t="n"/>
      <c r="O64" s="4" t="n"/>
      <c r="P64" s="16" t="n"/>
      <c r="Q64" s="4" t="n"/>
      <c r="R64" s="16" t="n"/>
      <c r="S64" s="20">
        <f>IF(OR(N64="",P64="",R64=""),"",(--TRIM(LEFT(N64,2)))*(--TRIM(LEFT(P64,2)))*(--TRIM(LEFT(R64,2))))</f>
        <v/>
      </c>
      <c r="T64" s="20">
        <f>IF(OR(N64="",P64="",R64=""),"",INDEX(APGrid,COUNTIF(APS,"&gt;"&amp;(--TRIM(LEFT(N64,2))))*5+COUNTIF(APO,"&gt;"&amp;(--TRIM(LEFT(P64,2))))+1,COUNTIF(APD,"&gt;"&amp;(--TRIM(LEFT(R64,2))))+1))</f>
        <v/>
      </c>
      <c r="U64" s="20">
        <f>IF(S64="","",IF(OR((--TRIM(LEFT(N64,2)))&gt;=SThr,S64&gt;=RPNThr,T64="H"),"Yes","No"))</f>
        <v/>
      </c>
      <c r="V64" s="4" t="n"/>
      <c r="W64" s="4" t="n"/>
      <c r="X64" s="4" t="n"/>
      <c r="Y64" s="29" t="n"/>
      <c r="Z64" s="16" t="n"/>
      <c r="AA64" s="16" t="n"/>
      <c r="AB64" s="16" t="n"/>
      <c r="AC64" s="20">
        <f>IF(OR(Z64="",AA64="",AB64=""),"",(--TRIM(LEFT(Z64,2)))*(--TRIM(LEFT(AA64,2)))*(--TRIM(LEFT(AB64,2))))</f>
        <v/>
      </c>
      <c r="AD64" s="20">
        <f>IF(OR(Z64="",AA64="",AB64=""),"",INDEX(APGrid,COUNTIF(APS,"&gt;"&amp;(--TRIM(LEFT(Z64,2))))*5+COUNTIF(APO,"&gt;"&amp;(--TRIM(LEFT(AA64,2))))+1,COUNTIF(APD,"&gt;"&amp;(--TRIM(LEFT(AB64,2))))+1))</f>
        <v/>
      </c>
      <c r="AE64" s="4" t="n"/>
      <c r="AF64" s="4" t="n"/>
      <c r="AH64">
        <f>IFERROR(INDEX(EqTag,_xlfn.AGGREGATE(15,6,(ROW(EqTag)-4)/((EqSys=$D$3)*(EqTag&lt;&gt;"")),ROWS($AH$14:AH64))),"")</f>
        <v/>
      </c>
    </row>
    <row r="65">
      <c r="A65" s="20">
        <f>IF(F65="","",LEFT($D$3,3)&amp;"-"&amp;TEXT(COUNTIF(F$14:F65,"?*"),"00"))</f>
        <v/>
      </c>
      <c r="B65" s="4" t="n"/>
      <c r="C65" s="5">
        <f>IF(B65="","",IFERROR(INDEX(EqTypeCol,MATCH(B65,EqTag,0)),"Tag not in register"))</f>
        <v/>
      </c>
      <c r="D65" s="4" t="n"/>
      <c r="E65" s="4" t="n"/>
      <c r="F65" s="4" t="n"/>
      <c r="G65" s="4" t="n"/>
      <c r="H65" s="4" t="n"/>
      <c r="I65" s="4" t="n"/>
      <c r="J65" s="5">
        <f>_xlfn.TEXTJOIN(CHAR(10),TRUE,IF(G65="","","• "&amp;G65),IF(H65="","","• "&amp;H65),IF(I65="","","• "&amp;I65))</f>
        <v/>
      </c>
      <c r="K65" s="4" t="n"/>
      <c r="L65" s="4" t="n"/>
      <c r="M65" s="4" t="n"/>
      <c r="N65" s="16" t="n"/>
      <c r="O65" s="4" t="n"/>
      <c r="P65" s="16" t="n"/>
      <c r="Q65" s="4" t="n"/>
      <c r="R65" s="16" t="n"/>
      <c r="S65" s="20">
        <f>IF(OR(N65="",P65="",R65=""),"",(--TRIM(LEFT(N65,2)))*(--TRIM(LEFT(P65,2)))*(--TRIM(LEFT(R65,2))))</f>
        <v/>
      </c>
      <c r="T65" s="20">
        <f>IF(OR(N65="",P65="",R65=""),"",INDEX(APGrid,COUNTIF(APS,"&gt;"&amp;(--TRIM(LEFT(N65,2))))*5+COUNTIF(APO,"&gt;"&amp;(--TRIM(LEFT(P65,2))))+1,COUNTIF(APD,"&gt;"&amp;(--TRIM(LEFT(R65,2))))+1))</f>
        <v/>
      </c>
      <c r="U65" s="20">
        <f>IF(S65="","",IF(OR((--TRIM(LEFT(N65,2)))&gt;=SThr,S65&gt;=RPNThr,T65="H"),"Yes","No"))</f>
        <v/>
      </c>
      <c r="V65" s="4" t="n"/>
      <c r="W65" s="4" t="n"/>
      <c r="X65" s="4" t="n"/>
      <c r="Y65" s="29" t="n"/>
      <c r="Z65" s="16" t="n"/>
      <c r="AA65" s="16" t="n"/>
      <c r="AB65" s="16" t="n"/>
      <c r="AC65" s="20">
        <f>IF(OR(Z65="",AA65="",AB65=""),"",(--TRIM(LEFT(Z65,2)))*(--TRIM(LEFT(AA65,2)))*(--TRIM(LEFT(AB65,2))))</f>
        <v/>
      </c>
      <c r="AD65" s="20">
        <f>IF(OR(Z65="",AA65="",AB65=""),"",INDEX(APGrid,COUNTIF(APS,"&gt;"&amp;(--TRIM(LEFT(Z65,2))))*5+COUNTIF(APO,"&gt;"&amp;(--TRIM(LEFT(AA65,2))))+1,COUNTIF(APD,"&gt;"&amp;(--TRIM(LEFT(AB65,2))))+1))</f>
        <v/>
      </c>
      <c r="AE65" s="4" t="n"/>
      <c r="AF65" s="4" t="n"/>
      <c r="AH65">
        <f>IFERROR(INDEX(EqTag,_xlfn.AGGREGATE(15,6,(ROW(EqTag)-4)/((EqSys=$D$3)*(EqTag&lt;&gt;"")),ROWS($AH$14:AH65))),"")</f>
        <v/>
      </c>
    </row>
    <row r="66">
      <c r="A66" s="20">
        <f>IF(F66="","",LEFT($D$3,3)&amp;"-"&amp;TEXT(COUNTIF(F$14:F66,"?*"),"00"))</f>
        <v/>
      </c>
      <c r="B66" s="4" t="n"/>
      <c r="C66" s="5">
        <f>IF(B66="","",IFERROR(INDEX(EqTypeCol,MATCH(B66,EqTag,0)),"Tag not in register"))</f>
        <v/>
      </c>
      <c r="D66" s="4" t="n"/>
      <c r="E66" s="4" t="n"/>
      <c r="F66" s="4" t="n"/>
      <c r="G66" s="4" t="n"/>
      <c r="H66" s="4" t="n"/>
      <c r="I66" s="4" t="n"/>
      <c r="J66" s="5">
        <f>_xlfn.TEXTJOIN(CHAR(10),TRUE,IF(G66="","","• "&amp;G66),IF(H66="","","• "&amp;H66),IF(I66="","","• "&amp;I66))</f>
        <v/>
      </c>
      <c r="K66" s="4" t="n"/>
      <c r="L66" s="4" t="n"/>
      <c r="M66" s="4" t="n"/>
      <c r="N66" s="16" t="n"/>
      <c r="O66" s="4" t="n"/>
      <c r="P66" s="16" t="n"/>
      <c r="Q66" s="4" t="n"/>
      <c r="R66" s="16" t="n"/>
      <c r="S66" s="20">
        <f>IF(OR(N66="",P66="",R66=""),"",(--TRIM(LEFT(N66,2)))*(--TRIM(LEFT(P66,2)))*(--TRIM(LEFT(R66,2))))</f>
        <v/>
      </c>
      <c r="T66" s="20">
        <f>IF(OR(N66="",P66="",R66=""),"",INDEX(APGrid,COUNTIF(APS,"&gt;"&amp;(--TRIM(LEFT(N66,2))))*5+COUNTIF(APO,"&gt;"&amp;(--TRIM(LEFT(P66,2))))+1,COUNTIF(APD,"&gt;"&amp;(--TRIM(LEFT(R66,2))))+1))</f>
        <v/>
      </c>
      <c r="U66" s="20">
        <f>IF(S66="","",IF(OR((--TRIM(LEFT(N66,2)))&gt;=SThr,S66&gt;=RPNThr,T66="H"),"Yes","No"))</f>
        <v/>
      </c>
      <c r="V66" s="4" t="n"/>
      <c r="W66" s="4" t="n"/>
      <c r="X66" s="4" t="n"/>
      <c r="Y66" s="29" t="n"/>
      <c r="Z66" s="16" t="n"/>
      <c r="AA66" s="16" t="n"/>
      <c r="AB66" s="16" t="n"/>
      <c r="AC66" s="20">
        <f>IF(OR(Z66="",AA66="",AB66=""),"",(--TRIM(LEFT(Z66,2)))*(--TRIM(LEFT(AA66,2)))*(--TRIM(LEFT(AB66,2))))</f>
        <v/>
      </c>
      <c r="AD66" s="20">
        <f>IF(OR(Z66="",AA66="",AB66=""),"",INDEX(APGrid,COUNTIF(APS,"&gt;"&amp;(--TRIM(LEFT(Z66,2))))*5+COUNTIF(APO,"&gt;"&amp;(--TRIM(LEFT(AA66,2))))+1,COUNTIF(APD,"&gt;"&amp;(--TRIM(LEFT(AB66,2))))+1))</f>
        <v/>
      </c>
      <c r="AE66" s="4" t="n"/>
      <c r="AF66" s="4" t="n"/>
      <c r="AH66">
        <f>IFERROR(INDEX(EqTag,_xlfn.AGGREGATE(15,6,(ROW(EqTag)-4)/((EqSys=$D$3)*(EqTag&lt;&gt;"")),ROWS($AH$14:AH66))),"")</f>
        <v/>
      </c>
    </row>
    <row r="67">
      <c r="A67" s="20">
        <f>IF(F67="","",LEFT($D$3,3)&amp;"-"&amp;TEXT(COUNTIF(F$14:F67,"?*"),"00"))</f>
        <v/>
      </c>
      <c r="B67" s="4" t="n"/>
      <c r="C67" s="5">
        <f>IF(B67="","",IFERROR(INDEX(EqTypeCol,MATCH(B67,EqTag,0)),"Tag not in register"))</f>
        <v/>
      </c>
      <c r="D67" s="4" t="n"/>
      <c r="E67" s="4" t="n"/>
      <c r="F67" s="4" t="n"/>
      <c r="G67" s="4" t="n"/>
      <c r="H67" s="4" t="n"/>
      <c r="I67" s="4" t="n"/>
      <c r="J67" s="5">
        <f>_xlfn.TEXTJOIN(CHAR(10),TRUE,IF(G67="","","• "&amp;G67),IF(H67="","","• "&amp;H67),IF(I67="","","• "&amp;I67))</f>
        <v/>
      </c>
      <c r="K67" s="4" t="n"/>
      <c r="L67" s="4" t="n"/>
      <c r="M67" s="4" t="n"/>
      <c r="N67" s="16" t="n"/>
      <c r="O67" s="4" t="n"/>
      <c r="P67" s="16" t="n"/>
      <c r="Q67" s="4" t="n"/>
      <c r="R67" s="16" t="n"/>
      <c r="S67" s="20">
        <f>IF(OR(N67="",P67="",R67=""),"",(--TRIM(LEFT(N67,2)))*(--TRIM(LEFT(P67,2)))*(--TRIM(LEFT(R67,2))))</f>
        <v/>
      </c>
      <c r="T67" s="20">
        <f>IF(OR(N67="",P67="",R67=""),"",INDEX(APGrid,COUNTIF(APS,"&gt;"&amp;(--TRIM(LEFT(N67,2))))*5+COUNTIF(APO,"&gt;"&amp;(--TRIM(LEFT(P67,2))))+1,COUNTIF(APD,"&gt;"&amp;(--TRIM(LEFT(R67,2))))+1))</f>
        <v/>
      </c>
      <c r="U67" s="20">
        <f>IF(S67="","",IF(OR((--TRIM(LEFT(N67,2)))&gt;=SThr,S67&gt;=RPNThr,T67="H"),"Yes","No"))</f>
        <v/>
      </c>
      <c r="V67" s="4" t="n"/>
      <c r="W67" s="4" t="n"/>
      <c r="X67" s="4" t="n"/>
      <c r="Y67" s="29" t="n"/>
      <c r="Z67" s="16" t="n"/>
      <c r="AA67" s="16" t="n"/>
      <c r="AB67" s="16" t="n"/>
      <c r="AC67" s="20">
        <f>IF(OR(Z67="",AA67="",AB67=""),"",(--TRIM(LEFT(Z67,2)))*(--TRIM(LEFT(AA67,2)))*(--TRIM(LEFT(AB67,2))))</f>
        <v/>
      </c>
      <c r="AD67" s="20">
        <f>IF(OR(Z67="",AA67="",AB67=""),"",INDEX(APGrid,COUNTIF(APS,"&gt;"&amp;(--TRIM(LEFT(Z67,2))))*5+COUNTIF(APO,"&gt;"&amp;(--TRIM(LEFT(AA67,2))))+1,COUNTIF(APD,"&gt;"&amp;(--TRIM(LEFT(AB67,2))))+1))</f>
        <v/>
      </c>
      <c r="AE67" s="4" t="n"/>
      <c r="AF67" s="4" t="n"/>
      <c r="AH67">
        <f>IFERROR(INDEX(EqTag,_xlfn.AGGREGATE(15,6,(ROW(EqTag)-4)/((EqSys=$D$3)*(EqTag&lt;&gt;"")),ROWS($AH$14:AH67))),"")</f>
        <v/>
      </c>
    </row>
    <row r="68">
      <c r="A68" s="20">
        <f>IF(F68="","",LEFT($D$3,3)&amp;"-"&amp;TEXT(COUNTIF(F$14:F68,"?*"),"00"))</f>
        <v/>
      </c>
      <c r="B68" s="4" t="n"/>
      <c r="C68" s="5">
        <f>IF(B68="","",IFERROR(INDEX(EqTypeCol,MATCH(B68,EqTag,0)),"Tag not in register"))</f>
        <v/>
      </c>
      <c r="D68" s="4" t="n"/>
      <c r="E68" s="4" t="n"/>
      <c r="F68" s="4" t="n"/>
      <c r="G68" s="4" t="n"/>
      <c r="H68" s="4" t="n"/>
      <c r="I68" s="4" t="n"/>
      <c r="J68" s="5">
        <f>_xlfn.TEXTJOIN(CHAR(10),TRUE,IF(G68="","","• "&amp;G68),IF(H68="","","• "&amp;H68),IF(I68="","","• "&amp;I68))</f>
        <v/>
      </c>
      <c r="K68" s="4" t="n"/>
      <c r="L68" s="4" t="n"/>
      <c r="M68" s="4" t="n"/>
      <c r="N68" s="16" t="n"/>
      <c r="O68" s="4" t="n"/>
      <c r="P68" s="16" t="n"/>
      <c r="Q68" s="4" t="n"/>
      <c r="R68" s="16" t="n"/>
      <c r="S68" s="20">
        <f>IF(OR(N68="",P68="",R68=""),"",(--TRIM(LEFT(N68,2)))*(--TRIM(LEFT(P68,2)))*(--TRIM(LEFT(R68,2))))</f>
        <v/>
      </c>
      <c r="T68" s="20">
        <f>IF(OR(N68="",P68="",R68=""),"",INDEX(APGrid,COUNTIF(APS,"&gt;"&amp;(--TRIM(LEFT(N68,2))))*5+COUNTIF(APO,"&gt;"&amp;(--TRIM(LEFT(P68,2))))+1,COUNTIF(APD,"&gt;"&amp;(--TRIM(LEFT(R68,2))))+1))</f>
        <v/>
      </c>
      <c r="U68" s="20">
        <f>IF(S68="","",IF(OR((--TRIM(LEFT(N68,2)))&gt;=SThr,S68&gt;=RPNThr,T68="H"),"Yes","No"))</f>
        <v/>
      </c>
      <c r="V68" s="4" t="n"/>
      <c r="W68" s="4" t="n"/>
      <c r="X68" s="4" t="n"/>
      <c r="Y68" s="29" t="n"/>
      <c r="Z68" s="16" t="n"/>
      <c r="AA68" s="16" t="n"/>
      <c r="AB68" s="16" t="n"/>
      <c r="AC68" s="20">
        <f>IF(OR(Z68="",AA68="",AB68=""),"",(--TRIM(LEFT(Z68,2)))*(--TRIM(LEFT(AA68,2)))*(--TRIM(LEFT(AB68,2))))</f>
        <v/>
      </c>
      <c r="AD68" s="20">
        <f>IF(OR(Z68="",AA68="",AB68=""),"",INDEX(APGrid,COUNTIF(APS,"&gt;"&amp;(--TRIM(LEFT(Z68,2))))*5+COUNTIF(APO,"&gt;"&amp;(--TRIM(LEFT(AA68,2))))+1,COUNTIF(APD,"&gt;"&amp;(--TRIM(LEFT(AB68,2))))+1))</f>
        <v/>
      </c>
      <c r="AE68" s="4" t="n"/>
      <c r="AF68" s="4" t="n"/>
      <c r="AH68">
        <f>IFERROR(INDEX(EqTag,_xlfn.AGGREGATE(15,6,(ROW(EqTag)-4)/((EqSys=$D$3)*(EqTag&lt;&gt;"")),ROWS($AH$14:AH68))),"")</f>
        <v/>
      </c>
    </row>
    <row r="69">
      <c r="A69" s="20">
        <f>IF(F69="","",LEFT($D$3,3)&amp;"-"&amp;TEXT(COUNTIF(F$14:F69,"?*"),"00"))</f>
        <v/>
      </c>
      <c r="B69" s="4" t="n"/>
      <c r="C69" s="5">
        <f>IF(B69="","",IFERROR(INDEX(EqTypeCol,MATCH(B69,EqTag,0)),"Tag not in register"))</f>
        <v/>
      </c>
      <c r="D69" s="4" t="n"/>
      <c r="E69" s="4" t="n"/>
      <c r="F69" s="4" t="n"/>
      <c r="G69" s="4" t="n"/>
      <c r="H69" s="4" t="n"/>
      <c r="I69" s="4" t="n"/>
      <c r="J69" s="5">
        <f>_xlfn.TEXTJOIN(CHAR(10),TRUE,IF(G69="","","• "&amp;G69),IF(H69="","","• "&amp;H69),IF(I69="","","• "&amp;I69))</f>
        <v/>
      </c>
      <c r="K69" s="4" t="n"/>
      <c r="L69" s="4" t="n"/>
      <c r="M69" s="4" t="n"/>
      <c r="N69" s="16" t="n"/>
      <c r="O69" s="4" t="n"/>
      <c r="P69" s="16" t="n"/>
      <c r="Q69" s="4" t="n"/>
      <c r="R69" s="16" t="n"/>
      <c r="S69" s="20">
        <f>IF(OR(N69="",P69="",R69=""),"",(--TRIM(LEFT(N69,2)))*(--TRIM(LEFT(P69,2)))*(--TRIM(LEFT(R69,2))))</f>
        <v/>
      </c>
      <c r="T69" s="20">
        <f>IF(OR(N69="",P69="",R69=""),"",INDEX(APGrid,COUNTIF(APS,"&gt;"&amp;(--TRIM(LEFT(N69,2))))*5+COUNTIF(APO,"&gt;"&amp;(--TRIM(LEFT(P69,2))))+1,COUNTIF(APD,"&gt;"&amp;(--TRIM(LEFT(R69,2))))+1))</f>
        <v/>
      </c>
      <c r="U69" s="20">
        <f>IF(S69="","",IF(OR((--TRIM(LEFT(N69,2)))&gt;=SThr,S69&gt;=RPNThr,T69="H"),"Yes","No"))</f>
        <v/>
      </c>
      <c r="V69" s="4" t="n"/>
      <c r="W69" s="4" t="n"/>
      <c r="X69" s="4" t="n"/>
      <c r="Y69" s="29" t="n"/>
      <c r="Z69" s="16" t="n"/>
      <c r="AA69" s="16" t="n"/>
      <c r="AB69" s="16" t="n"/>
      <c r="AC69" s="20">
        <f>IF(OR(Z69="",AA69="",AB69=""),"",(--TRIM(LEFT(Z69,2)))*(--TRIM(LEFT(AA69,2)))*(--TRIM(LEFT(AB69,2))))</f>
        <v/>
      </c>
      <c r="AD69" s="20">
        <f>IF(OR(Z69="",AA69="",AB69=""),"",INDEX(APGrid,COUNTIF(APS,"&gt;"&amp;(--TRIM(LEFT(Z69,2))))*5+COUNTIF(APO,"&gt;"&amp;(--TRIM(LEFT(AA69,2))))+1,COUNTIF(APD,"&gt;"&amp;(--TRIM(LEFT(AB69,2))))+1))</f>
        <v/>
      </c>
      <c r="AE69" s="4" t="n"/>
      <c r="AF69" s="4" t="n"/>
      <c r="AH69">
        <f>IFERROR(INDEX(EqTag,_xlfn.AGGREGATE(15,6,(ROW(EqTag)-4)/((EqSys=$D$3)*(EqTag&lt;&gt;"")),ROWS($AH$14:AH69))),"")</f>
        <v/>
      </c>
    </row>
    <row r="70">
      <c r="A70" s="20">
        <f>IF(F70="","",LEFT($D$3,3)&amp;"-"&amp;TEXT(COUNTIF(F$14:F70,"?*"),"00"))</f>
        <v/>
      </c>
      <c r="B70" s="4" t="n"/>
      <c r="C70" s="5">
        <f>IF(B70="","",IFERROR(INDEX(EqTypeCol,MATCH(B70,EqTag,0)),"Tag not in register"))</f>
        <v/>
      </c>
      <c r="D70" s="4" t="n"/>
      <c r="E70" s="4" t="n"/>
      <c r="F70" s="4" t="n"/>
      <c r="G70" s="4" t="n"/>
      <c r="H70" s="4" t="n"/>
      <c r="I70" s="4" t="n"/>
      <c r="J70" s="5">
        <f>_xlfn.TEXTJOIN(CHAR(10),TRUE,IF(G70="","","• "&amp;G70),IF(H70="","","• "&amp;H70),IF(I70="","","• "&amp;I70))</f>
        <v/>
      </c>
      <c r="K70" s="4" t="n"/>
      <c r="L70" s="4" t="n"/>
      <c r="M70" s="4" t="n"/>
      <c r="N70" s="16" t="n"/>
      <c r="O70" s="4" t="n"/>
      <c r="P70" s="16" t="n"/>
      <c r="Q70" s="4" t="n"/>
      <c r="R70" s="16" t="n"/>
      <c r="S70" s="20">
        <f>IF(OR(N70="",P70="",R70=""),"",(--TRIM(LEFT(N70,2)))*(--TRIM(LEFT(P70,2)))*(--TRIM(LEFT(R70,2))))</f>
        <v/>
      </c>
      <c r="T70" s="20">
        <f>IF(OR(N70="",P70="",R70=""),"",INDEX(APGrid,COUNTIF(APS,"&gt;"&amp;(--TRIM(LEFT(N70,2))))*5+COUNTIF(APO,"&gt;"&amp;(--TRIM(LEFT(P70,2))))+1,COUNTIF(APD,"&gt;"&amp;(--TRIM(LEFT(R70,2))))+1))</f>
        <v/>
      </c>
      <c r="U70" s="20">
        <f>IF(S70="","",IF(OR((--TRIM(LEFT(N70,2)))&gt;=SThr,S70&gt;=RPNThr,T70="H"),"Yes","No"))</f>
        <v/>
      </c>
      <c r="V70" s="4" t="n"/>
      <c r="W70" s="4" t="n"/>
      <c r="X70" s="4" t="n"/>
      <c r="Y70" s="29" t="n"/>
      <c r="Z70" s="16" t="n"/>
      <c r="AA70" s="16" t="n"/>
      <c r="AB70" s="16" t="n"/>
      <c r="AC70" s="20">
        <f>IF(OR(Z70="",AA70="",AB70=""),"",(--TRIM(LEFT(Z70,2)))*(--TRIM(LEFT(AA70,2)))*(--TRIM(LEFT(AB70,2))))</f>
        <v/>
      </c>
      <c r="AD70" s="20">
        <f>IF(OR(Z70="",AA70="",AB70=""),"",INDEX(APGrid,COUNTIF(APS,"&gt;"&amp;(--TRIM(LEFT(Z70,2))))*5+COUNTIF(APO,"&gt;"&amp;(--TRIM(LEFT(AA70,2))))+1,COUNTIF(APD,"&gt;"&amp;(--TRIM(LEFT(AB70,2))))+1))</f>
        <v/>
      </c>
      <c r="AE70" s="4" t="n"/>
      <c r="AF70" s="4" t="n"/>
      <c r="AH70">
        <f>IFERROR(INDEX(EqTag,_xlfn.AGGREGATE(15,6,(ROW(EqTag)-4)/((EqSys=$D$3)*(EqTag&lt;&gt;"")),ROWS($AH$14:AH70))),"")</f>
        <v/>
      </c>
    </row>
    <row r="71">
      <c r="A71" s="20">
        <f>IF(F71="","",LEFT($D$3,3)&amp;"-"&amp;TEXT(COUNTIF(F$14:F71,"?*"),"00"))</f>
        <v/>
      </c>
      <c r="B71" s="4" t="n"/>
      <c r="C71" s="5">
        <f>IF(B71="","",IFERROR(INDEX(EqTypeCol,MATCH(B71,EqTag,0)),"Tag not in register"))</f>
        <v/>
      </c>
      <c r="D71" s="4" t="n"/>
      <c r="E71" s="4" t="n"/>
      <c r="F71" s="4" t="n"/>
      <c r="G71" s="4" t="n"/>
      <c r="H71" s="4" t="n"/>
      <c r="I71" s="4" t="n"/>
      <c r="J71" s="5">
        <f>_xlfn.TEXTJOIN(CHAR(10),TRUE,IF(G71="","","• "&amp;G71),IF(H71="","","• "&amp;H71),IF(I71="","","• "&amp;I71))</f>
        <v/>
      </c>
      <c r="K71" s="4" t="n"/>
      <c r="L71" s="4" t="n"/>
      <c r="M71" s="4" t="n"/>
      <c r="N71" s="16" t="n"/>
      <c r="O71" s="4" t="n"/>
      <c r="P71" s="16" t="n"/>
      <c r="Q71" s="4" t="n"/>
      <c r="R71" s="16" t="n"/>
      <c r="S71" s="20">
        <f>IF(OR(N71="",P71="",R71=""),"",(--TRIM(LEFT(N71,2)))*(--TRIM(LEFT(P71,2)))*(--TRIM(LEFT(R71,2))))</f>
        <v/>
      </c>
      <c r="T71" s="20">
        <f>IF(OR(N71="",P71="",R71=""),"",INDEX(APGrid,COUNTIF(APS,"&gt;"&amp;(--TRIM(LEFT(N71,2))))*5+COUNTIF(APO,"&gt;"&amp;(--TRIM(LEFT(P71,2))))+1,COUNTIF(APD,"&gt;"&amp;(--TRIM(LEFT(R71,2))))+1))</f>
        <v/>
      </c>
      <c r="U71" s="20">
        <f>IF(S71="","",IF(OR((--TRIM(LEFT(N71,2)))&gt;=SThr,S71&gt;=RPNThr,T71="H"),"Yes","No"))</f>
        <v/>
      </c>
      <c r="V71" s="4" t="n"/>
      <c r="W71" s="4" t="n"/>
      <c r="X71" s="4" t="n"/>
      <c r="Y71" s="29" t="n"/>
      <c r="Z71" s="16" t="n"/>
      <c r="AA71" s="16" t="n"/>
      <c r="AB71" s="16" t="n"/>
      <c r="AC71" s="20">
        <f>IF(OR(Z71="",AA71="",AB71=""),"",(--TRIM(LEFT(Z71,2)))*(--TRIM(LEFT(AA71,2)))*(--TRIM(LEFT(AB71,2))))</f>
        <v/>
      </c>
      <c r="AD71" s="20">
        <f>IF(OR(Z71="",AA71="",AB71=""),"",INDEX(APGrid,COUNTIF(APS,"&gt;"&amp;(--TRIM(LEFT(Z71,2))))*5+COUNTIF(APO,"&gt;"&amp;(--TRIM(LEFT(AA71,2))))+1,COUNTIF(APD,"&gt;"&amp;(--TRIM(LEFT(AB71,2))))+1))</f>
        <v/>
      </c>
      <c r="AE71" s="4" t="n"/>
      <c r="AF71" s="4" t="n"/>
      <c r="AH71">
        <f>IFERROR(INDEX(EqTag,_xlfn.AGGREGATE(15,6,(ROW(EqTag)-4)/((EqSys=$D$3)*(EqTag&lt;&gt;"")),ROWS($AH$14:AH71))),"")</f>
        <v/>
      </c>
    </row>
    <row r="72">
      <c r="A72" s="20">
        <f>IF(F72="","",LEFT($D$3,3)&amp;"-"&amp;TEXT(COUNTIF(F$14:F72,"?*"),"00"))</f>
        <v/>
      </c>
      <c r="B72" s="4" t="n"/>
      <c r="C72" s="5">
        <f>IF(B72="","",IFERROR(INDEX(EqTypeCol,MATCH(B72,EqTag,0)),"Tag not in register"))</f>
        <v/>
      </c>
      <c r="D72" s="4" t="n"/>
      <c r="E72" s="4" t="n"/>
      <c r="F72" s="4" t="n"/>
      <c r="G72" s="4" t="n"/>
      <c r="H72" s="4" t="n"/>
      <c r="I72" s="4" t="n"/>
      <c r="J72" s="5">
        <f>_xlfn.TEXTJOIN(CHAR(10),TRUE,IF(G72="","","• "&amp;G72),IF(H72="","","• "&amp;H72),IF(I72="","","• "&amp;I72))</f>
        <v/>
      </c>
      <c r="K72" s="4" t="n"/>
      <c r="L72" s="4" t="n"/>
      <c r="M72" s="4" t="n"/>
      <c r="N72" s="16" t="n"/>
      <c r="O72" s="4" t="n"/>
      <c r="P72" s="16" t="n"/>
      <c r="Q72" s="4" t="n"/>
      <c r="R72" s="16" t="n"/>
      <c r="S72" s="20">
        <f>IF(OR(N72="",P72="",R72=""),"",(--TRIM(LEFT(N72,2)))*(--TRIM(LEFT(P72,2)))*(--TRIM(LEFT(R72,2))))</f>
        <v/>
      </c>
      <c r="T72" s="20">
        <f>IF(OR(N72="",P72="",R72=""),"",INDEX(APGrid,COUNTIF(APS,"&gt;"&amp;(--TRIM(LEFT(N72,2))))*5+COUNTIF(APO,"&gt;"&amp;(--TRIM(LEFT(P72,2))))+1,COUNTIF(APD,"&gt;"&amp;(--TRIM(LEFT(R72,2))))+1))</f>
        <v/>
      </c>
      <c r="U72" s="20">
        <f>IF(S72="","",IF(OR((--TRIM(LEFT(N72,2)))&gt;=SThr,S72&gt;=RPNThr,T72="H"),"Yes","No"))</f>
        <v/>
      </c>
      <c r="V72" s="4" t="n"/>
      <c r="W72" s="4" t="n"/>
      <c r="X72" s="4" t="n"/>
      <c r="Y72" s="29" t="n"/>
      <c r="Z72" s="16" t="n"/>
      <c r="AA72" s="16" t="n"/>
      <c r="AB72" s="16" t="n"/>
      <c r="AC72" s="20">
        <f>IF(OR(Z72="",AA72="",AB72=""),"",(--TRIM(LEFT(Z72,2)))*(--TRIM(LEFT(AA72,2)))*(--TRIM(LEFT(AB72,2))))</f>
        <v/>
      </c>
      <c r="AD72" s="20">
        <f>IF(OR(Z72="",AA72="",AB72=""),"",INDEX(APGrid,COUNTIF(APS,"&gt;"&amp;(--TRIM(LEFT(Z72,2))))*5+COUNTIF(APO,"&gt;"&amp;(--TRIM(LEFT(AA72,2))))+1,COUNTIF(APD,"&gt;"&amp;(--TRIM(LEFT(AB72,2))))+1))</f>
        <v/>
      </c>
      <c r="AE72" s="4" t="n"/>
      <c r="AF72" s="4" t="n"/>
      <c r="AH72">
        <f>IFERROR(INDEX(EqTag,_xlfn.AGGREGATE(15,6,(ROW(EqTag)-4)/((EqSys=$D$3)*(EqTag&lt;&gt;"")),ROWS($AH$14:AH72))),"")</f>
        <v/>
      </c>
    </row>
    <row r="73">
      <c r="A73" s="20">
        <f>IF(F73="","",LEFT($D$3,3)&amp;"-"&amp;TEXT(COUNTIF(F$14:F73,"?*"),"00"))</f>
        <v/>
      </c>
      <c r="B73" s="4" t="n"/>
      <c r="C73" s="5">
        <f>IF(B73="","",IFERROR(INDEX(EqTypeCol,MATCH(B73,EqTag,0)),"Tag not in register"))</f>
        <v/>
      </c>
      <c r="D73" s="4" t="n"/>
      <c r="E73" s="4" t="n"/>
      <c r="F73" s="4" t="n"/>
      <c r="G73" s="4" t="n"/>
      <c r="H73" s="4" t="n"/>
      <c r="I73" s="4" t="n"/>
      <c r="J73" s="5">
        <f>_xlfn.TEXTJOIN(CHAR(10),TRUE,IF(G73="","","• "&amp;G73),IF(H73="","","• "&amp;H73),IF(I73="","","• "&amp;I73))</f>
        <v/>
      </c>
      <c r="K73" s="4" t="n"/>
      <c r="L73" s="4" t="n"/>
      <c r="M73" s="4" t="n"/>
      <c r="N73" s="16" t="n"/>
      <c r="O73" s="4" t="n"/>
      <c r="P73" s="16" t="n"/>
      <c r="Q73" s="4" t="n"/>
      <c r="R73" s="16" t="n"/>
      <c r="S73" s="20">
        <f>IF(OR(N73="",P73="",R73=""),"",(--TRIM(LEFT(N73,2)))*(--TRIM(LEFT(P73,2)))*(--TRIM(LEFT(R73,2))))</f>
        <v/>
      </c>
      <c r="T73" s="20">
        <f>IF(OR(N73="",P73="",R73=""),"",INDEX(APGrid,COUNTIF(APS,"&gt;"&amp;(--TRIM(LEFT(N73,2))))*5+COUNTIF(APO,"&gt;"&amp;(--TRIM(LEFT(P73,2))))+1,COUNTIF(APD,"&gt;"&amp;(--TRIM(LEFT(R73,2))))+1))</f>
        <v/>
      </c>
      <c r="U73" s="20">
        <f>IF(S73="","",IF(OR((--TRIM(LEFT(N73,2)))&gt;=SThr,S73&gt;=RPNThr,T73="H"),"Yes","No"))</f>
        <v/>
      </c>
      <c r="V73" s="4" t="n"/>
      <c r="W73" s="4" t="n"/>
      <c r="X73" s="4" t="n"/>
      <c r="Y73" s="29" t="n"/>
      <c r="Z73" s="16" t="n"/>
      <c r="AA73" s="16" t="n"/>
      <c r="AB73" s="16" t="n"/>
      <c r="AC73" s="20">
        <f>IF(OR(Z73="",AA73="",AB73=""),"",(--TRIM(LEFT(Z73,2)))*(--TRIM(LEFT(AA73,2)))*(--TRIM(LEFT(AB73,2))))</f>
        <v/>
      </c>
      <c r="AD73" s="20">
        <f>IF(OR(Z73="",AA73="",AB73=""),"",INDEX(APGrid,COUNTIF(APS,"&gt;"&amp;(--TRIM(LEFT(Z73,2))))*5+COUNTIF(APO,"&gt;"&amp;(--TRIM(LEFT(AA73,2))))+1,COUNTIF(APD,"&gt;"&amp;(--TRIM(LEFT(AB73,2))))+1))</f>
        <v/>
      </c>
      <c r="AE73" s="4" t="n"/>
      <c r="AF73" s="4" t="n"/>
      <c r="AH73">
        <f>IFERROR(INDEX(EqTag,_xlfn.AGGREGATE(15,6,(ROW(EqTag)-4)/((EqSys=$D$3)*(EqTag&lt;&gt;"")),ROWS($AH$14:AH73))),"")</f>
        <v/>
      </c>
    </row>
    <row r="74">
      <c r="A74" s="20">
        <f>IF(F74="","",LEFT($D$3,3)&amp;"-"&amp;TEXT(COUNTIF(F$14:F74,"?*"),"00"))</f>
        <v/>
      </c>
      <c r="B74" s="4" t="n"/>
      <c r="C74" s="5">
        <f>IF(B74="","",IFERROR(INDEX(EqTypeCol,MATCH(B74,EqTag,0)),"Tag not in register"))</f>
        <v/>
      </c>
      <c r="D74" s="4" t="n"/>
      <c r="E74" s="4" t="n"/>
      <c r="F74" s="4" t="n"/>
      <c r="G74" s="4" t="n"/>
      <c r="H74" s="4" t="n"/>
      <c r="I74" s="4" t="n"/>
      <c r="J74" s="5">
        <f>_xlfn.TEXTJOIN(CHAR(10),TRUE,IF(G74="","","• "&amp;G74),IF(H74="","","• "&amp;H74),IF(I74="","","• "&amp;I74))</f>
        <v/>
      </c>
      <c r="K74" s="4" t="n"/>
      <c r="L74" s="4" t="n"/>
      <c r="M74" s="4" t="n"/>
      <c r="N74" s="16" t="n"/>
      <c r="O74" s="4" t="n"/>
      <c r="P74" s="16" t="n"/>
      <c r="Q74" s="4" t="n"/>
      <c r="R74" s="16" t="n"/>
      <c r="S74" s="20">
        <f>IF(OR(N74="",P74="",R74=""),"",(--TRIM(LEFT(N74,2)))*(--TRIM(LEFT(P74,2)))*(--TRIM(LEFT(R74,2))))</f>
        <v/>
      </c>
      <c r="T74" s="20">
        <f>IF(OR(N74="",P74="",R74=""),"",INDEX(APGrid,COUNTIF(APS,"&gt;"&amp;(--TRIM(LEFT(N74,2))))*5+COUNTIF(APO,"&gt;"&amp;(--TRIM(LEFT(P74,2))))+1,COUNTIF(APD,"&gt;"&amp;(--TRIM(LEFT(R74,2))))+1))</f>
        <v/>
      </c>
      <c r="U74" s="20">
        <f>IF(S74="","",IF(OR((--TRIM(LEFT(N74,2)))&gt;=SThr,S74&gt;=RPNThr,T74="H"),"Yes","No"))</f>
        <v/>
      </c>
      <c r="V74" s="4" t="n"/>
      <c r="W74" s="4" t="n"/>
      <c r="X74" s="4" t="n"/>
      <c r="Y74" s="29" t="n"/>
      <c r="Z74" s="16" t="n"/>
      <c r="AA74" s="16" t="n"/>
      <c r="AB74" s="16" t="n"/>
      <c r="AC74" s="20">
        <f>IF(OR(Z74="",AA74="",AB74=""),"",(--TRIM(LEFT(Z74,2)))*(--TRIM(LEFT(AA74,2)))*(--TRIM(LEFT(AB74,2))))</f>
        <v/>
      </c>
      <c r="AD74" s="20">
        <f>IF(OR(Z74="",AA74="",AB74=""),"",INDEX(APGrid,COUNTIF(APS,"&gt;"&amp;(--TRIM(LEFT(Z74,2))))*5+COUNTIF(APO,"&gt;"&amp;(--TRIM(LEFT(AA74,2))))+1,COUNTIF(APD,"&gt;"&amp;(--TRIM(LEFT(AB74,2))))+1))</f>
        <v/>
      </c>
      <c r="AE74" s="4" t="n"/>
      <c r="AF74" s="4" t="n"/>
      <c r="AH74">
        <f>IFERROR(INDEX(EqTag,_xlfn.AGGREGATE(15,6,(ROW(EqTag)-4)/((EqSys=$D$3)*(EqTag&lt;&gt;"")),ROWS($AH$14:AH74))),"")</f>
        <v/>
      </c>
    </row>
    <row r="75">
      <c r="A75" s="20">
        <f>IF(F75="","",LEFT($D$3,3)&amp;"-"&amp;TEXT(COUNTIF(F$14:F75,"?*"),"00"))</f>
        <v/>
      </c>
      <c r="B75" s="4" t="n"/>
      <c r="C75" s="5">
        <f>IF(B75="","",IFERROR(INDEX(EqTypeCol,MATCH(B75,EqTag,0)),"Tag not in register"))</f>
        <v/>
      </c>
      <c r="D75" s="4" t="n"/>
      <c r="E75" s="4" t="n"/>
      <c r="F75" s="4" t="n"/>
      <c r="G75" s="4" t="n"/>
      <c r="H75" s="4" t="n"/>
      <c r="I75" s="4" t="n"/>
      <c r="J75" s="5">
        <f>_xlfn.TEXTJOIN(CHAR(10),TRUE,IF(G75="","","• "&amp;G75),IF(H75="","","• "&amp;H75),IF(I75="","","• "&amp;I75))</f>
        <v/>
      </c>
      <c r="K75" s="4" t="n"/>
      <c r="L75" s="4" t="n"/>
      <c r="M75" s="4" t="n"/>
      <c r="N75" s="16" t="n"/>
      <c r="O75" s="4" t="n"/>
      <c r="P75" s="16" t="n"/>
      <c r="Q75" s="4" t="n"/>
      <c r="R75" s="16" t="n"/>
      <c r="S75" s="20">
        <f>IF(OR(N75="",P75="",R75=""),"",(--TRIM(LEFT(N75,2)))*(--TRIM(LEFT(P75,2)))*(--TRIM(LEFT(R75,2))))</f>
        <v/>
      </c>
      <c r="T75" s="20">
        <f>IF(OR(N75="",P75="",R75=""),"",INDEX(APGrid,COUNTIF(APS,"&gt;"&amp;(--TRIM(LEFT(N75,2))))*5+COUNTIF(APO,"&gt;"&amp;(--TRIM(LEFT(P75,2))))+1,COUNTIF(APD,"&gt;"&amp;(--TRIM(LEFT(R75,2))))+1))</f>
        <v/>
      </c>
      <c r="U75" s="20">
        <f>IF(S75="","",IF(OR((--TRIM(LEFT(N75,2)))&gt;=SThr,S75&gt;=RPNThr,T75="H"),"Yes","No"))</f>
        <v/>
      </c>
      <c r="V75" s="4" t="n"/>
      <c r="W75" s="4" t="n"/>
      <c r="X75" s="4" t="n"/>
      <c r="Y75" s="29" t="n"/>
      <c r="Z75" s="16" t="n"/>
      <c r="AA75" s="16" t="n"/>
      <c r="AB75" s="16" t="n"/>
      <c r="AC75" s="20">
        <f>IF(OR(Z75="",AA75="",AB75=""),"",(--TRIM(LEFT(Z75,2)))*(--TRIM(LEFT(AA75,2)))*(--TRIM(LEFT(AB75,2))))</f>
        <v/>
      </c>
      <c r="AD75" s="20">
        <f>IF(OR(Z75="",AA75="",AB75=""),"",INDEX(APGrid,COUNTIF(APS,"&gt;"&amp;(--TRIM(LEFT(Z75,2))))*5+COUNTIF(APO,"&gt;"&amp;(--TRIM(LEFT(AA75,2))))+1,COUNTIF(APD,"&gt;"&amp;(--TRIM(LEFT(AB75,2))))+1))</f>
        <v/>
      </c>
      <c r="AE75" s="4" t="n"/>
      <c r="AF75" s="4" t="n"/>
      <c r="AH75">
        <f>IFERROR(INDEX(EqTag,_xlfn.AGGREGATE(15,6,(ROW(EqTag)-4)/((EqSys=$D$3)*(EqTag&lt;&gt;"")),ROWS($AH$14:AH75))),"")</f>
        <v/>
      </c>
    </row>
    <row r="76">
      <c r="A76" s="20">
        <f>IF(F76="","",LEFT($D$3,3)&amp;"-"&amp;TEXT(COUNTIF(F$14:F76,"?*"),"00"))</f>
        <v/>
      </c>
      <c r="B76" s="4" t="n"/>
      <c r="C76" s="5">
        <f>IF(B76="","",IFERROR(INDEX(EqTypeCol,MATCH(B76,EqTag,0)),"Tag not in register"))</f>
        <v/>
      </c>
      <c r="D76" s="4" t="n"/>
      <c r="E76" s="4" t="n"/>
      <c r="F76" s="4" t="n"/>
      <c r="G76" s="4" t="n"/>
      <c r="H76" s="4" t="n"/>
      <c r="I76" s="4" t="n"/>
      <c r="J76" s="5">
        <f>_xlfn.TEXTJOIN(CHAR(10),TRUE,IF(G76="","","• "&amp;G76),IF(H76="","","• "&amp;H76),IF(I76="","","• "&amp;I76))</f>
        <v/>
      </c>
      <c r="K76" s="4" t="n"/>
      <c r="L76" s="4" t="n"/>
      <c r="M76" s="4" t="n"/>
      <c r="N76" s="16" t="n"/>
      <c r="O76" s="4" t="n"/>
      <c r="P76" s="16" t="n"/>
      <c r="Q76" s="4" t="n"/>
      <c r="R76" s="16" t="n"/>
      <c r="S76" s="20">
        <f>IF(OR(N76="",P76="",R76=""),"",(--TRIM(LEFT(N76,2)))*(--TRIM(LEFT(P76,2)))*(--TRIM(LEFT(R76,2))))</f>
        <v/>
      </c>
      <c r="T76" s="20">
        <f>IF(OR(N76="",P76="",R76=""),"",INDEX(APGrid,COUNTIF(APS,"&gt;"&amp;(--TRIM(LEFT(N76,2))))*5+COUNTIF(APO,"&gt;"&amp;(--TRIM(LEFT(P76,2))))+1,COUNTIF(APD,"&gt;"&amp;(--TRIM(LEFT(R76,2))))+1))</f>
        <v/>
      </c>
      <c r="U76" s="20">
        <f>IF(S76="","",IF(OR((--TRIM(LEFT(N76,2)))&gt;=SThr,S76&gt;=RPNThr,T76="H"),"Yes","No"))</f>
        <v/>
      </c>
      <c r="V76" s="4" t="n"/>
      <c r="W76" s="4" t="n"/>
      <c r="X76" s="4" t="n"/>
      <c r="Y76" s="29" t="n"/>
      <c r="Z76" s="16" t="n"/>
      <c r="AA76" s="16" t="n"/>
      <c r="AB76" s="16" t="n"/>
      <c r="AC76" s="20">
        <f>IF(OR(Z76="",AA76="",AB76=""),"",(--TRIM(LEFT(Z76,2)))*(--TRIM(LEFT(AA76,2)))*(--TRIM(LEFT(AB76,2))))</f>
        <v/>
      </c>
      <c r="AD76" s="20">
        <f>IF(OR(Z76="",AA76="",AB76=""),"",INDEX(APGrid,COUNTIF(APS,"&gt;"&amp;(--TRIM(LEFT(Z76,2))))*5+COUNTIF(APO,"&gt;"&amp;(--TRIM(LEFT(AA76,2))))+1,COUNTIF(APD,"&gt;"&amp;(--TRIM(LEFT(AB76,2))))+1))</f>
        <v/>
      </c>
      <c r="AE76" s="4" t="n"/>
      <c r="AF76" s="4" t="n"/>
      <c r="AH76">
        <f>IFERROR(INDEX(EqTag,_xlfn.AGGREGATE(15,6,(ROW(EqTag)-4)/((EqSys=$D$3)*(EqTag&lt;&gt;"")),ROWS($AH$14:AH76))),"")</f>
        <v/>
      </c>
    </row>
    <row r="77">
      <c r="A77" s="20">
        <f>IF(F77="","",LEFT($D$3,3)&amp;"-"&amp;TEXT(COUNTIF(F$14:F77,"?*"),"00"))</f>
        <v/>
      </c>
      <c r="B77" s="4" t="n"/>
      <c r="C77" s="5">
        <f>IF(B77="","",IFERROR(INDEX(EqTypeCol,MATCH(B77,EqTag,0)),"Tag not in register"))</f>
        <v/>
      </c>
      <c r="D77" s="4" t="n"/>
      <c r="E77" s="4" t="n"/>
      <c r="F77" s="4" t="n"/>
      <c r="G77" s="4" t="n"/>
      <c r="H77" s="4" t="n"/>
      <c r="I77" s="4" t="n"/>
      <c r="J77" s="5">
        <f>_xlfn.TEXTJOIN(CHAR(10),TRUE,IF(G77="","","• "&amp;G77),IF(H77="","","• "&amp;H77),IF(I77="","","• "&amp;I77))</f>
        <v/>
      </c>
      <c r="K77" s="4" t="n"/>
      <c r="L77" s="4" t="n"/>
      <c r="M77" s="4" t="n"/>
      <c r="N77" s="16" t="n"/>
      <c r="O77" s="4" t="n"/>
      <c r="P77" s="16" t="n"/>
      <c r="Q77" s="4" t="n"/>
      <c r="R77" s="16" t="n"/>
      <c r="S77" s="20">
        <f>IF(OR(N77="",P77="",R77=""),"",(--TRIM(LEFT(N77,2)))*(--TRIM(LEFT(P77,2)))*(--TRIM(LEFT(R77,2))))</f>
        <v/>
      </c>
      <c r="T77" s="20">
        <f>IF(OR(N77="",P77="",R77=""),"",INDEX(APGrid,COUNTIF(APS,"&gt;"&amp;(--TRIM(LEFT(N77,2))))*5+COUNTIF(APO,"&gt;"&amp;(--TRIM(LEFT(P77,2))))+1,COUNTIF(APD,"&gt;"&amp;(--TRIM(LEFT(R77,2))))+1))</f>
        <v/>
      </c>
      <c r="U77" s="20">
        <f>IF(S77="","",IF(OR((--TRIM(LEFT(N77,2)))&gt;=SThr,S77&gt;=RPNThr,T77="H"),"Yes","No"))</f>
        <v/>
      </c>
      <c r="V77" s="4" t="n"/>
      <c r="W77" s="4" t="n"/>
      <c r="X77" s="4" t="n"/>
      <c r="Y77" s="29" t="n"/>
      <c r="Z77" s="16" t="n"/>
      <c r="AA77" s="16" t="n"/>
      <c r="AB77" s="16" t="n"/>
      <c r="AC77" s="20">
        <f>IF(OR(Z77="",AA77="",AB77=""),"",(--TRIM(LEFT(Z77,2)))*(--TRIM(LEFT(AA77,2)))*(--TRIM(LEFT(AB77,2))))</f>
        <v/>
      </c>
      <c r="AD77" s="20">
        <f>IF(OR(Z77="",AA77="",AB77=""),"",INDEX(APGrid,COUNTIF(APS,"&gt;"&amp;(--TRIM(LEFT(Z77,2))))*5+COUNTIF(APO,"&gt;"&amp;(--TRIM(LEFT(AA77,2))))+1,COUNTIF(APD,"&gt;"&amp;(--TRIM(LEFT(AB77,2))))+1))</f>
        <v/>
      </c>
      <c r="AE77" s="4" t="n"/>
      <c r="AF77" s="4" t="n"/>
      <c r="AH77">
        <f>IFERROR(INDEX(EqTag,_xlfn.AGGREGATE(15,6,(ROW(EqTag)-4)/((EqSys=$D$3)*(EqTag&lt;&gt;"")),ROWS($AH$14:AH77))),"")</f>
        <v/>
      </c>
    </row>
    <row r="78">
      <c r="A78" s="20">
        <f>IF(F78="","",LEFT($D$3,3)&amp;"-"&amp;TEXT(COUNTIF(F$14:F78,"?*"),"00"))</f>
        <v/>
      </c>
      <c r="B78" s="4" t="n"/>
      <c r="C78" s="5">
        <f>IF(B78="","",IFERROR(INDEX(EqTypeCol,MATCH(B78,EqTag,0)),"Tag not in register"))</f>
        <v/>
      </c>
      <c r="D78" s="4" t="n"/>
      <c r="E78" s="4" t="n"/>
      <c r="F78" s="4" t="n"/>
      <c r="G78" s="4" t="n"/>
      <c r="H78" s="4" t="n"/>
      <c r="I78" s="4" t="n"/>
      <c r="J78" s="5">
        <f>_xlfn.TEXTJOIN(CHAR(10),TRUE,IF(G78="","","• "&amp;G78),IF(H78="","","• "&amp;H78),IF(I78="","","• "&amp;I78))</f>
        <v/>
      </c>
      <c r="K78" s="4" t="n"/>
      <c r="L78" s="4" t="n"/>
      <c r="M78" s="4" t="n"/>
      <c r="N78" s="16" t="n"/>
      <c r="O78" s="4" t="n"/>
      <c r="P78" s="16" t="n"/>
      <c r="Q78" s="4" t="n"/>
      <c r="R78" s="16" t="n"/>
      <c r="S78" s="20">
        <f>IF(OR(N78="",P78="",R78=""),"",(--TRIM(LEFT(N78,2)))*(--TRIM(LEFT(P78,2)))*(--TRIM(LEFT(R78,2))))</f>
        <v/>
      </c>
      <c r="T78" s="20">
        <f>IF(OR(N78="",P78="",R78=""),"",INDEX(APGrid,COUNTIF(APS,"&gt;"&amp;(--TRIM(LEFT(N78,2))))*5+COUNTIF(APO,"&gt;"&amp;(--TRIM(LEFT(P78,2))))+1,COUNTIF(APD,"&gt;"&amp;(--TRIM(LEFT(R78,2))))+1))</f>
        <v/>
      </c>
      <c r="U78" s="20">
        <f>IF(S78="","",IF(OR((--TRIM(LEFT(N78,2)))&gt;=SThr,S78&gt;=RPNThr,T78="H"),"Yes","No"))</f>
        <v/>
      </c>
      <c r="V78" s="4" t="n"/>
      <c r="W78" s="4" t="n"/>
      <c r="X78" s="4" t="n"/>
      <c r="Y78" s="29" t="n"/>
      <c r="Z78" s="16" t="n"/>
      <c r="AA78" s="16" t="n"/>
      <c r="AB78" s="16" t="n"/>
      <c r="AC78" s="20">
        <f>IF(OR(Z78="",AA78="",AB78=""),"",(--TRIM(LEFT(Z78,2)))*(--TRIM(LEFT(AA78,2)))*(--TRIM(LEFT(AB78,2))))</f>
        <v/>
      </c>
      <c r="AD78" s="20">
        <f>IF(OR(Z78="",AA78="",AB78=""),"",INDEX(APGrid,COUNTIF(APS,"&gt;"&amp;(--TRIM(LEFT(Z78,2))))*5+COUNTIF(APO,"&gt;"&amp;(--TRIM(LEFT(AA78,2))))+1,COUNTIF(APD,"&gt;"&amp;(--TRIM(LEFT(AB78,2))))+1))</f>
        <v/>
      </c>
      <c r="AE78" s="4" t="n"/>
      <c r="AF78" s="4" t="n"/>
      <c r="AH78">
        <f>IFERROR(INDEX(EqTag,_xlfn.AGGREGATE(15,6,(ROW(EqTag)-4)/((EqSys=$D$3)*(EqTag&lt;&gt;"")),ROWS($AH$14:AH78))),"")</f>
        <v/>
      </c>
    </row>
    <row r="79">
      <c r="A79" s="20">
        <f>IF(F79="","",LEFT($D$3,3)&amp;"-"&amp;TEXT(COUNTIF(F$14:F79,"?*"),"00"))</f>
        <v/>
      </c>
      <c r="B79" s="4" t="n"/>
      <c r="C79" s="5">
        <f>IF(B79="","",IFERROR(INDEX(EqTypeCol,MATCH(B79,EqTag,0)),"Tag not in register"))</f>
        <v/>
      </c>
      <c r="D79" s="4" t="n"/>
      <c r="E79" s="4" t="n"/>
      <c r="F79" s="4" t="n"/>
      <c r="G79" s="4" t="n"/>
      <c r="H79" s="4" t="n"/>
      <c r="I79" s="4" t="n"/>
      <c r="J79" s="5">
        <f>_xlfn.TEXTJOIN(CHAR(10),TRUE,IF(G79="","","• "&amp;G79),IF(H79="","","• "&amp;H79),IF(I79="","","• "&amp;I79))</f>
        <v/>
      </c>
      <c r="K79" s="4" t="n"/>
      <c r="L79" s="4" t="n"/>
      <c r="M79" s="4" t="n"/>
      <c r="N79" s="16" t="n"/>
      <c r="O79" s="4" t="n"/>
      <c r="P79" s="16" t="n"/>
      <c r="Q79" s="4" t="n"/>
      <c r="R79" s="16" t="n"/>
      <c r="S79" s="20">
        <f>IF(OR(N79="",P79="",R79=""),"",(--TRIM(LEFT(N79,2)))*(--TRIM(LEFT(P79,2)))*(--TRIM(LEFT(R79,2))))</f>
        <v/>
      </c>
      <c r="T79" s="20">
        <f>IF(OR(N79="",P79="",R79=""),"",INDEX(APGrid,COUNTIF(APS,"&gt;"&amp;(--TRIM(LEFT(N79,2))))*5+COUNTIF(APO,"&gt;"&amp;(--TRIM(LEFT(P79,2))))+1,COUNTIF(APD,"&gt;"&amp;(--TRIM(LEFT(R79,2))))+1))</f>
        <v/>
      </c>
      <c r="U79" s="20">
        <f>IF(S79="","",IF(OR((--TRIM(LEFT(N79,2)))&gt;=SThr,S79&gt;=RPNThr,T79="H"),"Yes","No"))</f>
        <v/>
      </c>
      <c r="V79" s="4" t="n"/>
      <c r="W79" s="4" t="n"/>
      <c r="X79" s="4" t="n"/>
      <c r="Y79" s="29" t="n"/>
      <c r="Z79" s="16" t="n"/>
      <c r="AA79" s="16" t="n"/>
      <c r="AB79" s="16" t="n"/>
      <c r="AC79" s="20">
        <f>IF(OR(Z79="",AA79="",AB79=""),"",(--TRIM(LEFT(Z79,2)))*(--TRIM(LEFT(AA79,2)))*(--TRIM(LEFT(AB79,2))))</f>
        <v/>
      </c>
      <c r="AD79" s="20">
        <f>IF(OR(Z79="",AA79="",AB79=""),"",INDEX(APGrid,COUNTIF(APS,"&gt;"&amp;(--TRIM(LEFT(Z79,2))))*5+COUNTIF(APO,"&gt;"&amp;(--TRIM(LEFT(AA79,2))))+1,COUNTIF(APD,"&gt;"&amp;(--TRIM(LEFT(AB79,2))))+1))</f>
        <v/>
      </c>
      <c r="AE79" s="4" t="n"/>
      <c r="AF79" s="4" t="n"/>
      <c r="AH79">
        <f>IFERROR(INDEX(EqTag,_xlfn.AGGREGATE(15,6,(ROW(EqTag)-4)/((EqSys=$D$3)*(EqTag&lt;&gt;"")),ROWS($AH$14:AH79))),"")</f>
        <v/>
      </c>
    </row>
    <row r="80">
      <c r="A80" s="20">
        <f>IF(F80="","",LEFT($D$3,3)&amp;"-"&amp;TEXT(COUNTIF(F$14:F80,"?*"),"00"))</f>
        <v/>
      </c>
      <c r="B80" s="4" t="n"/>
      <c r="C80" s="5">
        <f>IF(B80="","",IFERROR(INDEX(EqTypeCol,MATCH(B80,EqTag,0)),"Tag not in register"))</f>
        <v/>
      </c>
      <c r="D80" s="4" t="n"/>
      <c r="E80" s="4" t="n"/>
      <c r="F80" s="4" t="n"/>
      <c r="G80" s="4" t="n"/>
      <c r="H80" s="4" t="n"/>
      <c r="I80" s="4" t="n"/>
      <c r="J80" s="5">
        <f>_xlfn.TEXTJOIN(CHAR(10),TRUE,IF(G80="","","• "&amp;G80),IF(H80="","","• "&amp;H80),IF(I80="","","• "&amp;I80))</f>
        <v/>
      </c>
      <c r="K80" s="4" t="n"/>
      <c r="L80" s="4" t="n"/>
      <c r="M80" s="4" t="n"/>
      <c r="N80" s="16" t="n"/>
      <c r="O80" s="4" t="n"/>
      <c r="P80" s="16" t="n"/>
      <c r="Q80" s="4" t="n"/>
      <c r="R80" s="16" t="n"/>
      <c r="S80" s="20">
        <f>IF(OR(N80="",P80="",R80=""),"",(--TRIM(LEFT(N80,2)))*(--TRIM(LEFT(P80,2)))*(--TRIM(LEFT(R80,2))))</f>
        <v/>
      </c>
      <c r="T80" s="20">
        <f>IF(OR(N80="",P80="",R80=""),"",INDEX(APGrid,COUNTIF(APS,"&gt;"&amp;(--TRIM(LEFT(N80,2))))*5+COUNTIF(APO,"&gt;"&amp;(--TRIM(LEFT(P80,2))))+1,COUNTIF(APD,"&gt;"&amp;(--TRIM(LEFT(R80,2))))+1))</f>
        <v/>
      </c>
      <c r="U80" s="20">
        <f>IF(S80="","",IF(OR((--TRIM(LEFT(N80,2)))&gt;=SThr,S80&gt;=RPNThr,T80="H"),"Yes","No"))</f>
        <v/>
      </c>
      <c r="V80" s="4" t="n"/>
      <c r="W80" s="4" t="n"/>
      <c r="X80" s="4" t="n"/>
      <c r="Y80" s="29" t="n"/>
      <c r="Z80" s="16" t="n"/>
      <c r="AA80" s="16" t="n"/>
      <c r="AB80" s="16" t="n"/>
      <c r="AC80" s="20">
        <f>IF(OR(Z80="",AA80="",AB80=""),"",(--TRIM(LEFT(Z80,2)))*(--TRIM(LEFT(AA80,2)))*(--TRIM(LEFT(AB80,2))))</f>
        <v/>
      </c>
      <c r="AD80" s="20">
        <f>IF(OR(Z80="",AA80="",AB80=""),"",INDEX(APGrid,COUNTIF(APS,"&gt;"&amp;(--TRIM(LEFT(Z80,2))))*5+COUNTIF(APO,"&gt;"&amp;(--TRIM(LEFT(AA80,2))))+1,COUNTIF(APD,"&gt;"&amp;(--TRIM(LEFT(AB80,2))))+1))</f>
        <v/>
      </c>
      <c r="AE80" s="4" t="n"/>
      <c r="AF80" s="4" t="n"/>
      <c r="AH80">
        <f>IFERROR(INDEX(EqTag,_xlfn.AGGREGATE(15,6,(ROW(EqTag)-4)/((EqSys=$D$3)*(EqTag&lt;&gt;"")),ROWS($AH$14:AH80))),"")</f>
        <v/>
      </c>
    </row>
    <row r="81">
      <c r="A81" s="20">
        <f>IF(F81="","",LEFT($D$3,3)&amp;"-"&amp;TEXT(COUNTIF(F$14:F81,"?*"),"00"))</f>
        <v/>
      </c>
      <c r="B81" s="4" t="n"/>
      <c r="C81" s="5">
        <f>IF(B81="","",IFERROR(INDEX(EqTypeCol,MATCH(B81,EqTag,0)),"Tag not in register"))</f>
        <v/>
      </c>
      <c r="D81" s="4" t="n"/>
      <c r="E81" s="4" t="n"/>
      <c r="F81" s="4" t="n"/>
      <c r="G81" s="4" t="n"/>
      <c r="H81" s="4" t="n"/>
      <c r="I81" s="4" t="n"/>
      <c r="J81" s="5">
        <f>_xlfn.TEXTJOIN(CHAR(10),TRUE,IF(G81="","","• "&amp;G81),IF(H81="","","• "&amp;H81),IF(I81="","","• "&amp;I81))</f>
        <v/>
      </c>
      <c r="K81" s="4" t="n"/>
      <c r="L81" s="4" t="n"/>
      <c r="M81" s="4" t="n"/>
      <c r="N81" s="16" t="n"/>
      <c r="O81" s="4" t="n"/>
      <c r="P81" s="16" t="n"/>
      <c r="Q81" s="4" t="n"/>
      <c r="R81" s="16" t="n"/>
      <c r="S81" s="20">
        <f>IF(OR(N81="",P81="",R81=""),"",(--TRIM(LEFT(N81,2)))*(--TRIM(LEFT(P81,2)))*(--TRIM(LEFT(R81,2))))</f>
        <v/>
      </c>
      <c r="T81" s="20">
        <f>IF(OR(N81="",P81="",R81=""),"",INDEX(APGrid,COUNTIF(APS,"&gt;"&amp;(--TRIM(LEFT(N81,2))))*5+COUNTIF(APO,"&gt;"&amp;(--TRIM(LEFT(P81,2))))+1,COUNTIF(APD,"&gt;"&amp;(--TRIM(LEFT(R81,2))))+1))</f>
        <v/>
      </c>
      <c r="U81" s="20">
        <f>IF(S81="","",IF(OR((--TRIM(LEFT(N81,2)))&gt;=SThr,S81&gt;=RPNThr,T81="H"),"Yes","No"))</f>
        <v/>
      </c>
      <c r="V81" s="4" t="n"/>
      <c r="W81" s="4" t="n"/>
      <c r="X81" s="4" t="n"/>
      <c r="Y81" s="29" t="n"/>
      <c r="Z81" s="16" t="n"/>
      <c r="AA81" s="16" t="n"/>
      <c r="AB81" s="16" t="n"/>
      <c r="AC81" s="20">
        <f>IF(OR(Z81="",AA81="",AB81=""),"",(--TRIM(LEFT(Z81,2)))*(--TRIM(LEFT(AA81,2)))*(--TRIM(LEFT(AB81,2))))</f>
        <v/>
      </c>
      <c r="AD81" s="20">
        <f>IF(OR(Z81="",AA81="",AB81=""),"",INDEX(APGrid,COUNTIF(APS,"&gt;"&amp;(--TRIM(LEFT(Z81,2))))*5+COUNTIF(APO,"&gt;"&amp;(--TRIM(LEFT(AA81,2))))+1,COUNTIF(APD,"&gt;"&amp;(--TRIM(LEFT(AB81,2))))+1))</f>
        <v/>
      </c>
      <c r="AE81" s="4" t="n"/>
      <c r="AF81" s="4" t="n"/>
      <c r="AH81">
        <f>IFERROR(INDEX(EqTag,_xlfn.AGGREGATE(15,6,(ROW(EqTag)-4)/((EqSys=$D$3)*(EqTag&lt;&gt;"")),ROWS($AH$14:AH81))),"")</f>
        <v/>
      </c>
    </row>
    <row r="82">
      <c r="A82" s="20">
        <f>IF(F82="","",LEFT($D$3,3)&amp;"-"&amp;TEXT(COUNTIF(F$14:F82,"?*"),"00"))</f>
        <v/>
      </c>
      <c r="B82" s="4" t="n"/>
      <c r="C82" s="5">
        <f>IF(B82="","",IFERROR(INDEX(EqTypeCol,MATCH(B82,EqTag,0)),"Tag not in register"))</f>
        <v/>
      </c>
      <c r="D82" s="4" t="n"/>
      <c r="E82" s="4" t="n"/>
      <c r="F82" s="4" t="n"/>
      <c r="G82" s="4" t="n"/>
      <c r="H82" s="4" t="n"/>
      <c r="I82" s="4" t="n"/>
      <c r="J82" s="5">
        <f>_xlfn.TEXTJOIN(CHAR(10),TRUE,IF(G82="","","• "&amp;G82),IF(H82="","","• "&amp;H82),IF(I82="","","• "&amp;I82))</f>
        <v/>
      </c>
      <c r="K82" s="4" t="n"/>
      <c r="L82" s="4" t="n"/>
      <c r="M82" s="4" t="n"/>
      <c r="N82" s="16" t="n"/>
      <c r="O82" s="4" t="n"/>
      <c r="P82" s="16" t="n"/>
      <c r="Q82" s="4" t="n"/>
      <c r="R82" s="16" t="n"/>
      <c r="S82" s="20">
        <f>IF(OR(N82="",P82="",R82=""),"",(--TRIM(LEFT(N82,2)))*(--TRIM(LEFT(P82,2)))*(--TRIM(LEFT(R82,2))))</f>
        <v/>
      </c>
      <c r="T82" s="20">
        <f>IF(OR(N82="",P82="",R82=""),"",INDEX(APGrid,COUNTIF(APS,"&gt;"&amp;(--TRIM(LEFT(N82,2))))*5+COUNTIF(APO,"&gt;"&amp;(--TRIM(LEFT(P82,2))))+1,COUNTIF(APD,"&gt;"&amp;(--TRIM(LEFT(R82,2))))+1))</f>
        <v/>
      </c>
      <c r="U82" s="20">
        <f>IF(S82="","",IF(OR((--TRIM(LEFT(N82,2)))&gt;=SThr,S82&gt;=RPNThr,T82="H"),"Yes","No"))</f>
        <v/>
      </c>
      <c r="V82" s="4" t="n"/>
      <c r="W82" s="4" t="n"/>
      <c r="X82" s="4" t="n"/>
      <c r="Y82" s="29" t="n"/>
      <c r="Z82" s="16" t="n"/>
      <c r="AA82" s="16" t="n"/>
      <c r="AB82" s="16" t="n"/>
      <c r="AC82" s="20">
        <f>IF(OR(Z82="",AA82="",AB82=""),"",(--TRIM(LEFT(Z82,2)))*(--TRIM(LEFT(AA82,2)))*(--TRIM(LEFT(AB82,2))))</f>
        <v/>
      </c>
      <c r="AD82" s="20">
        <f>IF(OR(Z82="",AA82="",AB82=""),"",INDEX(APGrid,COUNTIF(APS,"&gt;"&amp;(--TRIM(LEFT(Z82,2))))*5+COUNTIF(APO,"&gt;"&amp;(--TRIM(LEFT(AA82,2))))+1,COUNTIF(APD,"&gt;"&amp;(--TRIM(LEFT(AB82,2))))+1))</f>
        <v/>
      </c>
      <c r="AE82" s="4" t="n"/>
      <c r="AF82" s="4" t="n"/>
      <c r="AH82">
        <f>IFERROR(INDEX(EqTag,_xlfn.AGGREGATE(15,6,(ROW(EqTag)-4)/((EqSys=$D$3)*(EqTag&lt;&gt;"")),ROWS($AH$14:AH82))),"")</f>
        <v/>
      </c>
    </row>
    <row r="83">
      <c r="A83" s="20">
        <f>IF(F83="","",LEFT($D$3,3)&amp;"-"&amp;TEXT(COUNTIF(F$14:F83,"?*"),"00"))</f>
        <v/>
      </c>
      <c r="B83" s="4" t="n"/>
      <c r="C83" s="5">
        <f>IF(B83="","",IFERROR(INDEX(EqTypeCol,MATCH(B83,EqTag,0)),"Tag not in register"))</f>
        <v/>
      </c>
      <c r="D83" s="4" t="n"/>
      <c r="E83" s="4" t="n"/>
      <c r="F83" s="4" t="n"/>
      <c r="G83" s="4" t="n"/>
      <c r="H83" s="4" t="n"/>
      <c r="I83" s="4" t="n"/>
      <c r="J83" s="5">
        <f>_xlfn.TEXTJOIN(CHAR(10),TRUE,IF(G83="","","• "&amp;G83),IF(H83="","","• "&amp;H83),IF(I83="","","• "&amp;I83))</f>
        <v/>
      </c>
      <c r="K83" s="4" t="n"/>
      <c r="L83" s="4" t="n"/>
      <c r="M83" s="4" t="n"/>
      <c r="N83" s="16" t="n"/>
      <c r="O83" s="4" t="n"/>
      <c r="P83" s="16" t="n"/>
      <c r="Q83" s="4" t="n"/>
      <c r="R83" s="16" t="n"/>
      <c r="S83" s="20">
        <f>IF(OR(N83="",P83="",R83=""),"",(--TRIM(LEFT(N83,2)))*(--TRIM(LEFT(P83,2)))*(--TRIM(LEFT(R83,2))))</f>
        <v/>
      </c>
      <c r="T83" s="20">
        <f>IF(OR(N83="",P83="",R83=""),"",INDEX(APGrid,COUNTIF(APS,"&gt;"&amp;(--TRIM(LEFT(N83,2))))*5+COUNTIF(APO,"&gt;"&amp;(--TRIM(LEFT(P83,2))))+1,COUNTIF(APD,"&gt;"&amp;(--TRIM(LEFT(R83,2))))+1))</f>
        <v/>
      </c>
      <c r="U83" s="20">
        <f>IF(S83="","",IF(OR((--TRIM(LEFT(N83,2)))&gt;=SThr,S83&gt;=RPNThr,T83="H"),"Yes","No"))</f>
        <v/>
      </c>
      <c r="V83" s="4" t="n"/>
      <c r="W83" s="4" t="n"/>
      <c r="X83" s="4" t="n"/>
      <c r="Y83" s="29" t="n"/>
      <c r="Z83" s="16" t="n"/>
      <c r="AA83" s="16" t="n"/>
      <c r="AB83" s="16" t="n"/>
      <c r="AC83" s="20">
        <f>IF(OR(Z83="",AA83="",AB83=""),"",(--TRIM(LEFT(Z83,2)))*(--TRIM(LEFT(AA83,2)))*(--TRIM(LEFT(AB83,2))))</f>
        <v/>
      </c>
      <c r="AD83" s="20">
        <f>IF(OR(Z83="",AA83="",AB83=""),"",INDEX(APGrid,COUNTIF(APS,"&gt;"&amp;(--TRIM(LEFT(Z83,2))))*5+COUNTIF(APO,"&gt;"&amp;(--TRIM(LEFT(AA83,2))))+1,COUNTIF(APD,"&gt;"&amp;(--TRIM(LEFT(AB83,2))))+1))</f>
        <v/>
      </c>
      <c r="AE83" s="4" t="n"/>
      <c r="AF83" s="4" t="n"/>
      <c r="AH83">
        <f>IFERROR(INDEX(EqTag,_xlfn.AGGREGATE(15,6,(ROW(EqTag)-4)/((EqSys=$D$3)*(EqTag&lt;&gt;"")),ROWS($AH$14:AH83))),"")</f>
        <v/>
      </c>
    </row>
    <row r="84">
      <c r="A84" s="20">
        <f>IF(F84="","",LEFT($D$3,3)&amp;"-"&amp;TEXT(COUNTIF(F$14:F84,"?*"),"00"))</f>
        <v/>
      </c>
      <c r="B84" s="4" t="n"/>
      <c r="C84" s="5">
        <f>IF(B84="","",IFERROR(INDEX(EqTypeCol,MATCH(B84,EqTag,0)),"Tag not in register"))</f>
        <v/>
      </c>
      <c r="D84" s="4" t="n"/>
      <c r="E84" s="4" t="n"/>
      <c r="F84" s="4" t="n"/>
      <c r="G84" s="4" t="n"/>
      <c r="H84" s="4" t="n"/>
      <c r="I84" s="4" t="n"/>
      <c r="J84" s="5">
        <f>_xlfn.TEXTJOIN(CHAR(10),TRUE,IF(G84="","","• "&amp;G84),IF(H84="","","• "&amp;H84),IF(I84="","","• "&amp;I84))</f>
        <v/>
      </c>
      <c r="K84" s="4" t="n"/>
      <c r="L84" s="4" t="n"/>
      <c r="M84" s="4" t="n"/>
      <c r="N84" s="16" t="n"/>
      <c r="O84" s="4" t="n"/>
      <c r="P84" s="16" t="n"/>
      <c r="Q84" s="4" t="n"/>
      <c r="R84" s="16" t="n"/>
      <c r="S84" s="20">
        <f>IF(OR(N84="",P84="",R84=""),"",(--TRIM(LEFT(N84,2)))*(--TRIM(LEFT(P84,2)))*(--TRIM(LEFT(R84,2))))</f>
        <v/>
      </c>
      <c r="T84" s="20">
        <f>IF(OR(N84="",P84="",R84=""),"",INDEX(APGrid,COUNTIF(APS,"&gt;"&amp;(--TRIM(LEFT(N84,2))))*5+COUNTIF(APO,"&gt;"&amp;(--TRIM(LEFT(P84,2))))+1,COUNTIF(APD,"&gt;"&amp;(--TRIM(LEFT(R84,2))))+1))</f>
        <v/>
      </c>
      <c r="U84" s="20">
        <f>IF(S84="","",IF(OR((--TRIM(LEFT(N84,2)))&gt;=SThr,S84&gt;=RPNThr,T84="H"),"Yes","No"))</f>
        <v/>
      </c>
      <c r="V84" s="4" t="n"/>
      <c r="W84" s="4" t="n"/>
      <c r="X84" s="4" t="n"/>
      <c r="Y84" s="29" t="n"/>
      <c r="Z84" s="16" t="n"/>
      <c r="AA84" s="16" t="n"/>
      <c r="AB84" s="16" t="n"/>
      <c r="AC84" s="20">
        <f>IF(OR(Z84="",AA84="",AB84=""),"",(--TRIM(LEFT(Z84,2)))*(--TRIM(LEFT(AA84,2)))*(--TRIM(LEFT(AB84,2))))</f>
        <v/>
      </c>
      <c r="AD84" s="20">
        <f>IF(OR(Z84="",AA84="",AB84=""),"",INDEX(APGrid,COUNTIF(APS,"&gt;"&amp;(--TRIM(LEFT(Z84,2))))*5+COUNTIF(APO,"&gt;"&amp;(--TRIM(LEFT(AA84,2))))+1,COUNTIF(APD,"&gt;"&amp;(--TRIM(LEFT(AB84,2))))+1))</f>
        <v/>
      </c>
      <c r="AE84" s="4" t="n"/>
      <c r="AF84" s="4" t="n"/>
      <c r="AH84">
        <f>IFERROR(INDEX(EqTag,_xlfn.AGGREGATE(15,6,(ROW(EqTag)-4)/((EqSys=$D$3)*(EqTag&lt;&gt;"")),ROWS($AH$14:AH84))),"")</f>
        <v/>
      </c>
    </row>
    <row r="85">
      <c r="A85" s="20">
        <f>IF(F85="","",LEFT($D$3,3)&amp;"-"&amp;TEXT(COUNTIF(F$14:F85,"?*"),"00"))</f>
        <v/>
      </c>
      <c r="B85" s="4" t="n"/>
      <c r="C85" s="5">
        <f>IF(B85="","",IFERROR(INDEX(EqTypeCol,MATCH(B85,EqTag,0)),"Tag not in register"))</f>
        <v/>
      </c>
      <c r="D85" s="4" t="n"/>
      <c r="E85" s="4" t="n"/>
      <c r="F85" s="4" t="n"/>
      <c r="G85" s="4" t="n"/>
      <c r="H85" s="4" t="n"/>
      <c r="I85" s="4" t="n"/>
      <c r="J85" s="5">
        <f>_xlfn.TEXTJOIN(CHAR(10),TRUE,IF(G85="","","• "&amp;G85),IF(H85="","","• "&amp;H85),IF(I85="","","• "&amp;I85))</f>
        <v/>
      </c>
      <c r="K85" s="4" t="n"/>
      <c r="L85" s="4" t="n"/>
      <c r="M85" s="4" t="n"/>
      <c r="N85" s="16" t="n"/>
      <c r="O85" s="4" t="n"/>
      <c r="P85" s="16" t="n"/>
      <c r="Q85" s="4" t="n"/>
      <c r="R85" s="16" t="n"/>
      <c r="S85" s="20">
        <f>IF(OR(N85="",P85="",R85=""),"",(--TRIM(LEFT(N85,2)))*(--TRIM(LEFT(P85,2)))*(--TRIM(LEFT(R85,2))))</f>
        <v/>
      </c>
      <c r="T85" s="20">
        <f>IF(OR(N85="",P85="",R85=""),"",INDEX(APGrid,COUNTIF(APS,"&gt;"&amp;(--TRIM(LEFT(N85,2))))*5+COUNTIF(APO,"&gt;"&amp;(--TRIM(LEFT(P85,2))))+1,COUNTIF(APD,"&gt;"&amp;(--TRIM(LEFT(R85,2))))+1))</f>
        <v/>
      </c>
      <c r="U85" s="20">
        <f>IF(S85="","",IF(OR((--TRIM(LEFT(N85,2)))&gt;=SThr,S85&gt;=RPNThr,T85="H"),"Yes","No"))</f>
        <v/>
      </c>
      <c r="V85" s="4" t="n"/>
      <c r="W85" s="4" t="n"/>
      <c r="X85" s="4" t="n"/>
      <c r="Y85" s="29" t="n"/>
      <c r="Z85" s="16" t="n"/>
      <c r="AA85" s="16" t="n"/>
      <c r="AB85" s="16" t="n"/>
      <c r="AC85" s="20">
        <f>IF(OR(Z85="",AA85="",AB85=""),"",(--TRIM(LEFT(Z85,2)))*(--TRIM(LEFT(AA85,2)))*(--TRIM(LEFT(AB85,2))))</f>
        <v/>
      </c>
      <c r="AD85" s="20">
        <f>IF(OR(Z85="",AA85="",AB85=""),"",INDEX(APGrid,COUNTIF(APS,"&gt;"&amp;(--TRIM(LEFT(Z85,2))))*5+COUNTIF(APO,"&gt;"&amp;(--TRIM(LEFT(AA85,2))))+1,COUNTIF(APD,"&gt;"&amp;(--TRIM(LEFT(AB85,2))))+1))</f>
        <v/>
      </c>
      <c r="AE85" s="4" t="n"/>
      <c r="AF85" s="4" t="n"/>
      <c r="AH85">
        <f>IFERROR(INDEX(EqTag,_xlfn.AGGREGATE(15,6,(ROW(EqTag)-4)/((EqSys=$D$3)*(EqTag&lt;&gt;"")),ROWS($AH$14:AH85))),"")</f>
        <v/>
      </c>
    </row>
    <row r="86">
      <c r="A86" s="20">
        <f>IF(F86="","",LEFT($D$3,3)&amp;"-"&amp;TEXT(COUNTIF(F$14:F86,"?*"),"00"))</f>
        <v/>
      </c>
      <c r="B86" s="4" t="n"/>
      <c r="C86" s="5">
        <f>IF(B86="","",IFERROR(INDEX(EqTypeCol,MATCH(B86,EqTag,0)),"Tag not in register"))</f>
        <v/>
      </c>
      <c r="D86" s="4" t="n"/>
      <c r="E86" s="4" t="n"/>
      <c r="F86" s="4" t="n"/>
      <c r="G86" s="4" t="n"/>
      <c r="H86" s="4" t="n"/>
      <c r="I86" s="4" t="n"/>
      <c r="J86" s="5">
        <f>_xlfn.TEXTJOIN(CHAR(10),TRUE,IF(G86="","","• "&amp;G86),IF(H86="","","• "&amp;H86),IF(I86="","","• "&amp;I86))</f>
        <v/>
      </c>
      <c r="K86" s="4" t="n"/>
      <c r="L86" s="4" t="n"/>
      <c r="M86" s="4" t="n"/>
      <c r="N86" s="16" t="n"/>
      <c r="O86" s="4" t="n"/>
      <c r="P86" s="16" t="n"/>
      <c r="Q86" s="4" t="n"/>
      <c r="R86" s="16" t="n"/>
      <c r="S86" s="20">
        <f>IF(OR(N86="",P86="",R86=""),"",(--TRIM(LEFT(N86,2)))*(--TRIM(LEFT(P86,2)))*(--TRIM(LEFT(R86,2))))</f>
        <v/>
      </c>
      <c r="T86" s="20">
        <f>IF(OR(N86="",P86="",R86=""),"",INDEX(APGrid,COUNTIF(APS,"&gt;"&amp;(--TRIM(LEFT(N86,2))))*5+COUNTIF(APO,"&gt;"&amp;(--TRIM(LEFT(P86,2))))+1,COUNTIF(APD,"&gt;"&amp;(--TRIM(LEFT(R86,2))))+1))</f>
        <v/>
      </c>
      <c r="U86" s="20">
        <f>IF(S86="","",IF(OR((--TRIM(LEFT(N86,2)))&gt;=SThr,S86&gt;=RPNThr,T86="H"),"Yes","No"))</f>
        <v/>
      </c>
      <c r="V86" s="4" t="n"/>
      <c r="W86" s="4" t="n"/>
      <c r="X86" s="4" t="n"/>
      <c r="Y86" s="29" t="n"/>
      <c r="Z86" s="16" t="n"/>
      <c r="AA86" s="16" t="n"/>
      <c r="AB86" s="16" t="n"/>
      <c r="AC86" s="20">
        <f>IF(OR(Z86="",AA86="",AB86=""),"",(--TRIM(LEFT(Z86,2)))*(--TRIM(LEFT(AA86,2)))*(--TRIM(LEFT(AB86,2))))</f>
        <v/>
      </c>
      <c r="AD86" s="20">
        <f>IF(OR(Z86="",AA86="",AB86=""),"",INDEX(APGrid,COUNTIF(APS,"&gt;"&amp;(--TRIM(LEFT(Z86,2))))*5+COUNTIF(APO,"&gt;"&amp;(--TRIM(LEFT(AA86,2))))+1,COUNTIF(APD,"&gt;"&amp;(--TRIM(LEFT(AB86,2))))+1))</f>
        <v/>
      </c>
      <c r="AE86" s="4" t="n"/>
      <c r="AF86" s="4" t="n"/>
      <c r="AH86">
        <f>IFERROR(INDEX(EqTag,_xlfn.AGGREGATE(15,6,(ROW(EqTag)-4)/((EqSys=$D$3)*(EqTag&lt;&gt;"")),ROWS($AH$14:AH86))),"")</f>
        <v/>
      </c>
    </row>
    <row r="87">
      <c r="A87" s="20">
        <f>IF(F87="","",LEFT($D$3,3)&amp;"-"&amp;TEXT(COUNTIF(F$14:F87,"?*"),"00"))</f>
        <v/>
      </c>
      <c r="B87" s="4" t="n"/>
      <c r="C87" s="5">
        <f>IF(B87="","",IFERROR(INDEX(EqTypeCol,MATCH(B87,EqTag,0)),"Tag not in register"))</f>
        <v/>
      </c>
      <c r="D87" s="4" t="n"/>
      <c r="E87" s="4" t="n"/>
      <c r="F87" s="4" t="n"/>
      <c r="G87" s="4" t="n"/>
      <c r="H87" s="4" t="n"/>
      <c r="I87" s="4" t="n"/>
      <c r="J87" s="5">
        <f>_xlfn.TEXTJOIN(CHAR(10),TRUE,IF(G87="","","• "&amp;G87),IF(H87="","","• "&amp;H87),IF(I87="","","• "&amp;I87))</f>
        <v/>
      </c>
      <c r="K87" s="4" t="n"/>
      <c r="L87" s="4" t="n"/>
      <c r="M87" s="4" t="n"/>
      <c r="N87" s="16" t="n"/>
      <c r="O87" s="4" t="n"/>
      <c r="P87" s="16" t="n"/>
      <c r="Q87" s="4" t="n"/>
      <c r="R87" s="16" t="n"/>
      <c r="S87" s="20">
        <f>IF(OR(N87="",P87="",R87=""),"",(--TRIM(LEFT(N87,2)))*(--TRIM(LEFT(P87,2)))*(--TRIM(LEFT(R87,2))))</f>
        <v/>
      </c>
      <c r="T87" s="20">
        <f>IF(OR(N87="",P87="",R87=""),"",INDEX(APGrid,COUNTIF(APS,"&gt;"&amp;(--TRIM(LEFT(N87,2))))*5+COUNTIF(APO,"&gt;"&amp;(--TRIM(LEFT(P87,2))))+1,COUNTIF(APD,"&gt;"&amp;(--TRIM(LEFT(R87,2))))+1))</f>
        <v/>
      </c>
      <c r="U87" s="20">
        <f>IF(S87="","",IF(OR((--TRIM(LEFT(N87,2)))&gt;=SThr,S87&gt;=RPNThr,T87="H"),"Yes","No"))</f>
        <v/>
      </c>
      <c r="V87" s="4" t="n"/>
      <c r="W87" s="4" t="n"/>
      <c r="X87" s="4" t="n"/>
      <c r="Y87" s="29" t="n"/>
      <c r="Z87" s="16" t="n"/>
      <c r="AA87" s="16" t="n"/>
      <c r="AB87" s="16" t="n"/>
      <c r="AC87" s="20">
        <f>IF(OR(Z87="",AA87="",AB87=""),"",(--TRIM(LEFT(Z87,2)))*(--TRIM(LEFT(AA87,2)))*(--TRIM(LEFT(AB87,2))))</f>
        <v/>
      </c>
      <c r="AD87" s="20">
        <f>IF(OR(Z87="",AA87="",AB87=""),"",INDEX(APGrid,COUNTIF(APS,"&gt;"&amp;(--TRIM(LEFT(Z87,2))))*5+COUNTIF(APO,"&gt;"&amp;(--TRIM(LEFT(AA87,2))))+1,COUNTIF(APD,"&gt;"&amp;(--TRIM(LEFT(AB87,2))))+1))</f>
        <v/>
      </c>
      <c r="AE87" s="4" t="n"/>
      <c r="AF87" s="4" t="n"/>
      <c r="AH87">
        <f>IFERROR(INDEX(EqTag,_xlfn.AGGREGATE(15,6,(ROW(EqTag)-4)/((EqSys=$D$3)*(EqTag&lt;&gt;"")),ROWS($AH$14:AH87))),"")</f>
        <v/>
      </c>
    </row>
    <row r="88">
      <c r="A88" s="20">
        <f>IF(F88="","",LEFT($D$3,3)&amp;"-"&amp;TEXT(COUNTIF(F$14:F88,"?*"),"00"))</f>
        <v/>
      </c>
      <c r="B88" s="4" t="n"/>
      <c r="C88" s="5">
        <f>IF(B88="","",IFERROR(INDEX(EqTypeCol,MATCH(B88,EqTag,0)),"Tag not in register"))</f>
        <v/>
      </c>
      <c r="D88" s="4" t="n"/>
      <c r="E88" s="4" t="n"/>
      <c r="F88" s="4" t="n"/>
      <c r="G88" s="4" t="n"/>
      <c r="H88" s="4" t="n"/>
      <c r="I88" s="4" t="n"/>
      <c r="J88" s="5">
        <f>_xlfn.TEXTJOIN(CHAR(10),TRUE,IF(G88="","","• "&amp;G88),IF(H88="","","• "&amp;H88),IF(I88="","","• "&amp;I88))</f>
        <v/>
      </c>
      <c r="K88" s="4" t="n"/>
      <c r="L88" s="4" t="n"/>
      <c r="M88" s="4" t="n"/>
      <c r="N88" s="16" t="n"/>
      <c r="O88" s="4" t="n"/>
      <c r="P88" s="16" t="n"/>
      <c r="Q88" s="4" t="n"/>
      <c r="R88" s="16" t="n"/>
      <c r="S88" s="20">
        <f>IF(OR(N88="",P88="",R88=""),"",(--TRIM(LEFT(N88,2)))*(--TRIM(LEFT(P88,2)))*(--TRIM(LEFT(R88,2))))</f>
        <v/>
      </c>
      <c r="T88" s="20">
        <f>IF(OR(N88="",P88="",R88=""),"",INDEX(APGrid,COUNTIF(APS,"&gt;"&amp;(--TRIM(LEFT(N88,2))))*5+COUNTIF(APO,"&gt;"&amp;(--TRIM(LEFT(P88,2))))+1,COUNTIF(APD,"&gt;"&amp;(--TRIM(LEFT(R88,2))))+1))</f>
        <v/>
      </c>
      <c r="U88" s="20">
        <f>IF(S88="","",IF(OR((--TRIM(LEFT(N88,2)))&gt;=SThr,S88&gt;=RPNThr,T88="H"),"Yes","No"))</f>
        <v/>
      </c>
      <c r="V88" s="4" t="n"/>
      <c r="W88" s="4" t="n"/>
      <c r="X88" s="4" t="n"/>
      <c r="Y88" s="29" t="n"/>
      <c r="Z88" s="16" t="n"/>
      <c r="AA88" s="16" t="n"/>
      <c r="AB88" s="16" t="n"/>
      <c r="AC88" s="20">
        <f>IF(OR(Z88="",AA88="",AB88=""),"",(--TRIM(LEFT(Z88,2)))*(--TRIM(LEFT(AA88,2)))*(--TRIM(LEFT(AB88,2))))</f>
        <v/>
      </c>
      <c r="AD88" s="20">
        <f>IF(OR(Z88="",AA88="",AB88=""),"",INDEX(APGrid,COUNTIF(APS,"&gt;"&amp;(--TRIM(LEFT(Z88,2))))*5+COUNTIF(APO,"&gt;"&amp;(--TRIM(LEFT(AA88,2))))+1,COUNTIF(APD,"&gt;"&amp;(--TRIM(LEFT(AB88,2))))+1))</f>
        <v/>
      </c>
      <c r="AE88" s="4" t="n"/>
      <c r="AF88" s="4" t="n"/>
      <c r="AH88">
        <f>IFERROR(INDEX(EqTag,_xlfn.AGGREGATE(15,6,(ROW(EqTag)-4)/((EqSys=$D$3)*(EqTag&lt;&gt;"")),ROWS($AH$14:AH88))),"")</f>
        <v/>
      </c>
    </row>
    <row r="89">
      <c r="A89" s="20">
        <f>IF(F89="","",LEFT($D$3,3)&amp;"-"&amp;TEXT(COUNTIF(F$14:F89,"?*"),"00"))</f>
        <v/>
      </c>
      <c r="B89" s="4" t="n"/>
      <c r="C89" s="5">
        <f>IF(B89="","",IFERROR(INDEX(EqTypeCol,MATCH(B89,EqTag,0)),"Tag not in register"))</f>
        <v/>
      </c>
      <c r="D89" s="4" t="n"/>
      <c r="E89" s="4" t="n"/>
      <c r="F89" s="4" t="n"/>
      <c r="G89" s="4" t="n"/>
      <c r="H89" s="4" t="n"/>
      <c r="I89" s="4" t="n"/>
      <c r="J89" s="5">
        <f>_xlfn.TEXTJOIN(CHAR(10),TRUE,IF(G89="","","• "&amp;G89),IF(H89="","","• "&amp;H89),IF(I89="","","• "&amp;I89))</f>
        <v/>
      </c>
      <c r="K89" s="4" t="n"/>
      <c r="L89" s="4" t="n"/>
      <c r="M89" s="4" t="n"/>
      <c r="N89" s="16" t="n"/>
      <c r="O89" s="4" t="n"/>
      <c r="P89" s="16" t="n"/>
      <c r="Q89" s="4" t="n"/>
      <c r="R89" s="16" t="n"/>
      <c r="S89" s="20">
        <f>IF(OR(N89="",P89="",R89=""),"",(--TRIM(LEFT(N89,2)))*(--TRIM(LEFT(P89,2)))*(--TRIM(LEFT(R89,2))))</f>
        <v/>
      </c>
      <c r="T89" s="20">
        <f>IF(OR(N89="",P89="",R89=""),"",INDEX(APGrid,COUNTIF(APS,"&gt;"&amp;(--TRIM(LEFT(N89,2))))*5+COUNTIF(APO,"&gt;"&amp;(--TRIM(LEFT(P89,2))))+1,COUNTIF(APD,"&gt;"&amp;(--TRIM(LEFT(R89,2))))+1))</f>
        <v/>
      </c>
      <c r="U89" s="20">
        <f>IF(S89="","",IF(OR((--TRIM(LEFT(N89,2)))&gt;=SThr,S89&gt;=RPNThr,T89="H"),"Yes","No"))</f>
        <v/>
      </c>
      <c r="V89" s="4" t="n"/>
      <c r="W89" s="4" t="n"/>
      <c r="X89" s="4" t="n"/>
      <c r="Y89" s="29" t="n"/>
      <c r="Z89" s="16" t="n"/>
      <c r="AA89" s="16" t="n"/>
      <c r="AB89" s="16" t="n"/>
      <c r="AC89" s="20">
        <f>IF(OR(Z89="",AA89="",AB89=""),"",(--TRIM(LEFT(Z89,2)))*(--TRIM(LEFT(AA89,2)))*(--TRIM(LEFT(AB89,2))))</f>
        <v/>
      </c>
      <c r="AD89" s="20">
        <f>IF(OR(Z89="",AA89="",AB89=""),"",INDEX(APGrid,COUNTIF(APS,"&gt;"&amp;(--TRIM(LEFT(Z89,2))))*5+COUNTIF(APO,"&gt;"&amp;(--TRIM(LEFT(AA89,2))))+1,COUNTIF(APD,"&gt;"&amp;(--TRIM(LEFT(AB89,2))))+1))</f>
        <v/>
      </c>
      <c r="AE89" s="4" t="n"/>
      <c r="AF89" s="4" t="n"/>
      <c r="AH89">
        <f>IFERROR(INDEX(EqTag,_xlfn.AGGREGATE(15,6,(ROW(EqTag)-4)/((EqSys=$D$3)*(EqTag&lt;&gt;"")),ROWS($AH$14:AH89))),"")</f>
        <v/>
      </c>
    </row>
    <row r="90">
      <c r="A90" s="20">
        <f>IF(F90="","",LEFT($D$3,3)&amp;"-"&amp;TEXT(COUNTIF(F$14:F90,"?*"),"00"))</f>
        <v/>
      </c>
      <c r="B90" s="4" t="n"/>
      <c r="C90" s="5">
        <f>IF(B90="","",IFERROR(INDEX(EqTypeCol,MATCH(B90,EqTag,0)),"Tag not in register"))</f>
        <v/>
      </c>
      <c r="D90" s="4" t="n"/>
      <c r="E90" s="4" t="n"/>
      <c r="F90" s="4" t="n"/>
      <c r="G90" s="4" t="n"/>
      <c r="H90" s="4" t="n"/>
      <c r="I90" s="4" t="n"/>
      <c r="J90" s="5">
        <f>_xlfn.TEXTJOIN(CHAR(10),TRUE,IF(G90="","","• "&amp;G90),IF(H90="","","• "&amp;H90),IF(I90="","","• "&amp;I90))</f>
        <v/>
      </c>
      <c r="K90" s="4" t="n"/>
      <c r="L90" s="4" t="n"/>
      <c r="M90" s="4" t="n"/>
      <c r="N90" s="16" t="n"/>
      <c r="O90" s="4" t="n"/>
      <c r="P90" s="16" t="n"/>
      <c r="Q90" s="4" t="n"/>
      <c r="R90" s="16" t="n"/>
      <c r="S90" s="20">
        <f>IF(OR(N90="",P90="",R90=""),"",(--TRIM(LEFT(N90,2)))*(--TRIM(LEFT(P90,2)))*(--TRIM(LEFT(R90,2))))</f>
        <v/>
      </c>
      <c r="T90" s="20">
        <f>IF(OR(N90="",P90="",R90=""),"",INDEX(APGrid,COUNTIF(APS,"&gt;"&amp;(--TRIM(LEFT(N90,2))))*5+COUNTIF(APO,"&gt;"&amp;(--TRIM(LEFT(P90,2))))+1,COUNTIF(APD,"&gt;"&amp;(--TRIM(LEFT(R90,2))))+1))</f>
        <v/>
      </c>
      <c r="U90" s="20">
        <f>IF(S90="","",IF(OR((--TRIM(LEFT(N90,2)))&gt;=SThr,S90&gt;=RPNThr,T90="H"),"Yes","No"))</f>
        <v/>
      </c>
      <c r="V90" s="4" t="n"/>
      <c r="W90" s="4" t="n"/>
      <c r="X90" s="4" t="n"/>
      <c r="Y90" s="29" t="n"/>
      <c r="Z90" s="16" t="n"/>
      <c r="AA90" s="16" t="n"/>
      <c r="AB90" s="16" t="n"/>
      <c r="AC90" s="20">
        <f>IF(OR(Z90="",AA90="",AB90=""),"",(--TRIM(LEFT(Z90,2)))*(--TRIM(LEFT(AA90,2)))*(--TRIM(LEFT(AB90,2))))</f>
        <v/>
      </c>
      <c r="AD90" s="20">
        <f>IF(OR(Z90="",AA90="",AB90=""),"",INDEX(APGrid,COUNTIF(APS,"&gt;"&amp;(--TRIM(LEFT(Z90,2))))*5+COUNTIF(APO,"&gt;"&amp;(--TRIM(LEFT(AA90,2))))+1,COUNTIF(APD,"&gt;"&amp;(--TRIM(LEFT(AB90,2))))+1))</f>
        <v/>
      </c>
      <c r="AE90" s="4" t="n"/>
      <c r="AF90" s="4" t="n"/>
      <c r="AH90">
        <f>IFERROR(INDEX(EqTag,_xlfn.AGGREGATE(15,6,(ROW(EqTag)-4)/((EqSys=$D$3)*(EqTag&lt;&gt;"")),ROWS($AH$14:AH90))),"")</f>
        <v/>
      </c>
    </row>
    <row r="91">
      <c r="A91" s="20">
        <f>IF(F91="","",LEFT($D$3,3)&amp;"-"&amp;TEXT(COUNTIF(F$14:F91,"?*"),"00"))</f>
        <v/>
      </c>
      <c r="B91" s="4" t="n"/>
      <c r="C91" s="5">
        <f>IF(B91="","",IFERROR(INDEX(EqTypeCol,MATCH(B91,EqTag,0)),"Tag not in register"))</f>
        <v/>
      </c>
      <c r="D91" s="4" t="n"/>
      <c r="E91" s="4" t="n"/>
      <c r="F91" s="4" t="n"/>
      <c r="G91" s="4" t="n"/>
      <c r="H91" s="4" t="n"/>
      <c r="I91" s="4" t="n"/>
      <c r="J91" s="5">
        <f>_xlfn.TEXTJOIN(CHAR(10),TRUE,IF(G91="","","• "&amp;G91),IF(H91="","","• "&amp;H91),IF(I91="","","• "&amp;I91))</f>
        <v/>
      </c>
      <c r="K91" s="4" t="n"/>
      <c r="L91" s="4" t="n"/>
      <c r="M91" s="4" t="n"/>
      <c r="N91" s="16" t="n"/>
      <c r="O91" s="4" t="n"/>
      <c r="P91" s="16" t="n"/>
      <c r="Q91" s="4" t="n"/>
      <c r="R91" s="16" t="n"/>
      <c r="S91" s="20">
        <f>IF(OR(N91="",P91="",R91=""),"",(--TRIM(LEFT(N91,2)))*(--TRIM(LEFT(P91,2)))*(--TRIM(LEFT(R91,2))))</f>
        <v/>
      </c>
      <c r="T91" s="20">
        <f>IF(OR(N91="",P91="",R91=""),"",INDEX(APGrid,COUNTIF(APS,"&gt;"&amp;(--TRIM(LEFT(N91,2))))*5+COUNTIF(APO,"&gt;"&amp;(--TRIM(LEFT(P91,2))))+1,COUNTIF(APD,"&gt;"&amp;(--TRIM(LEFT(R91,2))))+1))</f>
        <v/>
      </c>
      <c r="U91" s="20">
        <f>IF(S91="","",IF(OR((--TRIM(LEFT(N91,2)))&gt;=SThr,S91&gt;=RPNThr,T91="H"),"Yes","No"))</f>
        <v/>
      </c>
      <c r="V91" s="4" t="n"/>
      <c r="W91" s="4" t="n"/>
      <c r="X91" s="4" t="n"/>
      <c r="Y91" s="29" t="n"/>
      <c r="Z91" s="16" t="n"/>
      <c r="AA91" s="16" t="n"/>
      <c r="AB91" s="16" t="n"/>
      <c r="AC91" s="20">
        <f>IF(OR(Z91="",AA91="",AB91=""),"",(--TRIM(LEFT(Z91,2)))*(--TRIM(LEFT(AA91,2)))*(--TRIM(LEFT(AB91,2))))</f>
        <v/>
      </c>
      <c r="AD91" s="20">
        <f>IF(OR(Z91="",AA91="",AB91=""),"",INDEX(APGrid,COUNTIF(APS,"&gt;"&amp;(--TRIM(LEFT(Z91,2))))*5+COUNTIF(APO,"&gt;"&amp;(--TRIM(LEFT(AA91,2))))+1,COUNTIF(APD,"&gt;"&amp;(--TRIM(LEFT(AB91,2))))+1))</f>
        <v/>
      </c>
      <c r="AE91" s="4" t="n"/>
      <c r="AF91" s="4" t="n"/>
      <c r="AH91">
        <f>IFERROR(INDEX(EqTag,_xlfn.AGGREGATE(15,6,(ROW(EqTag)-4)/((EqSys=$D$3)*(EqTag&lt;&gt;"")),ROWS($AH$14:AH91))),"")</f>
        <v/>
      </c>
    </row>
    <row r="92">
      <c r="A92" s="20">
        <f>IF(F92="","",LEFT($D$3,3)&amp;"-"&amp;TEXT(COUNTIF(F$14:F92,"?*"),"00"))</f>
        <v/>
      </c>
      <c r="B92" s="4" t="n"/>
      <c r="C92" s="5">
        <f>IF(B92="","",IFERROR(INDEX(EqTypeCol,MATCH(B92,EqTag,0)),"Tag not in register"))</f>
        <v/>
      </c>
      <c r="D92" s="4" t="n"/>
      <c r="E92" s="4" t="n"/>
      <c r="F92" s="4" t="n"/>
      <c r="G92" s="4" t="n"/>
      <c r="H92" s="4" t="n"/>
      <c r="I92" s="4" t="n"/>
      <c r="J92" s="5">
        <f>_xlfn.TEXTJOIN(CHAR(10),TRUE,IF(G92="","","• "&amp;G92),IF(H92="","","• "&amp;H92),IF(I92="","","• "&amp;I92))</f>
        <v/>
      </c>
      <c r="K92" s="4" t="n"/>
      <c r="L92" s="4" t="n"/>
      <c r="M92" s="4" t="n"/>
      <c r="N92" s="16" t="n"/>
      <c r="O92" s="4" t="n"/>
      <c r="P92" s="16" t="n"/>
      <c r="Q92" s="4" t="n"/>
      <c r="R92" s="16" t="n"/>
      <c r="S92" s="20">
        <f>IF(OR(N92="",P92="",R92=""),"",(--TRIM(LEFT(N92,2)))*(--TRIM(LEFT(P92,2)))*(--TRIM(LEFT(R92,2))))</f>
        <v/>
      </c>
      <c r="T92" s="20">
        <f>IF(OR(N92="",P92="",R92=""),"",INDEX(APGrid,COUNTIF(APS,"&gt;"&amp;(--TRIM(LEFT(N92,2))))*5+COUNTIF(APO,"&gt;"&amp;(--TRIM(LEFT(P92,2))))+1,COUNTIF(APD,"&gt;"&amp;(--TRIM(LEFT(R92,2))))+1))</f>
        <v/>
      </c>
      <c r="U92" s="20">
        <f>IF(S92="","",IF(OR((--TRIM(LEFT(N92,2)))&gt;=SThr,S92&gt;=RPNThr,T92="H"),"Yes","No"))</f>
        <v/>
      </c>
      <c r="V92" s="4" t="n"/>
      <c r="W92" s="4" t="n"/>
      <c r="X92" s="4" t="n"/>
      <c r="Y92" s="29" t="n"/>
      <c r="Z92" s="16" t="n"/>
      <c r="AA92" s="16" t="n"/>
      <c r="AB92" s="16" t="n"/>
      <c r="AC92" s="20">
        <f>IF(OR(Z92="",AA92="",AB92=""),"",(--TRIM(LEFT(Z92,2)))*(--TRIM(LEFT(AA92,2)))*(--TRIM(LEFT(AB92,2))))</f>
        <v/>
      </c>
      <c r="AD92" s="20">
        <f>IF(OR(Z92="",AA92="",AB92=""),"",INDEX(APGrid,COUNTIF(APS,"&gt;"&amp;(--TRIM(LEFT(Z92,2))))*5+COUNTIF(APO,"&gt;"&amp;(--TRIM(LEFT(AA92,2))))+1,COUNTIF(APD,"&gt;"&amp;(--TRIM(LEFT(AB92,2))))+1))</f>
        <v/>
      </c>
      <c r="AE92" s="4" t="n"/>
      <c r="AF92" s="4" t="n"/>
      <c r="AH92">
        <f>IFERROR(INDEX(EqTag,_xlfn.AGGREGATE(15,6,(ROW(EqTag)-4)/((EqSys=$D$3)*(EqTag&lt;&gt;"")),ROWS($AH$14:AH92))),"")</f>
        <v/>
      </c>
    </row>
    <row r="93">
      <c r="A93" s="20">
        <f>IF(F93="","",LEFT($D$3,3)&amp;"-"&amp;TEXT(COUNTIF(F$14:F93,"?*"),"00"))</f>
        <v/>
      </c>
      <c r="B93" s="4" t="n"/>
      <c r="C93" s="5">
        <f>IF(B93="","",IFERROR(INDEX(EqTypeCol,MATCH(B93,EqTag,0)),"Tag not in register"))</f>
        <v/>
      </c>
      <c r="D93" s="4" t="n"/>
      <c r="E93" s="4" t="n"/>
      <c r="F93" s="4" t="n"/>
      <c r="G93" s="4" t="n"/>
      <c r="H93" s="4" t="n"/>
      <c r="I93" s="4" t="n"/>
      <c r="J93" s="5">
        <f>_xlfn.TEXTJOIN(CHAR(10),TRUE,IF(G93="","","• "&amp;G93),IF(H93="","","• "&amp;H93),IF(I93="","","• "&amp;I93))</f>
        <v/>
      </c>
      <c r="K93" s="4" t="n"/>
      <c r="L93" s="4" t="n"/>
      <c r="M93" s="4" t="n"/>
      <c r="N93" s="16" t="n"/>
      <c r="O93" s="4" t="n"/>
      <c r="P93" s="16" t="n"/>
      <c r="Q93" s="4" t="n"/>
      <c r="R93" s="16" t="n"/>
      <c r="S93" s="20">
        <f>IF(OR(N93="",P93="",R93=""),"",(--TRIM(LEFT(N93,2)))*(--TRIM(LEFT(P93,2)))*(--TRIM(LEFT(R93,2))))</f>
        <v/>
      </c>
      <c r="T93" s="20">
        <f>IF(OR(N93="",P93="",R93=""),"",INDEX(APGrid,COUNTIF(APS,"&gt;"&amp;(--TRIM(LEFT(N93,2))))*5+COUNTIF(APO,"&gt;"&amp;(--TRIM(LEFT(P93,2))))+1,COUNTIF(APD,"&gt;"&amp;(--TRIM(LEFT(R93,2))))+1))</f>
        <v/>
      </c>
      <c r="U93" s="20">
        <f>IF(S93="","",IF(OR((--TRIM(LEFT(N93,2)))&gt;=SThr,S93&gt;=RPNThr,T93="H"),"Yes","No"))</f>
        <v/>
      </c>
      <c r="V93" s="4" t="n"/>
      <c r="W93" s="4" t="n"/>
      <c r="X93" s="4" t="n"/>
      <c r="Y93" s="29" t="n"/>
      <c r="Z93" s="16" t="n"/>
      <c r="AA93" s="16" t="n"/>
      <c r="AB93" s="16" t="n"/>
      <c r="AC93" s="20">
        <f>IF(OR(Z93="",AA93="",AB93=""),"",(--TRIM(LEFT(Z93,2)))*(--TRIM(LEFT(AA93,2)))*(--TRIM(LEFT(AB93,2))))</f>
        <v/>
      </c>
      <c r="AD93" s="20">
        <f>IF(OR(Z93="",AA93="",AB93=""),"",INDEX(APGrid,COUNTIF(APS,"&gt;"&amp;(--TRIM(LEFT(Z93,2))))*5+COUNTIF(APO,"&gt;"&amp;(--TRIM(LEFT(AA93,2))))+1,COUNTIF(APD,"&gt;"&amp;(--TRIM(LEFT(AB93,2))))+1))</f>
        <v/>
      </c>
      <c r="AE93" s="4" t="n"/>
      <c r="AF93" s="4" t="n"/>
      <c r="AH93">
        <f>IFERROR(INDEX(EqTag,_xlfn.AGGREGATE(15,6,(ROW(EqTag)-4)/((EqSys=$D$3)*(EqTag&lt;&gt;"")),ROWS($AH$14:AH93))),"")</f>
        <v/>
      </c>
    </row>
    <row r="94">
      <c r="A94" s="20">
        <f>IF(F94="","",LEFT($D$3,3)&amp;"-"&amp;TEXT(COUNTIF(F$14:F94,"?*"),"00"))</f>
        <v/>
      </c>
      <c r="B94" s="4" t="n"/>
      <c r="C94" s="5">
        <f>IF(B94="","",IFERROR(INDEX(EqTypeCol,MATCH(B94,EqTag,0)),"Tag not in register"))</f>
        <v/>
      </c>
      <c r="D94" s="4" t="n"/>
      <c r="E94" s="4" t="n"/>
      <c r="F94" s="4" t="n"/>
      <c r="G94" s="4" t="n"/>
      <c r="H94" s="4" t="n"/>
      <c r="I94" s="4" t="n"/>
      <c r="J94" s="5">
        <f>_xlfn.TEXTJOIN(CHAR(10),TRUE,IF(G94="","","• "&amp;G94),IF(H94="","","• "&amp;H94),IF(I94="","","• "&amp;I94))</f>
        <v/>
      </c>
      <c r="K94" s="4" t="n"/>
      <c r="L94" s="4" t="n"/>
      <c r="M94" s="4" t="n"/>
      <c r="N94" s="16" t="n"/>
      <c r="O94" s="4" t="n"/>
      <c r="P94" s="16" t="n"/>
      <c r="Q94" s="4" t="n"/>
      <c r="R94" s="16" t="n"/>
      <c r="S94" s="20">
        <f>IF(OR(N94="",P94="",R94=""),"",(--TRIM(LEFT(N94,2)))*(--TRIM(LEFT(P94,2)))*(--TRIM(LEFT(R94,2))))</f>
        <v/>
      </c>
      <c r="T94" s="20">
        <f>IF(OR(N94="",P94="",R94=""),"",INDEX(APGrid,COUNTIF(APS,"&gt;"&amp;(--TRIM(LEFT(N94,2))))*5+COUNTIF(APO,"&gt;"&amp;(--TRIM(LEFT(P94,2))))+1,COUNTIF(APD,"&gt;"&amp;(--TRIM(LEFT(R94,2))))+1))</f>
        <v/>
      </c>
      <c r="U94" s="20">
        <f>IF(S94="","",IF(OR((--TRIM(LEFT(N94,2)))&gt;=SThr,S94&gt;=RPNThr,T94="H"),"Yes","No"))</f>
        <v/>
      </c>
      <c r="V94" s="4" t="n"/>
      <c r="W94" s="4" t="n"/>
      <c r="X94" s="4" t="n"/>
      <c r="Y94" s="29" t="n"/>
      <c r="Z94" s="16" t="n"/>
      <c r="AA94" s="16" t="n"/>
      <c r="AB94" s="16" t="n"/>
      <c r="AC94" s="20">
        <f>IF(OR(Z94="",AA94="",AB94=""),"",(--TRIM(LEFT(Z94,2)))*(--TRIM(LEFT(AA94,2)))*(--TRIM(LEFT(AB94,2))))</f>
        <v/>
      </c>
      <c r="AD94" s="20">
        <f>IF(OR(Z94="",AA94="",AB94=""),"",INDEX(APGrid,COUNTIF(APS,"&gt;"&amp;(--TRIM(LEFT(Z94,2))))*5+COUNTIF(APO,"&gt;"&amp;(--TRIM(LEFT(AA94,2))))+1,COUNTIF(APD,"&gt;"&amp;(--TRIM(LEFT(AB94,2))))+1))</f>
        <v/>
      </c>
      <c r="AE94" s="4" t="n"/>
      <c r="AF94" s="4" t="n"/>
      <c r="AH94">
        <f>IFERROR(INDEX(EqTag,_xlfn.AGGREGATE(15,6,(ROW(EqTag)-4)/((EqSys=$D$3)*(EqTag&lt;&gt;"")),ROWS($AH$14:AH94))),"")</f>
        <v/>
      </c>
    </row>
    <row r="95">
      <c r="A95" s="20">
        <f>IF(F95="","",LEFT($D$3,3)&amp;"-"&amp;TEXT(COUNTIF(F$14:F95,"?*"),"00"))</f>
        <v/>
      </c>
      <c r="B95" s="4" t="n"/>
      <c r="C95" s="5">
        <f>IF(B95="","",IFERROR(INDEX(EqTypeCol,MATCH(B95,EqTag,0)),"Tag not in register"))</f>
        <v/>
      </c>
      <c r="D95" s="4" t="n"/>
      <c r="E95" s="4" t="n"/>
      <c r="F95" s="4" t="n"/>
      <c r="G95" s="4" t="n"/>
      <c r="H95" s="4" t="n"/>
      <c r="I95" s="4" t="n"/>
      <c r="J95" s="5">
        <f>_xlfn.TEXTJOIN(CHAR(10),TRUE,IF(G95="","","• "&amp;G95),IF(H95="","","• "&amp;H95),IF(I95="","","• "&amp;I95))</f>
        <v/>
      </c>
      <c r="K95" s="4" t="n"/>
      <c r="L95" s="4" t="n"/>
      <c r="M95" s="4" t="n"/>
      <c r="N95" s="16" t="n"/>
      <c r="O95" s="4" t="n"/>
      <c r="P95" s="16" t="n"/>
      <c r="Q95" s="4" t="n"/>
      <c r="R95" s="16" t="n"/>
      <c r="S95" s="20">
        <f>IF(OR(N95="",P95="",R95=""),"",(--TRIM(LEFT(N95,2)))*(--TRIM(LEFT(P95,2)))*(--TRIM(LEFT(R95,2))))</f>
        <v/>
      </c>
      <c r="T95" s="20">
        <f>IF(OR(N95="",P95="",R95=""),"",INDEX(APGrid,COUNTIF(APS,"&gt;"&amp;(--TRIM(LEFT(N95,2))))*5+COUNTIF(APO,"&gt;"&amp;(--TRIM(LEFT(P95,2))))+1,COUNTIF(APD,"&gt;"&amp;(--TRIM(LEFT(R95,2))))+1))</f>
        <v/>
      </c>
      <c r="U95" s="20">
        <f>IF(S95="","",IF(OR((--TRIM(LEFT(N95,2)))&gt;=SThr,S95&gt;=RPNThr,T95="H"),"Yes","No"))</f>
        <v/>
      </c>
      <c r="V95" s="4" t="n"/>
      <c r="W95" s="4" t="n"/>
      <c r="X95" s="4" t="n"/>
      <c r="Y95" s="29" t="n"/>
      <c r="Z95" s="16" t="n"/>
      <c r="AA95" s="16" t="n"/>
      <c r="AB95" s="16" t="n"/>
      <c r="AC95" s="20">
        <f>IF(OR(Z95="",AA95="",AB95=""),"",(--TRIM(LEFT(Z95,2)))*(--TRIM(LEFT(AA95,2)))*(--TRIM(LEFT(AB95,2))))</f>
        <v/>
      </c>
      <c r="AD95" s="20">
        <f>IF(OR(Z95="",AA95="",AB95=""),"",INDEX(APGrid,COUNTIF(APS,"&gt;"&amp;(--TRIM(LEFT(Z95,2))))*5+COUNTIF(APO,"&gt;"&amp;(--TRIM(LEFT(AA95,2))))+1,COUNTIF(APD,"&gt;"&amp;(--TRIM(LEFT(AB95,2))))+1))</f>
        <v/>
      </c>
      <c r="AE95" s="4" t="n"/>
      <c r="AF95" s="4" t="n"/>
      <c r="AH95">
        <f>IFERROR(INDEX(EqTag,_xlfn.AGGREGATE(15,6,(ROW(EqTag)-4)/((EqSys=$D$3)*(EqTag&lt;&gt;"")),ROWS($AH$14:AH95))),"")</f>
        <v/>
      </c>
    </row>
    <row r="96">
      <c r="A96" s="20">
        <f>IF(F96="","",LEFT($D$3,3)&amp;"-"&amp;TEXT(COUNTIF(F$14:F96,"?*"),"00"))</f>
        <v/>
      </c>
      <c r="B96" s="4" t="n"/>
      <c r="C96" s="5">
        <f>IF(B96="","",IFERROR(INDEX(EqTypeCol,MATCH(B96,EqTag,0)),"Tag not in register"))</f>
        <v/>
      </c>
      <c r="D96" s="4" t="n"/>
      <c r="E96" s="4" t="n"/>
      <c r="F96" s="4" t="n"/>
      <c r="G96" s="4" t="n"/>
      <c r="H96" s="4" t="n"/>
      <c r="I96" s="4" t="n"/>
      <c r="J96" s="5">
        <f>_xlfn.TEXTJOIN(CHAR(10),TRUE,IF(G96="","","• "&amp;G96),IF(H96="","","• "&amp;H96),IF(I96="","","• "&amp;I96))</f>
        <v/>
      </c>
      <c r="K96" s="4" t="n"/>
      <c r="L96" s="4" t="n"/>
      <c r="M96" s="4" t="n"/>
      <c r="N96" s="16" t="n"/>
      <c r="O96" s="4" t="n"/>
      <c r="P96" s="16" t="n"/>
      <c r="Q96" s="4" t="n"/>
      <c r="R96" s="16" t="n"/>
      <c r="S96" s="20">
        <f>IF(OR(N96="",P96="",R96=""),"",(--TRIM(LEFT(N96,2)))*(--TRIM(LEFT(P96,2)))*(--TRIM(LEFT(R96,2))))</f>
        <v/>
      </c>
      <c r="T96" s="20">
        <f>IF(OR(N96="",P96="",R96=""),"",INDEX(APGrid,COUNTIF(APS,"&gt;"&amp;(--TRIM(LEFT(N96,2))))*5+COUNTIF(APO,"&gt;"&amp;(--TRIM(LEFT(P96,2))))+1,COUNTIF(APD,"&gt;"&amp;(--TRIM(LEFT(R96,2))))+1))</f>
        <v/>
      </c>
      <c r="U96" s="20">
        <f>IF(S96="","",IF(OR((--TRIM(LEFT(N96,2)))&gt;=SThr,S96&gt;=RPNThr,T96="H"),"Yes","No"))</f>
        <v/>
      </c>
      <c r="V96" s="4" t="n"/>
      <c r="W96" s="4" t="n"/>
      <c r="X96" s="4" t="n"/>
      <c r="Y96" s="29" t="n"/>
      <c r="Z96" s="16" t="n"/>
      <c r="AA96" s="16" t="n"/>
      <c r="AB96" s="16" t="n"/>
      <c r="AC96" s="20">
        <f>IF(OR(Z96="",AA96="",AB96=""),"",(--TRIM(LEFT(Z96,2)))*(--TRIM(LEFT(AA96,2)))*(--TRIM(LEFT(AB96,2))))</f>
        <v/>
      </c>
      <c r="AD96" s="20">
        <f>IF(OR(Z96="",AA96="",AB96=""),"",INDEX(APGrid,COUNTIF(APS,"&gt;"&amp;(--TRIM(LEFT(Z96,2))))*5+COUNTIF(APO,"&gt;"&amp;(--TRIM(LEFT(AA96,2))))+1,COUNTIF(APD,"&gt;"&amp;(--TRIM(LEFT(AB96,2))))+1))</f>
        <v/>
      </c>
      <c r="AE96" s="4" t="n"/>
      <c r="AF96" s="4" t="n"/>
      <c r="AH96">
        <f>IFERROR(INDEX(EqTag,_xlfn.AGGREGATE(15,6,(ROW(EqTag)-4)/((EqSys=$D$3)*(EqTag&lt;&gt;"")),ROWS($AH$14:AH96))),"")</f>
        <v/>
      </c>
    </row>
    <row r="97">
      <c r="A97" s="20">
        <f>IF(F97="","",LEFT($D$3,3)&amp;"-"&amp;TEXT(COUNTIF(F$14:F97,"?*"),"00"))</f>
        <v/>
      </c>
      <c r="B97" s="4" t="n"/>
      <c r="C97" s="5">
        <f>IF(B97="","",IFERROR(INDEX(EqTypeCol,MATCH(B97,EqTag,0)),"Tag not in register"))</f>
        <v/>
      </c>
      <c r="D97" s="4" t="n"/>
      <c r="E97" s="4" t="n"/>
      <c r="F97" s="4" t="n"/>
      <c r="G97" s="4" t="n"/>
      <c r="H97" s="4" t="n"/>
      <c r="I97" s="4" t="n"/>
      <c r="J97" s="5">
        <f>_xlfn.TEXTJOIN(CHAR(10),TRUE,IF(G97="","","• "&amp;G97),IF(H97="","","• "&amp;H97),IF(I97="","","• "&amp;I97))</f>
        <v/>
      </c>
      <c r="K97" s="4" t="n"/>
      <c r="L97" s="4" t="n"/>
      <c r="M97" s="4" t="n"/>
      <c r="N97" s="16" t="n"/>
      <c r="O97" s="4" t="n"/>
      <c r="P97" s="16" t="n"/>
      <c r="Q97" s="4" t="n"/>
      <c r="R97" s="16" t="n"/>
      <c r="S97" s="20">
        <f>IF(OR(N97="",P97="",R97=""),"",(--TRIM(LEFT(N97,2)))*(--TRIM(LEFT(P97,2)))*(--TRIM(LEFT(R97,2))))</f>
        <v/>
      </c>
      <c r="T97" s="20">
        <f>IF(OR(N97="",P97="",R97=""),"",INDEX(APGrid,COUNTIF(APS,"&gt;"&amp;(--TRIM(LEFT(N97,2))))*5+COUNTIF(APO,"&gt;"&amp;(--TRIM(LEFT(P97,2))))+1,COUNTIF(APD,"&gt;"&amp;(--TRIM(LEFT(R97,2))))+1))</f>
        <v/>
      </c>
      <c r="U97" s="20">
        <f>IF(S97="","",IF(OR((--TRIM(LEFT(N97,2)))&gt;=SThr,S97&gt;=RPNThr,T97="H"),"Yes","No"))</f>
        <v/>
      </c>
      <c r="V97" s="4" t="n"/>
      <c r="W97" s="4" t="n"/>
      <c r="X97" s="4" t="n"/>
      <c r="Y97" s="29" t="n"/>
      <c r="Z97" s="16" t="n"/>
      <c r="AA97" s="16" t="n"/>
      <c r="AB97" s="16" t="n"/>
      <c r="AC97" s="20">
        <f>IF(OR(Z97="",AA97="",AB97=""),"",(--TRIM(LEFT(Z97,2)))*(--TRIM(LEFT(AA97,2)))*(--TRIM(LEFT(AB97,2))))</f>
        <v/>
      </c>
      <c r="AD97" s="20">
        <f>IF(OR(Z97="",AA97="",AB97=""),"",INDEX(APGrid,COUNTIF(APS,"&gt;"&amp;(--TRIM(LEFT(Z97,2))))*5+COUNTIF(APO,"&gt;"&amp;(--TRIM(LEFT(AA97,2))))+1,COUNTIF(APD,"&gt;"&amp;(--TRIM(LEFT(AB97,2))))+1))</f>
        <v/>
      </c>
      <c r="AE97" s="4" t="n"/>
      <c r="AF97" s="4" t="n"/>
      <c r="AH97">
        <f>IFERROR(INDEX(EqTag,_xlfn.AGGREGATE(15,6,(ROW(EqTag)-4)/((EqSys=$D$3)*(EqTag&lt;&gt;"")),ROWS($AH$14:AH97))),"")</f>
        <v/>
      </c>
    </row>
    <row r="98">
      <c r="A98" s="20">
        <f>IF(F98="","",LEFT($D$3,3)&amp;"-"&amp;TEXT(COUNTIF(F$14:F98,"?*"),"00"))</f>
        <v/>
      </c>
      <c r="B98" s="4" t="n"/>
      <c r="C98" s="5">
        <f>IF(B98="","",IFERROR(INDEX(EqTypeCol,MATCH(B98,EqTag,0)),"Tag not in register"))</f>
        <v/>
      </c>
      <c r="D98" s="4" t="n"/>
      <c r="E98" s="4" t="n"/>
      <c r="F98" s="4" t="n"/>
      <c r="G98" s="4" t="n"/>
      <c r="H98" s="4" t="n"/>
      <c r="I98" s="4" t="n"/>
      <c r="J98" s="5">
        <f>_xlfn.TEXTJOIN(CHAR(10),TRUE,IF(G98="","","• "&amp;G98),IF(H98="","","• "&amp;H98),IF(I98="","","• "&amp;I98))</f>
        <v/>
      </c>
      <c r="K98" s="4" t="n"/>
      <c r="L98" s="4" t="n"/>
      <c r="M98" s="4" t="n"/>
      <c r="N98" s="16" t="n"/>
      <c r="O98" s="4" t="n"/>
      <c r="P98" s="16" t="n"/>
      <c r="Q98" s="4" t="n"/>
      <c r="R98" s="16" t="n"/>
      <c r="S98" s="20">
        <f>IF(OR(N98="",P98="",R98=""),"",(--TRIM(LEFT(N98,2)))*(--TRIM(LEFT(P98,2)))*(--TRIM(LEFT(R98,2))))</f>
        <v/>
      </c>
      <c r="T98" s="20">
        <f>IF(OR(N98="",P98="",R98=""),"",INDEX(APGrid,COUNTIF(APS,"&gt;"&amp;(--TRIM(LEFT(N98,2))))*5+COUNTIF(APO,"&gt;"&amp;(--TRIM(LEFT(P98,2))))+1,COUNTIF(APD,"&gt;"&amp;(--TRIM(LEFT(R98,2))))+1))</f>
        <v/>
      </c>
      <c r="U98" s="20">
        <f>IF(S98="","",IF(OR((--TRIM(LEFT(N98,2)))&gt;=SThr,S98&gt;=RPNThr,T98="H"),"Yes","No"))</f>
        <v/>
      </c>
      <c r="V98" s="4" t="n"/>
      <c r="W98" s="4" t="n"/>
      <c r="X98" s="4" t="n"/>
      <c r="Y98" s="29" t="n"/>
      <c r="Z98" s="16" t="n"/>
      <c r="AA98" s="16" t="n"/>
      <c r="AB98" s="16" t="n"/>
      <c r="AC98" s="20">
        <f>IF(OR(Z98="",AA98="",AB98=""),"",(--TRIM(LEFT(Z98,2)))*(--TRIM(LEFT(AA98,2)))*(--TRIM(LEFT(AB98,2))))</f>
        <v/>
      </c>
      <c r="AD98" s="20">
        <f>IF(OR(Z98="",AA98="",AB98=""),"",INDEX(APGrid,COUNTIF(APS,"&gt;"&amp;(--TRIM(LEFT(Z98,2))))*5+COUNTIF(APO,"&gt;"&amp;(--TRIM(LEFT(AA98,2))))+1,COUNTIF(APD,"&gt;"&amp;(--TRIM(LEFT(AB98,2))))+1))</f>
        <v/>
      </c>
      <c r="AE98" s="4" t="n"/>
      <c r="AF98" s="4" t="n"/>
      <c r="AH98">
        <f>IFERROR(INDEX(EqTag,_xlfn.AGGREGATE(15,6,(ROW(EqTag)-4)/((EqSys=$D$3)*(EqTag&lt;&gt;"")),ROWS($AH$14:AH98))),"")</f>
        <v/>
      </c>
    </row>
    <row r="99">
      <c r="A99" s="20">
        <f>IF(F99="","",LEFT($D$3,3)&amp;"-"&amp;TEXT(COUNTIF(F$14:F99,"?*"),"00"))</f>
        <v/>
      </c>
      <c r="B99" s="4" t="n"/>
      <c r="C99" s="5">
        <f>IF(B99="","",IFERROR(INDEX(EqTypeCol,MATCH(B99,EqTag,0)),"Tag not in register"))</f>
        <v/>
      </c>
      <c r="D99" s="4" t="n"/>
      <c r="E99" s="4" t="n"/>
      <c r="F99" s="4" t="n"/>
      <c r="G99" s="4" t="n"/>
      <c r="H99" s="4" t="n"/>
      <c r="I99" s="4" t="n"/>
      <c r="J99" s="5">
        <f>_xlfn.TEXTJOIN(CHAR(10),TRUE,IF(G99="","","• "&amp;G99),IF(H99="","","• "&amp;H99),IF(I99="","","• "&amp;I99))</f>
        <v/>
      </c>
      <c r="K99" s="4" t="n"/>
      <c r="L99" s="4" t="n"/>
      <c r="M99" s="4" t="n"/>
      <c r="N99" s="16" t="n"/>
      <c r="O99" s="4" t="n"/>
      <c r="P99" s="16" t="n"/>
      <c r="Q99" s="4" t="n"/>
      <c r="R99" s="16" t="n"/>
      <c r="S99" s="20">
        <f>IF(OR(N99="",P99="",R99=""),"",(--TRIM(LEFT(N99,2)))*(--TRIM(LEFT(P99,2)))*(--TRIM(LEFT(R99,2))))</f>
        <v/>
      </c>
      <c r="T99" s="20">
        <f>IF(OR(N99="",P99="",R99=""),"",INDEX(APGrid,COUNTIF(APS,"&gt;"&amp;(--TRIM(LEFT(N99,2))))*5+COUNTIF(APO,"&gt;"&amp;(--TRIM(LEFT(P99,2))))+1,COUNTIF(APD,"&gt;"&amp;(--TRIM(LEFT(R99,2))))+1))</f>
        <v/>
      </c>
      <c r="U99" s="20">
        <f>IF(S99="","",IF(OR((--TRIM(LEFT(N99,2)))&gt;=SThr,S99&gt;=RPNThr,T99="H"),"Yes","No"))</f>
        <v/>
      </c>
      <c r="V99" s="4" t="n"/>
      <c r="W99" s="4" t="n"/>
      <c r="X99" s="4" t="n"/>
      <c r="Y99" s="29" t="n"/>
      <c r="Z99" s="16" t="n"/>
      <c r="AA99" s="16" t="n"/>
      <c r="AB99" s="16" t="n"/>
      <c r="AC99" s="20">
        <f>IF(OR(Z99="",AA99="",AB99=""),"",(--TRIM(LEFT(Z99,2)))*(--TRIM(LEFT(AA99,2)))*(--TRIM(LEFT(AB99,2))))</f>
        <v/>
      </c>
      <c r="AD99" s="20">
        <f>IF(OR(Z99="",AA99="",AB99=""),"",INDEX(APGrid,COUNTIF(APS,"&gt;"&amp;(--TRIM(LEFT(Z99,2))))*5+COUNTIF(APO,"&gt;"&amp;(--TRIM(LEFT(AA99,2))))+1,COUNTIF(APD,"&gt;"&amp;(--TRIM(LEFT(AB99,2))))+1))</f>
        <v/>
      </c>
      <c r="AE99" s="4" t="n"/>
      <c r="AF99" s="4" t="n"/>
      <c r="AH99">
        <f>IFERROR(INDEX(EqTag,_xlfn.AGGREGATE(15,6,(ROW(EqTag)-4)/((EqSys=$D$3)*(EqTag&lt;&gt;"")),ROWS($AH$14:AH99))),"")</f>
        <v/>
      </c>
    </row>
    <row r="100">
      <c r="A100" s="20">
        <f>IF(F100="","",LEFT($D$3,3)&amp;"-"&amp;TEXT(COUNTIF(F$14:F100,"?*"),"00"))</f>
        <v/>
      </c>
      <c r="B100" s="4" t="n"/>
      <c r="C100" s="5">
        <f>IF(B100="","",IFERROR(INDEX(EqTypeCol,MATCH(B100,EqTag,0)),"Tag not in register"))</f>
        <v/>
      </c>
      <c r="D100" s="4" t="n"/>
      <c r="E100" s="4" t="n"/>
      <c r="F100" s="4" t="n"/>
      <c r="G100" s="4" t="n"/>
      <c r="H100" s="4" t="n"/>
      <c r="I100" s="4" t="n"/>
      <c r="J100" s="5">
        <f>_xlfn.TEXTJOIN(CHAR(10),TRUE,IF(G100="","","• "&amp;G100),IF(H100="","","• "&amp;H100),IF(I100="","","• "&amp;I100))</f>
        <v/>
      </c>
      <c r="K100" s="4" t="n"/>
      <c r="L100" s="4" t="n"/>
      <c r="M100" s="4" t="n"/>
      <c r="N100" s="16" t="n"/>
      <c r="O100" s="4" t="n"/>
      <c r="P100" s="16" t="n"/>
      <c r="Q100" s="4" t="n"/>
      <c r="R100" s="16" t="n"/>
      <c r="S100" s="20">
        <f>IF(OR(N100="",P100="",R100=""),"",(--TRIM(LEFT(N100,2)))*(--TRIM(LEFT(P100,2)))*(--TRIM(LEFT(R100,2))))</f>
        <v/>
      </c>
      <c r="T100" s="20">
        <f>IF(OR(N100="",P100="",R100=""),"",INDEX(APGrid,COUNTIF(APS,"&gt;"&amp;(--TRIM(LEFT(N100,2))))*5+COUNTIF(APO,"&gt;"&amp;(--TRIM(LEFT(P100,2))))+1,COUNTIF(APD,"&gt;"&amp;(--TRIM(LEFT(R100,2))))+1))</f>
        <v/>
      </c>
      <c r="U100" s="20">
        <f>IF(S100="","",IF(OR((--TRIM(LEFT(N100,2)))&gt;=SThr,S100&gt;=RPNThr,T100="H"),"Yes","No"))</f>
        <v/>
      </c>
      <c r="V100" s="4" t="n"/>
      <c r="W100" s="4" t="n"/>
      <c r="X100" s="4" t="n"/>
      <c r="Y100" s="29" t="n"/>
      <c r="Z100" s="16" t="n"/>
      <c r="AA100" s="16" t="n"/>
      <c r="AB100" s="16" t="n"/>
      <c r="AC100" s="20">
        <f>IF(OR(Z100="",AA100="",AB100=""),"",(--TRIM(LEFT(Z100,2)))*(--TRIM(LEFT(AA100,2)))*(--TRIM(LEFT(AB100,2))))</f>
        <v/>
      </c>
      <c r="AD100" s="20">
        <f>IF(OR(Z100="",AA100="",AB100=""),"",INDEX(APGrid,COUNTIF(APS,"&gt;"&amp;(--TRIM(LEFT(Z100,2))))*5+COUNTIF(APO,"&gt;"&amp;(--TRIM(LEFT(AA100,2))))+1,COUNTIF(APD,"&gt;"&amp;(--TRIM(LEFT(AB100,2))))+1))</f>
        <v/>
      </c>
      <c r="AE100" s="4" t="n"/>
      <c r="AF100" s="4" t="n"/>
      <c r="AH100">
        <f>IFERROR(INDEX(EqTag,_xlfn.AGGREGATE(15,6,(ROW(EqTag)-4)/((EqSys=$D$3)*(EqTag&lt;&gt;"")),ROWS($AH$14:AH100))),"")</f>
        <v/>
      </c>
    </row>
    <row r="101">
      <c r="A101" s="20">
        <f>IF(F101="","",LEFT($D$3,3)&amp;"-"&amp;TEXT(COUNTIF(F$14:F101,"?*"),"00"))</f>
        <v/>
      </c>
      <c r="B101" s="4" t="n"/>
      <c r="C101" s="5">
        <f>IF(B101="","",IFERROR(INDEX(EqTypeCol,MATCH(B101,EqTag,0)),"Tag not in register"))</f>
        <v/>
      </c>
      <c r="D101" s="4" t="n"/>
      <c r="E101" s="4" t="n"/>
      <c r="F101" s="4" t="n"/>
      <c r="G101" s="4" t="n"/>
      <c r="H101" s="4" t="n"/>
      <c r="I101" s="4" t="n"/>
      <c r="J101" s="5">
        <f>_xlfn.TEXTJOIN(CHAR(10),TRUE,IF(G101="","","• "&amp;G101),IF(H101="","","• "&amp;H101),IF(I101="","","• "&amp;I101))</f>
        <v/>
      </c>
      <c r="K101" s="4" t="n"/>
      <c r="L101" s="4" t="n"/>
      <c r="M101" s="4" t="n"/>
      <c r="N101" s="16" t="n"/>
      <c r="O101" s="4" t="n"/>
      <c r="P101" s="16" t="n"/>
      <c r="Q101" s="4" t="n"/>
      <c r="R101" s="16" t="n"/>
      <c r="S101" s="20">
        <f>IF(OR(N101="",P101="",R101=""),"",(--TRIM(LEFT(N101,2)))*(--TRIM(LEFT(P101,2)))*(--TRIM(LEFT(R101,2))))</f>
        <v/>
      </c>
      <c r="T101" s="20">
        <f>IF(OR(N101="",P101="",R101=""),"",INDEX(APGrid,COUNTIF(APS,"&gt;"&amp;(--TRIM(LEFT(N101,2))))*5+COUNTIF(APO,"&gt;"&amp;(--TRIM(LEFT(P101,2))))+1,COUNTIF(APD,"&gt;"&amp;(--TRIM(LEFT(R101,2))))+1))</f>
        <v/>
      </c>
      <c r="U101" s="20">
        <f>IF(S101="","",IF(OR((--TRIM(LEFT(N101,2)))&gt;=SThr,S101&gt;=RPNThr,T101="H"),"Yes","No"))</f>
        <v/>
      </c>
      <c r="V101" s="4" t="n"/>
      <c r="W101" s="4" t="n"/>
      <c r="X101" s="4" t="n"/>
      <c r="Y101" s="29" t="n"/>
      <c r="Z101" s="16" t="n"/>
      <c r="AA101" s="16" t="n"/>
      <c r="AB101" s="16" t="n"/>
      <c r="AC101" s="20">
        <f>IF(OR(Z101="",AA101="",AB101=""),"",(--TRIM(LEFT(Z101,2)))*(--TRIM(LEFT(AA101,2)))*(--TRIM(LEFT(AB101,2))))</f>
        <v/>
      </c>
      <c r="AD101" s="20">
        <f>IF(OR(Z101="",AA101="",AB101=""),"",INDEX(APGrid,COUNTIF(APS,"&gt;"&amp;(--TRIM(LEFT(Z101,2))))*5+COUNTIF(APO,"&gt;"&amp;(--TRIM(LEFT(AA101,2))))+1,COUNTIF(APD,"&gt;"&amp;(--TRIM(LEFT(AB101,2))))+1))</f>
        <v/>
      </c>
      <c r="AE101" s="4" t="n"/>
      <c r="AF101" s="4" t="n"/>
      <c r="AH101">
        <f>IFERROR(INDEX(EqTag,_xlfn.AGGREGATE(15,6,(ROW(EqTag)-4)/((EqSys=$D$3)*(EqTag&lt;&gt;"")),ROWS($AH$14:AH101))),"")</f>
        <v/>
      </c>
    </row>
    <row r="102">
      <c r="A102" s="20">
        <f>IF(F102="","",LEFT($D$3,3)&amp;"-"&amp;TEXT(COUNTIF(F$14:F102,"?*"),"00"))</f>
        <v/>
      </c>
      <c r="B102" s="4" t="n"/>
      <c r="C102" s="5">
        <f>IF(B102="","",IFERROR(INDEX(EqTypeCol,MATCH(B102,EqTag,0)),"Tag not in register"))</f>
        <v/>
      </c>
      <c r="D102" s="4" t="n"/>
      <c r="E102" s="4" t="n"/>
      <c r="F102" s="4" t="n"/>
      <c r="G102" s="4" t="n"/>
      <c r="H102" s="4" t="n"/>
      <c r="I102" s="4" t="n"/>
      <c r="J102" s="5">
        <f>_xlfn.TEXTJOIN(CHAR(10),TRUE,IF(G102="","","• "&amp;G102),IF(H102="","","• "&amp;H102),IF(I102="","","• "&amp;I102))</f>
        <v/>
      </c>
      <c r="K102" s="4" t="n"/>
      <c r="L102" s="4" t="n"/>
      <c r="M102" s="4" t="n"/>
      <c r="N102" s="16" t="n"/>
      <c r="O102" s="4" t="n"/>
      <c r="P102" s="16" t="n"/>
      <c r="Q102" s="4" t="n"/>
      <c r="R102" s="16" t="n"/>
      <c r="S102" s="20">
        <f>IF(OR(N102="",P102="",R102=""),"",(--TRIM(LEFT(N102,2)))*(--TRIM(LEFT(P102,2)))*(--TRIM(LEFT(R102,2))))</f>
        <v/>
      </c>
      <c r="T102" s="20">
        <f>IF(OR(N102="",P102="",R102=""),"",INDEX(APGrid,COUNTIF(APS,"&gt;"&amp;(--TRIM(LEFT(N102,2))))*5+COUNTIF(APO,"&gt;"&amp;(--TRIM(LEFT(P102,2))))+1,COUNTIF(APD,"&gt;"&amp;(--TRIM(LEFT(R102,2))))+1))</f>
        <v/>
      </c>
      <c r="U102" s="20">
        <f>IF(S102="","",IF(OR((--TRIM(LEFT(N102,2)))&gt;=SThr,S102&gt;=RPNThr,T102="H"),"Yes","No"))</f>
        <v/>
      </c>
      <c r="V102" s="4" t="n"/>
      <c r="W102" s="4" t="n"/>
      <c r="X102" s="4" t="n"/>
      <c r="Y102" s="29" t="n"/>
      <c r="Z102" s="16" t="n"/>
      <c r="AA102" s="16" t="n"/>
      <c r="AB102" s="16" t="n"/>
      <c r="AC102" s="20">
        <f>IF(OR(Z102="",AA102="",AB102=""),"",(--TRIM(LEFT(Z102,2)))*(--TRIM(LEFT(AA102,2)))*(--TRIM(LEFT(AB102,2))))</f>
        <v/>
      </c>
      <c r="AD102" s="20">
        <f>IF(OR(Z102="",AA102="",AB102=""),"",INDEX(APGrid,COUNTIF(APS,"&gt;"&amp;(--TRIM(LEFT(Z102,2))))*5+COUNTIF(APO,"&gt;"&amp;(--TRIM(LEFT(AA102,2))))+1,COUNTIF(APD,"&gt;"&amp;(--TRIM(LEFT(AB102,2))))+1))</f>
        <v/>
      </c>
      <c r="AE102" s="4" t="n"/>
      <c r="AF102" s="4" t="n"/>
      <c r="AH102">
        <f>IFERROR(INDEX(EqTag,_xlfn.AGGREGATE(15,6,(ROW(EqTag)-4)/((EqSys=$D$3)*(EqTag&lt;&gt;"")),ROWS($AH$14:AH102))),"")</f>
        <v/>
      </c>
    </row>
    <row r="103">
      <c r="A103" s="20">
        <f>IF(F103="","",LEFT($D$3,3)&amp;"-"&amp;TEXT(COUNTIF(F$14:F103,"?*"),"00"))</f>
        <v/>
      </c>
      <c r="B103" s="4" t="n"/>
      <c r="C103" s="5">
        <f>IF(B103="","",IFERROR(INDEX(EqTypeCol,MATCH(B103,EqTag,0)),"Tag not in register"))</f>
        <v/>
      </c>
      <c r="D103" s="4" t="n"/>
      <c r="E103" s="4" t="n"/>
      <c r="F103" s="4" t="n"/>
      <c r="G103" s="4" t="n"/>
      <c r="H103" s="4" t="n"/>
      <c r="I103" s="4" t="n"/>
      <c r="J103" s="5">
        <f>_xlfn.TEXTJOIN(CHAR(10),TRUE,IF(G103="","","• "&amp;G103),IF(H103="","","• "&amp;H103),IF(I103="","","• "&amp;I103))</f>
        <v/>
      </c>
      <c r="K103" s="4" t="n"/>
      <c r="L103" s="4" t="n"/>
      <c r="M103" s="4" t="n"/>
      <c r="N103" s="16" t="n"/>
      <c r="O103" s="4" t="n"/>
      <c r="P103" s="16" t="n"/>
      <c r="Q103" s="4" t="n"/>
      <c r="R103" s="16" t="n"/>
      <c r="S103" s="20">
        <f>IF(OR(N103="",P103="",R103=""),"",(--TRIM(LEFT(N103,2)))*(--TRIM(LEFT(P103,2)))*(--TRIM(LEFT(R103,2))))</f>
        <v/>
      </c>
      <c r="T103" s="20">
        <f>IF(OR(N103="",P103="",R103=""),"",INDEX(APGrid,COUNTIF(APS,"&gt;"&amp;(--TRIM(LEFT(N103,2))))*5+COUNTIF(APO,"&gt;"&amp;(--TRIM(LEFT(P103,2))))+1,COUNTIF(APD,"&gt;"&amp;(--TRIM(LEFT(R103,2))))+1))</f>
        <v/>
      </c>
      <c r="U103" s="20">
        <f>IF(S103="","",IF(OR((--TRIM(LEFT(N103,2)))&gt;=SThr,S103&gt;=RPNThr,T103="H"),"Yes","No"))</f>
        <v/>
      </c>
      <c r="V103" s="4" t="n"/>
      <c r="W103" s="4" t="n"/>
      <c r="X103" s="4" t="n"/>
      <c r="Y103" s="29" t="n"/>
      <c r="Z103" s="16" t="n"/>
      <c r="AA103" s="16" t="n"/>
      <c r="AB103" s="16" t="n"/>
      <c r="AC103" s="20">
        <f>IF(OR(Z103="",AA103="",AB103=""),"",(--TRIM(LEFT(Z103,2)))*(--TRIM(LEFT(AA103,2)))*(--TRIM(LEFT(AB103,2))))</f>
        <v/>
      </c>
      <c r="AD103" s="20">
        <f>IF(OR(Z103="",AA103="",AB103=""),"",INDEX(APGrid,COUNTIF(APS,"&gt;"&amp;(--TRIM(LEFT(Z103,2))))*5+COUNTIF(APO,"&gt;"&amp;(--TRIM(LEFT(AA103,2))))+1,COUNTIF(APD,"&gt;"&amp;(--TRIM(LEFT(AB103,2))))+1))</f>
        <v/>
      </c>
      <c r="AE103" s="4" t="n"/>
      <c r="AF103" s="4" t="n"/>
      <c r="AH103">
        <f>IFERROR(INDEX(EqTag,_xlfn.AGGREGATE(15,6,(ROW(EqTag)-4)/((EqSys=$D$3)*(EqTag&lt;&gt;"")),ROWS($AH$14:AH103))),"")</f>
        <v/>
      </c>
    </row>
    <row r="104">
      <c r="A104" s="20">
        <f>IF(F104="","",LEFT($D$3,3)&amp;"-"&amp;TEXT(COUNTIF(F$14:F104,"?*"),"00"))</f>
        <v/>
      </c>
      <c r="B104" s="4" t="n"/>
      <c r="C104" s="5">
        <f>IF(B104="","",IFERROR(INDEX(EqTypeCol,MATCH(B104,EqTag,0)),"Tag not in register"))</f>
        <v/>
      </c>
      <c r="D104" s="4" t="n"/>
      <c r="E104" s="4" t="n"/>
      <c r="F104" s="4" t="n"/>
      <c r="G104" s="4" t="n"/>
      <c r="H104" s="4" t="n"/>
      <c r="I104" s="4" t="n"/>
      <c r="J104" s="5">
        <f>_xlfn.TEXTJOIN(CHAR(10),TRUE,IF(G104="","","• "&amp;G104),IF(H104="","","• "&amp;H104),IF(I104="","","• "&amp;I104))</f>
        <v/>
      </c>
      <c r="K104" s="4" t="n"/>
      <c r="L104" s="4" t="n"/>
      <c r="M104" s="4" t="n"/>
      <c r="N104" s="16" t="n"/>
      <c r="O104" s="4" t="n"/>
      <c r="P104" s="16" t="n"/>
      <c r="Q104" s="4" t="n"/>
      <c r="R104" s="16" t="n"/>
      <c r="S104" s="20">
        <f>IF(OR(N104="",P104="",R104=""),"",(--TRIM(LEFT(N104,2)))*(--TRIM(LEFT(P104,2)))*(--TRIM(LEFT(R104,2))))</f>
        <v/>
      </c>
      <c r="T104" s="20">
        <f>IF(OR(N104="",P104="",R104=""),"",INDEX(APGrid,COUNTIF(APS,"&gt;"&amp;(--TRIM(LEFT(N104,2))))*5+COUNTIF(APO,"&gt;"&amp;(--TRIM(LEFT(P104,2))))+1,COUNTIF(APD,"&gt;"&amp;(--TRIM(LEFT(R104,2))))+1))</f>
        <v/>
      </c>
      <c r="U104" s="20">
        <f>IF(S104="","",IF(OR((--TRIM(LEFT(N104,2)))&gt;=SThr,S104&gt;=RPNThr,T104="H"),"Yes","No"))</f>
        <v/>
      </c>
      <c r="V104" s="4" t="n"/>
      <c r="W104" s="4" t="n"/>
      <c r="X104" s="4" t="n"/>
      <c r="Y104" s="29" t="n"/>
      <c r="Z104" s="16" t="n"/>
      <c r="AA104" s="16" t="n"/>
      <c r="AB104" s="16" t="n"/>
      <c r="AC104" s="20">
        <f>IF(OR(Z104="",AA104="",AB104=""),"",(--TRIM(LEFT(Z104,2)))*(--TRIM(LEFT(AA104,2)))*(--TRIM(LEFT(AB104,2))))</f>
        <v/>
      </c>
      <c r="AD104" s="20">
        <f>IF(OR(Z104="",AA104="",AB104=""),"",INDEX(APGrid,COUNTIF(APS,"&gt;"&amp;(--TRIM(LEFT(Z104,2))))*5+COUNTIF(APO,"&gt;"&amp;(--TRIM(LEFT(AA104,2))))+1,COUNTIF(APD,"&gt;"&amp;(--TRIM(LEFT(AB104,2))))+1))</f>
        <v/>
      </c>
      <c r="AE104" s="4" t="n"/>
      <c r="AF104" s="4" t="n"/>
      <c r="AH104">
        <f>IFERROR(INDEX(EqTag,_xlfn.AGGREGATE(15,6,(ROW(EqTag)-4)/((EqSys=$D$3)*(EqTag&lt;&gt;"")),ROWS($AH$14:AH104))),"")</f>
        <v/>
      </c>
    </row>
    <row r="105">
      <c r="A105" s="20">
        <f>IF(F105="","",LEFT($D$3,3)&amp;"-"&amp;TEXT(COUNTIF(F$14:F105,"?*"),"00"))</f>
        <v/>
      </c>
      <c r="B105" s="4" t="n"/>
      <c r="C105" s="5">
        <f>IF(B105="","",IFERROR(INDEX(EqTypeCol,MATCH(B105,EqTag,0)),"Tag not in register"))</f>
        <v/>
      </c>
      <c r="D105" s="4" t="n"/>
      <c r="E105" s="4" t="n"/>
      <c r="F105" s="4" t="n"/>
      <c r="G105" s="4" t="n"/>
      <c r="H105" s="4" t="n"/>
      <c r="I105" s="4" t="n"/>
      <c r="J105" s="5">
        <f>_xlfn.TEXTJOIN(CHAR(10),TRUE,IF(G105="","","• "&amp;G105),IF(H105="","","• "&amp;H105),IF(I105="","","• "&amp;I105))</f>
        <v/>
      </c>
      <c r="K105" s="4" t="n"/>
      <c r="L105" s="4" t="n"/>
      <c r="M105" s="4" t="n"/>
      <c r="N105" s="16" t="n"/>
      <c r="O105" s="4" t="n"/>
      <c r="P105" s="16" t="n"/>
      <c r="Q105" s="4" t="n"/>
      <c r="R105" s="16" t="n"/>
      <c r="S105" s="20">
        <f>IF(OR(N105="",P105="",R105=""),"",(--TRIM(LEFT(N105,2)))*(--TRIM(LEFT(P105,2)))*(--TRIM(LEFT(R105,2))))</f>
        <v/>
      </c>
      <c r="T105" s="20">
        <f>IF(OR(N105="",P105="",R105=""),"",INDEX(APGrid,COUNTIF(APS,"&gt;"&amp;(--TRIM(LEFT(N105,2))))*5+COUNTIF(APO,"&gt;"&amp;(--TRIM(LEFT(P105,2))))+1,COUNTIF(APD,"&gt;"&amp;(--TRIM(LEFT(R105,2))))+1))</f>
        <v/>
      </c>
      <c r="U105" s="20">
        <f>IF(S105="","",IF(OR((--TRIM(LEFT(N105,2)))&gt;=SThr,S105&gt;=RPNThr,T105="H"),"Yes","No"))</f>
        <v/>
      </c>
      <c r="V105" s="4" t="n"/>
      <c r="W105" s="4" t="n"/>
      <c r="X105" s="4" t="n"/>
      <c r="Y105" s="29" t="n"/>
      <c r="Z105" s="16" t="n"/>
      <c r="AA105" s="16" t="n"/>
      <c r="AB105" s="16" t="n"/>
      <c r="AC105" s="20">
        <f>IF(OR(Z105="",AA105="",AB105=""),"",(--TRIM(LEFT(Z105,2)))*(--TRIM(LEFT(AA105,2)))*(--TRIM(LEFT(AB105,2))))</f>
        <v/>
      </c>
      <c r="AD105" s="20">
        <f>IF(OR(Z105="",AA105="",AB105=""),"",INDEX(APGrid,COUNTIF(APS,"&gt;"&amp;(--TRIM(LEFT(Z105,2))))*5+COUNTIF(APO,"&gt;"&amp;(--TRIM(LEFT(AA105,2))))+1,COUNTIF(APD,"&gt;"&amp;(--TRIM(LEFT(AB105,2))))+1))</f>
        <v/>
      </c>
      <c r="AE105" s="4" t="n"/>
      <c r="AF105" s="4" t="n"/>
      <c r="AH105">
        <f>IFERROR(INDEX(EqTag,_xlfn.AGGREGATE(15,6,(ROW(EqTag)-4)/((EqSys=$D$3)*(EqTag&lt;&gt;"")),ROWS($AH$14:AH105))),"")</f>
        <v/>
      </c>
    </row>
    <row r="106">
      <c r="A106" s="20">
        <f>IF(F106="","",LEFT($D$3,3)&amp;"-"&amp;TEXT(COUNTIF(F$14:F106,"?*"),"00"))</f>
        <v/>
      </c>
      <c r="B106" s="4" t="n"/>
      <c r="C106" s="5">
        <f>IF(B106="","",IFERROR(INDEX(EqTypeCol,MATCH(B106,EqTag,0)),"Tag not in register"))</f>
        <v/>
      </c>
      <c r="D106" s="4" t="n"/>
      <c r="E106" s="4" t="n"/>
      <c r="F106" s="4" t="n"/>
      <c r="G106" s="4" t="n"/>
      <c r="H106" s="4" t="n"/>
      <c r="I106" s="4" t="n"/>
      <c r="J106" s="5">
        <f>_xlfn.TEXTJOIN(CHAR(10),TRUE,IF(G106="","","• "&amp;G106),IF(H106="","","• "&amp;H106),IF(I106="","","• "&amp;I106))</f>
        <v/>
      </c>
      <c r="K106" s="4" t="n"/>
      <c r="L106" s="4" t="n"/>
      <c r="M106" s="4" t="n"/>
      <c r="N106" s="16" t="n"/>
      <c r="O106" s="4" t="n"/>
      <c r="P106" s="16" t="n"/>
      <c r="Q106" s="4" t="n"/>
      <c r="R106" s="16" t="n"/>
      <c r="S106" s="20">
        <f>IF(OR(N106="",P106="",R106=""),"",(--TRIM(LEFT(N106,2)))*(--TRIM(LEFT(P106,2)))*(--TRIM(LEFT(R106,2))))</f>
        <v/>
      </c>
      <c r="T106" s="20">
        <f>IF(OR(N106="",P106="",R106=""),"",INDEX(APGrid,COUNTIF(APS,"&gt;"&amp;(--TRIM(LEFT(N106,2))))*5+COUNTIF(APO,"&gt;"&amp;(--TRIM(LEFT(P106,2))))+1,COUNTIF(APD,"&gt;"&amp;(--TRIM(LEFT(R106,2))))+1))</f>
        <v/>
      </c>
      <c r="U106" s="20">
        <f>IF(S106="","",IF(OR((--TRIM(LEFT(N106,2)))&gt;=SThr,S106&gt;=RPNThr,T106="H"),"Yes","No"))</f>
        <v/>
      </c>
      <c r="V106" s="4" t="n"/>
      <c r="W106" s="4" t="n"/>
      <c r="X106" s="4" t="n"/>
      <c r="Y106" s="29" t="n"/>
      <c r="Z106" s="16" t="n"/>
      <c r="AA106" s="16" t="n"/>
      <c r="AB106" s="16" t="n"/>
      <c r="AC106" s="20">
        <f>IF(OR(Z106="",AA106="",AB106=""),"",(--TRIM(LEFT(Z106,2)))*(--TRIM(LEFT(AA106,2)))*(--TRIM(LEFT(AB106,2))))</f>
        <v/>
      </c>
      <c r="AD106" s="20">
        <f>IF(OR(Z106="",AA106="",AB106=""),"",INDEX(APGrid,COUNTIF(APS,"&gt;"&amp;(--TRIM(LEFT(Z106,2))))*5+COUNTIF(APO,"&gt;"&amp;(--TRIM(LEFT(AA106,2))))+1,COUNTIF(APD,"&gt;"&amp;(--TRIM(LEFT(AB106,2))))+1))</f>
        <v/>
      </c>
      <c r="AE106" s="4" t="n"/>
      <c r="AF106" s="4" t="n"/>
      <c r="AH106">
        <f>IFERROR(INDEX(EqTag,_xlfn.AGGREGATE(15,6,(ROW(EqTag)-4)/((EqSys=$D$3)*(EqTag&lt;&gt;"")),ROWS($AH$14:AH106))),"")</f>
        <v/>
      </c>
    </row>
    <row r="107">
      <c r="A107" s="20">
        <f>IF(F107="","",LEFT($D$3,3)&amp;"-"&amp;TEXT(COUNTIF(F$14:F107,"?*"),"00"))</f>
        <v/>
      </c>
      <c r="B107" s="4" t="n"/>
      <c r="C107" s="5">
        <f>IF(B107="","",IFERROR(INDEX(EqTypeCol,MATCH(B107,EqTag,0)),"Tag not in register"))</f>
        <v/>
      </c>
      <c r="D107" s="4" t="n"/>
      <c r="E107" s="4" t="n"/>
      <c r="F107" s="4" t="n"/>
      <c r="G107" s="4" t="n"/>
      <c r="H107" s="4" t="n"/>
      <c r="I107" s="4" t="n"/>
      <c r="J107" s="5">
        <f>_xlfn.TEXTJOIN(CHAR(10),TRUE,IF(G107="","","• "&amp;G107),IF(H107="","","• "&amp;H107),IF(I107="","","• "&amp;I107))</f>
        <v/>
      </c>
      <c r="K107" s="4" t="n"/>
      <c r="L107" s="4" t="n"/>
      <c r="M107" s="4" t="n"/>
      <c r="N107" s="16" t="n"/>
      <c r="O107" s="4" t="n"/>
      <c r="P107" s="16" t="n"/>
      <c r="Q107" s="4" t="n"/>
      <c r="R107" s="16" t="n"/>
      <c r="S107" s="20">
        <f>IF(OR(N107="",P107="",R107=""),"",(--TRIM(LEFT(N107,2)))*(--TRIM(LEFT(P107,2)))*(--TRIM(LEFT(R107,2))))</f>
        <v/>
      </c>
      <c r="T107" s="20">
        <f>IF(OR(N107="",P107="",R107=""),"",INDEX(APGrid,COUNTIF(APS,"&gt;"&amp;(--TRIM(LEFT(N107,2))))*5+COUNTIF(APO,"&gt;"&amp;(--TRIM(LEFT(P107,2))))+1,COUNTIF(APD,"&gt;"&amp;(--TRIM(LEFT(R107,2))))+1))</f>
        <v/>
      </c>
      <c r="U107" s="20">
        <f>IF(S107="","",IF(OR((--TRIM(LEFT(N107,2)))&gt;=SThr,S107&gt;=RPNThr,T107="H"),"Yes","No"))</f>
        <v/>
      </c>
      <c r="V107" s="4" t="n"/>
      <c r="W107" s="4" t="n"/>
      <c r="X107" s="4" t="n"/>
      <c r="Y107" s="29" t="n"/>
      <c r="Z107" s="16" t="n"/>
      <c r="AA107" s="16" t="n"/>
      <c r="AB107" s="16" t="n"/>
      <c r="AC107" s="20">
        <f>IF(OR(Z107="",AA107="",AB107=""),"",(--TRIM(LEFT(Z107,2)))*(--TRIM(LEFT(AA107,2)))*(--TRIM(LEFT(AB107,2))))</f>
        <v/>
      </c>
      <c r="AD107" s="20">
        <f>IF(OR(Z107="",AA107="",AB107=""),"",INDEX(APGrid,COUNTIF(APS,"&gt;"&amp;(--TRIM(LEFT(Z107,2))))*5+COUNTIF(APO,"&gt;"&amp;(--TRIM(LEFT(AA107,2))))+1,COUNTIF(APD,"&gt;"&amp;(--TRIM(LEFT(AB107,2))))+1))</f>
        <v/>
      </c>
      <c r="AE107" s="4" t="n"/>
      <c r="AF107" s="4" t="n"/>
      <c r="AH107">
        <f>IFERROR(INDEX(EqTag,_xlfn.AGGREGATE(15,6,(ROW(EqTag)-4)/((EqSys=$D$3)*(EqTag&lt;&gt;"")),ROWS($AH$14:AH107))),"")</f>
        <v/>
      </c>
    </row>
    <row r="108">
      <c r="A108" s="20">
        <f>IF(F108="","",LEFT($D$3,3)&amp;"-"&amp;TEXT(COUNTIF(F$14:F108,"?*"),"00"))</f>
        <v/>
      </c>
      <c r="B108" s="4" t="n"/>
      <c r="C108" s="5">
        <f>IF(B108="","",IFERROR(INDEX(EqTypeCol,MATCH(B108,EqTag,0)),"Tag not in register"))</f>
        <v/>
      </c>
      <c r="D108" s="4" t="n"/>
      <c r="E108" s="4" t="n"/>
      <c r="F108" s="4" t="n"/>
      <c r="G108" s="4" t="n"/>
      <c r="H108" s="4" t="n"/>
      <c r="I108" s="4" t="n"/>
      <c r="J108" s="5">
        <f>_xlfn.TEXTJOIN(CHAR(10),TRUE,IF(G108="","","• "&amp;G108),IF(H108="","","• "&amp;H108),IF(I108="","","• "&amp;I108))</f>
        <v/>
      </c>
      <c r="K108" s="4" t="n"/>
      <c r="L108" s="4" t="n"/>
      <c r="M108" s="4" t="n"/>
      <c r="N108" s="16" t="n"/>
      <c r="O108" s="4" t="n"/>
      <c r="P108" s="16" t="n"/>
      <c r="Q108" s="4" t="n"/>
      <c r="R108" s="16" t="n"/>
      <c r="S108" s="20">
        <f>IF(OR(N108="",P108="",R108=""),"",(--TRIM(LEFT(N108,2)))*(--TRIM(LEFT(P108,2)))*(--TRIM(LEFT(R108,2))))</f>
        <v/>
      </c>
      <c r="T108" s="20">
        <f>IF(OR(N108="",P108="",R108=""),"",INDEX(APGrid,COUNTIF(APS,"&gt;"&amp;(--TRIM(LEFT(N108,2))))*5+COUNTIF(APO,"&gt;"&amp;(--TRIM(LEFT(P108,2))))+1,COUNTIF(APD,"&gt;"&amp;(--TRIM(LEFT(R108,2))))+1))</f>
        <v/>
      </c>
      <c r="U108" s="20">
        <f>IF(S108="","",IF(OR((--TRIM(LEFT(N108,2)))&gt;=SThr,S108&gt;=RPNThr,T108="H"),"Yes","No"))</f>
        <v/>
      </c>
      <c r="V108" s="4" t="n"/>
      <c r="W108" s="4" t="n"/>
      <c r="X108" s="4" t="n"/>
      <c r="Y108" s="29" t="n"/>
      <c r="Z108" s="16" t="n"/>
      <c r="AA108" s="16" t="n"/>
      <c r="AB108" s="16" t="n"/>
      <c r="AC108" s="20">
        <f>IF(OR(Z108="",AA108="",AB108=""),"",(--TRIM(LEFT(Z108,2)))*(--TRIM(LEFT(AA108,2)))*(--TRIM(LEFT(AB108,2))))</f>
        <v/>
      </c>
      <c r="AD108" s="20">
        <f>IF(OR(Z108="",AA108="",AB108=""),"",INDEX(APGrid,COUNTIF(APS,"&gt;"&amp;(--TRIM(LEFT(Z108,2))))*5+COUNTIF(APO,"&gt;"&amp;(--TRIM(LEFT(AA108,2))))+1,COUNTIF(APD,"&gt;"&amp;(--TRIM(LEFT(AB108,2))))+1))</f>
        <v/>
      </c>
      <c r="AE108" s="4" t="n"/>
      <c r="AF108" s="4" t="n"/>
      <c r="AH108">
        <f>IFERROR(INDEX(EqTag,_xlfn.AGGREGATE(15,6,(ROW(EqTag)-4)/((EqSys=$D$3)*(EqTag&lt;&gt;"")),ROWS($AH$14:AH108))),"")</f>
        <v/>
      </c>
    </row>
    <row r="109">
      <c r="A109" s="20">
        <f>IF(F109="","",LEFT($D$3,3)&amp;"-"&amp;TEXT(COUNTIF(F$14:F109,"?*"),"00"))</f>
        <v/>
      </c>
      <c r="B109" s="4" t="n"/>
      <c r="C109" s="5">
        <f>IF(B109="","",IFERROR(INDEX(EqTypeCol,MATCH(B109,EqTag,0)),"Tag not in register"))</f>
        <v/>
      </c>
      <c r="D109" s="4" t="n"/>
      <c r="E109" s="4" t="n"/>
      <c r="F109" s="4" t="n"/>
      <c r="G109" s="4" t="n"/>
      <c r="H109" s="4" t="n"/>
      <c r="I109" s="4" t="n"/>
      <c r="J109" s="5">
        <f>_xlfn.TEXTJOIN(CHAR(10),TRUE,IF(G109="","","• "&amp;G109),IF(H109="","","• "&amp;H109),IF(I109="","","• "&amp;I109))</f>
        <v/>
      </c>
      <c r="K109" s="4" t="n"/>
      <c r="L109" s="4" t="n"/>
      <c r="M109" s="4" t="n"/>
      <c r="N109" s="16" t="n"/>
      <c r="O109" s="4" t="n"/>
      <c r="P109" s="16" t="n"/>
      <c r="Q109" s="4" t="n"/>
      <c r="R109" s="16" t="n"/>
      <c r="S109" s="20">
        <f>IF(OR(N109="",P109="",R109=""),"",(--TRIM(LEFT(N109,2)))*(--TRIM(LEFT(P109,2)))*(--TRIM(LEFT(R109,2))))</f>
        <v/>
      </c>
      <c r="T109" s="20">
        <f>IF(OR(N109="",P109="",R109=""),"",INDEX(APGrid,COUNTIF(APS,"&gt;"&amp;(--TRIM(LEFT(N109,2))))*5+COUNTIF(APO,"&gt;"&amp;(--TRIM(LEFT(P109,2))))+1,COUNTIF(APD,"&gt;"&amp;(--TRIM(LEFT(R109,2))))+1))</f>
        <v/>
      </c>
      <c r="U109" s="20">
        <f>IF(S109="","",IF(OR((--TRIM(LEFT(N109,2)))&gt;=SThr,S109&gt;=RPNThr,T109="H"),"Yes","No"))</f>
        <v/>
      </c>
      <c r="V109" s="4" t="n"/>
      <c r="W109" s="4" t="n"/>
      <c r="X109" s="4" t="n"/>
      <c r="Y109" s="29" t="n"/>
      <c r="Z109" s="16" t="n"/>
      <c r="AA109" s="16" t="n"/>
      <c r="AB109" s="16" t="n"/>
      <c r="AC109" s="20">
        <f>IF(OR(Z109="",AA109="",AB109=""),"",(--TRIM(LEFT(Z109,2)))*(--TRIM(LEFT(AA109,2)))*(--TRIM(LEFT(AB109,2))))</f>
        <v/>
      </c>
      <c r="AD109" s="20">
        <f>IF(OR(Z109="",AA109="",AB109=""),"",INDEX(APGrid,COUNTIF(APS,"&gt;"&amp;(--TRIM(LEFT(Z109,2))))*5+COUNTIF(APO,"&gt;"&amp;(--TRIM(LEFT(AA109,2))))+1,COUNTIF(APD,"&gt;"&amp;(--TRIM(LEFT(AB109,2))))+1))</f>
        <v/>
      </c>
      <c r="AE109" s="4" t="n"/>
      <c r="AF109" s="4" t="n"/>
      <c r="AH109">
        <f>IFERROR(INDEX(EqTag,_xlfn.AGGREGATE(15,6,(ROW(EqTag)-4)/((EqSys=$D$3)*(EqTag&lt;&gt;"")),ROWS($AH$14:AH109))),"")</f>
        <v/>
      </c>
    </row>
    <row r="110">
      <c r="A110" s="20">
        <f>IF(F110="","",LEFT($D$3,3)&amp;"-"&amp;TEXT(COUNTIF(F$14:F110,"?*"),"00"))</f>
        <v/>
      </c>
      <c r="B110" s="4" t="n"/>
      <c r="C110" s="5">
        <f>IF(B110="","",IFERROR(INDEX(EqTypeCol,MATCH(B110,EqTag,0)),"Tag not in register"))</f>
        <v/>
      </c>
      <c r="D110" s="4" t="n"/>
      <c r="E110" s="4" t="n"/>
      <c r="F110" s="4" t="n"/>
      <c r="G110" s="4" t="n"/>
      <c r="H110" s="4" t="n"/>
      <c r="I110" s="4" t="n"/>
      <c r="J110" s="5">
        <f>_xlfn.TEXTJOIN(CHAR(10),TRUE,IF(G110="","","• "&amp;G110),IF(H110="","","• "&amp;H110),IF(I110="","","• "&amp;I110))</f>
        <v/>
      </c>
      <c r="K110" s="4" t="n"/>
      <c r="L110" s="4" t="n"/>
      <c r="M110" s="4" t="n"/>
      <c r="N110" s="16" t="n"/>
      <c r="O110" s="4" t="n"/>
      <c r="P110" s="16" t="n"/>
      <c r="Q110" s="4" t="n"/>
      <c r="R110" s="16" t="n"/>
      <c r="S110" s="20">
        <f>IF(OR(N110="",P110="",R110=""),"",(--TRIM(LEFT(N110,2)))*(--TRIM(LEFT(P110,2)))*(--TRIM(LEFT(R110,2))))</f>
        <v/>
      </c>
      <c r="T110" s="20">
        <f>IF(OR(N110="",P110="",R110=""),"",INDEX(APGrid,COUNTIF(APS,"&gt;"&amp;(--TRIM(LEFT(N110,2))))*5+COUNTIF(APO,"&gt;"&amp;(--TRIM(LEFT(P110,2))))+1,COUNTIF(APD,"&gt;"&amp;(--TRIM(LEFT(R110,2))))+1))</f>
        <v/>
      </c>
      <c r="U110" s="20">
        <f>IF(S110="","",IF(OR((--TRIM(LEFT(N110,2)))&gt;=SThr,S110&gt;=RPNThr,T110="H"),"Yes","No"))</f>
        <v/>
      </c>
      <c r="V110" s="4" t="n"/>
      <c r="W110" s="4" t="n"/>
      <c r="X110" s="4" t="n"/>
      <c r="Y110" s="29" t="n"/>
      <c r="Z110" s="16" t="n"/>
      <c r="AA110" s="16" t="n"/>
      <c r="AB110" s="16" t="n"/>
      <c r="AC110" s="20">
        <f>IF(OR(Z110="",AA110="",AB110=""),"",(--TRIM(LEFT(Z110,2)))*(--TRIM(LEFT(AA110,2)))*(--TRIM(LEFT(AB110,2))))</f>
        <v/>
      </c>
      <c r="AD110" s="20">
        <f>IF(OR(Z110="",AA110="",AB110=""),"",INDEX(APGrid,COUNTIF(APS,"&gt;"&amp;(--TRIM(LEFT(Z110,2))))*5+COUNTIF(APO,"&gt;"&amp;(--TRIM(LEFT(AA110,2))))+1,COUNTIF(APD,"&gt;"&amp;(--TRIM(LEFT(AB110,2))))+1))</f>
        <v/>
      </c>
      <c r="AE110" s="4" t="n"/>
      <c r="AF110" s="4" t="n"/>
      <c r="AH110">
        <f>IFERROR(INDEX(EqTag,_xlfn.AGGREGATE(15,6,(ROW(EqTag)-4)/((EqSys=$D$3)*(EqTag&lt;&gt;"")),ROWS($AH$14:AH110))),"")</f>
        <v/>
      </c>
    </row>
    <row r="111">
      <c r="A111" s="20">
        <f>IF(F111="","",LEFT($D$3,3)&amp;"-"&amp;TEXT(COUNTIF(F$14:F111,"?*"),"00"))</f>
        <v/>
      </c>
      <c r="B111" s="4" t="n"/>
      <c r="C111" s="5">
        <f>IF(B111="","",IFERROR(INDEX(EqTypeCol,MATCH(B111,EqTag,0)),"Tag not in register"))</f>
        <v/>
      </c>
      <c r="D111" s="4" t="n"/>
      <c r="E111" s="4" t="n"/>
      <c r="F111" s="4" t="n"/>
      <c r="G111" s="4" t="n"/>
      <c r="H111" s="4" t="n"/>
      <c r="I111" s="4" t="n"/>
      <c r="J111" s="5">
        <f>_xlfn.TEXTJOIN(CHAR(10),TRUE,IF(G111="","","• "&amp;G111),IF(H111="","","• "&amp;H111),IF(I111="","","• "&amp;I111))</f>
        <v/>
      </c>
      <c r="K111" s="4" t="n"/>
      <c r="L111" s="4" t="n"/>
      <c r="M111" s="4" t="n"/>
      <c r="N111" s="16" t="n"/>
      <c r="O111" s="4" t="n"/>
      <c r="P111" s="16" t="n"/>
      <c r="Q111" s="4" t="n"/>
      <c r="R111" s="16" t="n"/>
      <c r="S111" s="20">
        <f>IF(OR(N111="",P111="",R111=""),"",(--TRIM(LEFT(N111,2)))*(--TRIM(LEFT(P111,2)))*(--TRIM(LEFT(R111,2))))</f>
        <v/>
      </c>
      <c r="T111" s="20">
        <f>IF(OR(N111="",P111="",R111=""),"",INDEX(APGrid,COUNTIF(APS,"&gt;"&amp;(--TRIM(LEFT(N111,2))))*5+COUNTIF(APO,"&gt;"&amp;(--TRIM(LEFT(P111,2))))+1,COUNTIF(APD,"&gt;"&amp;(--TRIM(LEFT(R111,2))))+1))</f>
        <v/>
      </c>
      <c r="U111" s="20">
        <f>IF(S111="","",IF(OR((--TRIM(LEFT(N111,2)))&gt;=SThr,S111&gt;=RPNThr,T111="H"),"Yes","No"))</f>
        <v/>
      </c>
      <c r="V111" s="4" t="n"/>
      <c r="W111" s="4" t="n"/>
      <c r="X111" s="4" t="n"/>
      <c r="Y111" s="29" t="n"/>
      <c r="Z111" s="16" t="n"/>
      <c r="AA111" s="16" t="n"/>
      <c r="AB111" s="16" t="n"/>
      <c r="AC111" s="20">
        <f>IF(OR(Z111="",AA111="",AB111=""),"",(--TRIM(LEFT(Z111,2)))*(--TRIM(LEFT(AA111,2)))*(--TRIM(LEFT(AB111,2))))</f>
        <v/>
      </c>
      <c r="AD111" s="20">
        <f>IF(OR(Z111="",AA111="",AB111=""),"",INDEX(APGrid,COUNTIF(APS,"&gt;"&amp;(--TRIM(LEFT(Z111,2))))*5+COUNTIF(APO,"&gt;"&amp;(--TRIM(LEFT(AA111,2))))+1,COUNTIF(APD,"&gt;"&amp;(--TRIM(LEFT(AB111,2))))+1))</f>
        <v/>
      </c>
      <c r="AE111" s="4" t="n"/>
      <c r="AF111" s="4" t="n"/>
      <c r="AH111">
        <f>IFERROR(INDEX(EqTag,_xlfn.AGGREGATE(15,6,(ROW(EqTag)-4)/((EqSys=$D$3)*(EqTag&lt;&gt;"")),ROWS($AH$14:AH111))),"")</f>
        <v/>
      </c>
    </row>
    <row r="112">
      <c r="A112" s="20">
        <f>IF(F112="","",LEFT($D$3,3)&amp;"-"&amp;TEXT(COUNTIF(F$14:F112,"?*"),"00"))</f>
        <v/>
      </c>
      <c r="B112" s="4" t="n"/>
      <c r="C112" s="5">
        <f>IF(B112="","",IFERROR(INDEX(EqTypeCol,MATCH(B112,EqTag,0)),"Tag not in register"))</f>
        <v/>
      </c>
      <c r="D112" s="4" t="n"/>
      <c r="E112" s="4" t="n"/>
      <c r="F112" s="4" t="n"/>
      <c r="G112" s="4" t="n"/>
      <c r="H112" s="4" t="n"/>
      <c r="I112" s="4" t="n"/>
      <c r="J112" s="5">
        <f>_xlfn.TEXTJOIN(CHAR(10),TRUE,IF(G112="","","• "&amp;G112),IF(H112="","","• "&amp;H112),IF(I112="","","• "&amp;I112))</f>
        <v/>
      </c>
      <c r="K112" s="4" t="n"/>
      <c r="L112" s="4" t="n"/>
      <c r="M112" s="4" t="n"/>
      <c r="N112" s="16" t="n"/>
      <c r="O112" s="4" t="n"/>
      <c r="P112" s="16" t="n"/>
      <c r="Q112" s="4" t="n"/>
      <c r="R112" s="16" t="n"/>
      <c r="S112" s="20">
        <f>IF(OR(N112="",P112="",R112=""),"",(--TRIM(LEFT(N112,2)))*(--TRIM(LEFT(P112,2)))*(--TRIM(LEFT(R112,2))))</f>
        <v/>
      </c>
      <c r="T112" s="20">
        <f>IF(OR(N112="",P112="",R112=""),"",INDEX(APGrid,COUNTIF(APS,"&gt;"&amp;(--TRIM(LEFT(N112,2))))*5+COUNTIF(APO,"&gt;"&amp;(--TRIM(LEFT(P112,2))))+1,COUNTIF(APD,"&gt;"&amp;(--TRIM(LEFT(R112,2))))+1))</f>
        <v/>
      </c>
      <c r="U112" s="20">
        <f>IF(S112="","",IF(OR((--TRIM(LEFT(N112,2)))&gt;=SThr,S112&gt;=RPNThr,T112="H"),"Yes","No"))</f>
        <v/>
      </c>
      <c r="V112" s="4" t="n"/>
      <c r="W112" s="4" t="n"/>
      <c r="X112" s="4" t="n"/>
      <c r="Y112" s="29" t="n"/>
      <c r="Z112" s="16" t="n"/>
      <c r="AA112" s="16" t="n"/>
      <c r="AB112" s="16" t="n"/>
      <c r="AC112" s="20">
        <f>IF(OR(Z112="",AA112="",AB112=""),"",(--TRIM(LEFT(Z112,2)))*(--TRIM(LEFT(AA112,2)))*(--TRIM(LEFT(AB112,2))))</f>
        <v/>
      </c>
      <c r="AD112" s="20">
        <f>IF(OR(Z112="",AA112="",AB112=""),"",INDEX(APGrid,COUNTIF(APS,"&gt;"&amp;(--TRIM(LEFT(Z112,2))))*5+COUNTIF(APO,"&gt;"&amp;(--TRIM(LEFT(AA112,2))))+1,COUNTIF(APD,"&gt;"&amp;(--TRIM(LEFT(AB112,2))))+1))</f>
        <v/>
      </c>
      <c r="AE112" s="4" t="n"/>
      <c r="AF112" s="4" t="n"/>
      <c r="AH112">
        <f>IFERROR(INDEX(EqTag,_xlfn.AGGREGATE(15,6,(ROW(EqTag)-4)/((EqSys=$D$3)*(EqTag&lt;&gt;"")),ROWS($AH$14:AH112))),"")</f>
        <v/>
      </c>
    </row>
    <row r="113">
      <c r="A113" s="20">
        <f>IF(F113="","",LEFT($D$3,3)&amp;"-"&amp;TEXT(COUNTIF(F$14:F113,"?*"),"00"))</f>
        <v/>
      </c>
      <c r="B113" s="4" t="n"/>
      <c r="C113" s="5">
        <f>IF(B113="","",IFERROR(INDEX(EqTypeCol,MATCH(B113,EqTag,0)),"Tag not in register"))</f>
        <v/>
      </c>
      <c r="D113" s="4" t="n"/>
      <c r="E113" s="4" t="n"/>
      <c r="F113" s="4" t="n"/>
      <c r="G113" s="4" t="n"/>
      <c r="H113" s="4" t="n"/>
      <c r="I113" s="4" t="n"/>
      <c r="J113" s="5">
        <f>_xlfn.TEXTJOIN(CHAR(10),TRUE,IF(G113="","","• "&amp;G113),IF(H113="","","• "&amp;H113),IF(I113="","","• "&amp;I113))</f>
        <v/>
      </c>
      <c r="K113" s="4" t="n"/>
      <c r="L113" s="4" t="n"/>
      <c r="M113" s="4" t="n"/>
      <c r="N113" s="16" t="n"/>
      <c r="O113" s="4" t="n"/>
      <c r="P113" s="16" t="n"/>
      <c r="Q113" s="4" t="n"/>
      <c r="R113" s="16" t="n"/>
      <c r="S113" s="20">
        <f>IF(OR(N113="",P113="",R113=""),"",(--TRIM(LEFT(N113,2)))*(--TRIM(LEFT(P113,2)))*(--TRIM(LEFT(R113,2))))</f>
        <v/>
      </c>
      <c r="T113" s="20">
        <f>IF(OR(N113="",P113="",R113=""),"",INDEX(APGrid,COUNTIF(APS,"&gt;"&amp;(--TRIM(LEFT(N113,2))))*5+COUNTIF(APO,"&gt;"&amp;(--TRIM(LEFT(P113,2))))+1,COUNTIF(APD,"&gt;"&amp;(--TRIM(LEFT(R113,2))))+1))</f>
        <v/>
      </c>
      <c r="U113" s="20">
        <f>IF(S113="","",IF(OR((--TRIM(LEFT(N113,2)))&gt;=SThr,S113&gt;=RPNThr,T113="H"),"Yes","No"))</f>
        <v/>
      </c>
      <c r="V113" s="4" t="n"/>
      <c r="W113" s="4" t="n"/>
      <c r="X113" s="4" t="n"/>
      <c r="Y113" s="29" t="n"/>
      <c r="Z113" s="16" t="n"/>
      <c r="AA113" s="16" t="n"/>
      <c r="AB113" s="16" t="n"/>
      <c r="AC113" s="20">
        <f>IF(OR(Z113="",AA113="",AB113=""),"",(--TRIM(LEFT(Z113,2)))*(--TRIM(LEFT(AA113,2)))*(--TRIM(LEFT(AB113,2))))</f>
        <v/>
      </c>
      <c r="AD113" s="20">
        <f>IF(OR(Z113="",AA113="",AB113=""),"",INDEX(APGrid,COUNTIF(APS,"&gt;"&amp;(--TRIM(LEFT(Z113,2))))*5+COUNTIF(APO,"&gt;"&amp;(--TRIM(LEFT(AA113,2))))+1,COUNTIF(APD,"&gt;"&amp;(--TRIM(LEFT(AB113,2))))+1))</f>
        <v/>
      </c>
      <c r="AE113" s="4" t="n"/>
      <c r="AF113" s="4" t="n"/>
      <c r="AH113">
        <f>IFERROR(INDEX(EqTag,_xlfn.AGGREGATE(15,6,(ROW(EqTag)-4)/((EqSys=$D$3)*(EqTag&lt;&gt;"")),ROWS($AH$14:AH113))),"")</f>
        <v/>
      </c>
    </row>
  </sheetData>
  <mergeCells count="23">
    <mergeCell ref="D3:J3"/>
    <mergeCell ref="J12:M12"/>
    <mergeCell ref="A3:C3"/>
    <mergeCell ref="A11:N11"/>
    <mergeCell ref="A12:F12"/>
    <mergeCell ref="L3:M3"/>
    <mergeCell ref="AE12:AF12"/>
    <mergeCell ref="D6:N6"/>
    <mergeCell ref="A5:C5"/>
    <mergeCell ref="N12:U12"/>
    <mergeCell ref="A8:C8"/>
    <mergeCell ref="V12:Y12"/>
    <mergeCell ref="A4:C4"/>
    <mergeCell ref="Z12:AD12"/>
    <mergeCell ref="D7:N7"/>
    <mergeCell ref="A9:C9"/>
    <mergeCell ref="G12:I12"/>
    <mergeCell ref="D4:N4"/>
    <mergeCell ref="D9:N9"/>
    <mergeCell ref="D8:N8"/>
    <mergeCell ref="A6:C6"/>
    <mergeCell ref="D5:N5"/>
    <mergeCell ref="A7:C7"/>
  </mergeCells>
  <conditionalFormatting sqref="T14:T113">
    <cfRule type="expression" priority="1" dxfId="0">
      <formula>T14="H"</formula>
    </cfRule>
    <cfRule type="expression" priority="3" dxfId="1">
      <formula>T14="M"</formula>
    </cfRule>
    <cfRule type="expression" priority="5" dxfId="2">
      <formula>T14="L"</formula>
    </cfRule>
  </conditionalFormatting>
  <conditionalFormatting sqref="AD14:AD113">
    <cfRule type="expression" priority="2" dxfId="0">
      <formula>AD14="H"</formula>
    </cfRule>
    <cfRule type="expression" priority="4" dxfId="1">
      <formula>AD14="M"</formula>
    </cfRule>
    <cfRule type="expression" priority="6" dxfId="2">
      <formula>AD14="L"</formula>
    </cfRule>
  </conditionalFormatting>
  <conditionalFormatting sqref="U14:U113">
    <cfRule type="expression" priority="7" dxfId="3">
      <formula>U14="Yes"</formula>
    </cfRule>
  </conditionalFormatting>
  <conditionalFormatting sqref="S14:S113">
    <cfRule type="expression" priority="8" dxfId="4">
      <formula>AND(ISNUMBER(S14),S14&gt;=RPNThr)</formula>
    </cfRule>
  </conditionalFormatting>
  <conditionalFormatting sqref="AC14:AC113">
    <cfRule type="expression" priority="9" dxfId="4">
      <formula>AND(ISNUMBER(AC14),AC14&gt;=RPNThr)</formula>
    </cfRule>
  </conditionalFormatting>
  <dataValidations count="13">
    <dataValidation sqref="D3" showDropDown="0" showInputMessage="1" showErrorMessage="1" allowBlank="1" promptTitle="Select" prompt="Choose the system analysed on this sheet" type="list">
      <formula1>=SystemList</formula1>
    </dataValidation>
    <dataValidation sqref="B14:B113" showDropDown="0" showInputMessage="1" showErrorMessage="1" allowBlank="1" errorTitle="Not in list" error="Entry is not in the list – it will be accepted as free text." promptTitle="Select" prompt="Equipment tags of the selected system (from the Equipment Register)" type="list" errorStyle="information">
      <formula1>=OFFSET($AH$14,0,0,MAX(1,COUNTIFS(EqSys,$D$3,EqTag,"?*")),1)</formula1>
    </dataValidation>
    <dataValidation sqref="D14:D113" showDropDown="0" showInputMessage="1" showErrorMessage="1" allowBlank="1" errorTitle="Not in list" error="Entry is not in the list – it will be accepted as free text." promptTitle="Select" prompt="Components for this equipment type – or type your own" type="list" errorStyle="information">
      <formula1>=OFFSET(CompStart,MATCH($C14,CompType,0)-1,0,MAX(1,COUNTIF(CompType,$C14)),1)</formula1>
    </dataValidation>
    <dataValidation sqref="F14:F113" showDropDown="0" showInputMessage="1" showErrorMessage="1" allowBlank="1" errorTitle="Not in list" error="Entry is not in the list – it will be accepted as free text." promptTitle="Select" prompt="Failure modes for this equipment type – or type your own" type="list" errorStyle="information">
      <formula1>=OFFSET(FMStart,MATCH($C14,FMType,0)-1,0,MAX(1,COUNTIF(FMType,$C14)),1)</formula1>
    </dataValidation>
    <dataValidation sqref="G14:I113" showDropDown="0" showInputMessage="1" showErrorMessage="1" allowBlank="1" errorTitle="Not in list" error="Entry is not in the list – it will be accepted as free text." promptTitle="Select" prompt="Failure cause / mechanism – or type your own" type="list" errorStyle="information">
      <formula1>=MechList</formula1>
    </dataValidation>
    <dataValidation sqref="Q14:Q113" showDropDown="0" showInputMessage="1" showErrorMessage="1" allowBlank="1" errorTitle="Not in list" error="Entry is not in the list – it will be accepted as free text." promptTitle="Select" prompt="Detection method – or type your own" type="list" errorStyle="information">
      <formula1>=DetList</formula1>
    </dataValidation>
    <dataValidation sqref="W14:W113" showDropDown="0" showInputMessage="0" showErrorMessage="1" allowBlank="1" errorTitle="Not in list" error="Entry is not in the list – it will be accepted as free text." type="list" errorStyle="information">
      <formula1>=TaskList</formula1>
    </dataValidation>
    <dataValidation sqref="N14:N113" showDropDown="0" showInputMessage="0" showErrorMessage="1" allowBlank="1" type="list">
      <formula1>=SevList</formula1>
    </dataValidation>
    <dataValidation sqref="P14:P113" showDropDown="0" showInputMessage="0" showErrorMessage="1" allowBlank="1" type="list">
      <formula1>=OccList</formula1>
    </dataValidation>
    <dataValidation sqref="R14:R113" showDropDown="0" showInputMessage="0" showErrorMessage="1" allowBlank="1" type="list">
      <formula1>=DetScaleList</formula1>
    </dataValidation>
    <dataValidation sqref="Z14:Z113" showDropDown="0" showInputMessage="0" showErrorMessage="1" allowBlank="1" type="list">
      <formula1>=SevList</formula1>
    </dataValidation>
    <dataValidation sqref="AA14:AA113" showDropDown="0" showInputMessage="0" showErrorMessage="1" allowBlank="1" type="list">
      <formula1>=OccList</formula1>
    </dataValidation>
    <dataValidation sqref="AB14:AB113" showDropDown="0" showInputMessage="0" showErrorMessage="1" allowBlank="1" type="list">
      <formula1>=DetScaleList</formula1>
    </dataValidation>
  </dataValidation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2026-10-05T19:26:14Z</dcterms:created>
  <dcterms:modified xmlns:dcterms="http://purl.org/dc/terms/" xmlns:xsi="http://www.w3.org/2001/XMLSchema-instance" xsi:type="dcterms:W3CDTF">2026-10-05T19:26:17Z</dcterms:modified>
</cp:coreProperties>
</file>